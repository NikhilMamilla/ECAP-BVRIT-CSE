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 dashboard" sheetId="1" r:id="rId4"/>
    <sheet state="visible" name="Analysis data" sheetId="2" r:id="rId5"/>
    <sheet state="visible" name="Company WISE data" sheetId="3" r:id="rId6"/>
    <sheet state="visible" name="complete data UG 2025" sheetId="4" r:id="rId7"/>
    <sheet state="visible" name="Cagemini data" sheetId="5" r:id="rId8"/>
    <sheet state="visible" name="Screening test-1" sheetId="6" r:id="rId9"/>
    <sheet state="visible" name="Screening test-2" sheetId="7" r:id="rId10"/>
    <sheet state="visible" name="Sheet6" sheetId="8" r:id="rId11"/>
    <sheet state="visible" name="Sheet9" sheetId="9" r:id="rId12"/>
    <sheet state="visible" name="Sheet10" sheetId="10" r:id="rId13"/>
    <sheet state="hidden" name="Sheet2" sheetId="11" r:id="rId14"/>
    <sheet state="hidden" name="21-25 Batch Result (3-2 sem) " sheetId="12" r:id="rId15"/>
    <sheet state="hidden" name="Backlogs" sheetId="13" r:id="rId16"/>
  </sheets>
  <definedNames>
    <definedName hidden="1" localSheetId="1" name="_xlnm._FilterDatabase">'Analysis data'!$A$1:$N$359</definedName>
    <definedName hidden="1" localSheetId="2" name="_xlnm._FilterDatabase">'Company WISE data'!$A$1:$J$53</definedName>
    <definedName hidden="1" localSheetId="8" name="_xlnm._FilterDatabase">Sheet9!$A$1:$AZ$38</definedName>
    <definedName hidden="1" localSheetId="10" name="_xlnm._FilterDatabase">Sheet2!$I$1:$K$207</definedName>
    <definedName hidden="1" localSheetId="11" name="_xlnm._FilterDatabase">'21-25 Batch Result (3-2 sem) '!$A$1:$F$358</definedName>
  </definedNames>
  <calcPr/>
</workbook>
</file>

<file path=xl/sharedStrings.xml><?xml version="1.0" encoding="utf-8"?>
<sst xmlns="http://schemas.openxmlformats.org/spreadsheetml/2006/main" count="24925" uniqueCount="6426">
  <si>
    <t>Placement Statistics</t>
  </si>
  <si>
    <t>SECTION</t>
  </si>
  <si>
    <t>TOTAL</t>
  </si>
  <si>
    <t>BOYS</t>
  </si>
  <si>
    <t>GIRLS</t>
  </si>
  <si>
    <t>ELIGIBLE</t>
  </si>
  <si>
    <t>PLACED UNIQUE</t>
  </si>
  <si>
    <t>PLACED (Total offers)</t>
  </si>
  <si>
    <t>Boys(total multiple offers)</t>
  </si>
  <si>
    <t>girls (total multiple offers)</t>
  </si>
  <si>
    <t>Total students having multiple offers</t>
  </si>
  <si>
    <t>Boys</t>
  </si>
  <si>
    <t>Girls</t>
  </si>
  <si>
    <t>Unplaced Students</t>
  </si>
  <si>
    <t>A</t>
  </si>
  <si>
    <t>B</t>
  </si>
  <si>
    <t>C</t>
  </si>
  <si>
    <t>D</t>
  </si>
  <si>
    <t>E</t>
  </si>
  <si>
    <t>Backlog Details</t>
  </si>
  <si>
    <t>Total Students without backlogs</t>
  </si>
  <si>
    <t>Total students with backlog</t>
  </si>
  <si>
    <t>Total Students having 1 backlog</t>
  </si>
  <si>
    <t>Total Students having 2 backlog</t>
  </si>
  <si>
    <t>Total Students having more than 2 backlog</t>
  </si>
  <si>
    <t>Management</t>
  </si>
  <si>
    <t>Convenor</t>
  </si>
  <si>
    <t> Convener</t>
  </si>
  <si>
    <t> Management</t>
  </si>
  <si>
    <t>TOTAL STUDENTS HAVING 9 CGPA</t>
  </si>
  <si>
    <t>PLACED</t>
  </si>
  <si>
    <t>UNPLACED</t>
  </si>
  <si>
    <t>Sl. No.</t>
  </si>
  <si>
    <t>RollNo</t>
  </si>
  <si>
    <t>Section</t>
  </si>
  <si>
    <t>Name</t>
  </si>
  <si>
    <t>CGPA</t>
  </si>
  <si>
    <t>X</t>
  </si>
  <si>
    <t>Pass/Fail</t>
  </si>
  <si>
    <t>Gender</t>
  </si>
  <si>
    <t>Seat type</t>
  </si>
  <si>
    <t>Internships</t>
  </si>
  <si>
    <t>Jobs</t>
  </si>
  <si>
    <t>Total offers</t>
  </si>
  <si>
    <t>21211A0501</t>
  </si>
  <si>
    <t>A HRISHIKESH</t>
  </si>
  <si>
    <t>Male</t>
  </si>
  <si>
    <t>TECH MAHINDRA &amp; ASSET10 SOFTWARE</t>
  </si>
  <si>
    <t>TECH MAHINDRA</t>
  </si>
  <si>
    <t>21211A0502</t>
  </si>
  <si>
    <t>A RAGHAVENDRA</t>
  </si>
  <si>
    <t>TECH MAHINDRA &amp; LTI MINDTREE &amp; COGNIZANT-GENC &amp; OPENTEXT</t>
  </si>
  <si>
    <t>Accenture ASE</t>
  </si>
  <si>
    <t>21211A0503</t>
  </si>
  <si>
    <t>ABBARABOINA SHIVA KUMAR</t>
  </si>
  <si>
    <t>21211A0504</t>
  </si>
  <si>
    <t>ABHINAV VARMA VEGESNA</t>
  </si>
  <si>
    <t>MODAK</t>
  </si>
  <si>
    <t>21211A0505</t>
  </si>
  <si>
    <t>ACHAMPETA SONALI</t>
  </si>
  <si>
    <t>Female</t>
  </si>
  <si>
    <t>DBS</t>
  </si>
  <si>
    <t>Accenture ASE &amp; TECH MAHINDRA</t>
  </si>
  <si>
    <t>LTI Mindtree</t>
  </si>
  <si>
    <t>21211A0506</t>
  </si>
  <si>
    <t>ADANGI SADHWIK</t>
  </si>
  <si>
    <t>KPIT</t>
  </si>
  <si>
    <t>21211A0507</t>
  </si>
  <si>
    <t>ADEPU SAI RAHUL</t>
  </si>
  <si>
    <t>FRUGAL TESTING</t>
  </si>
  <si>
    <t>21211A0508</t>
  </si>
  <si>
    <t>ADHAM AKASH</t>
  </si>
  <si>
    <t>Accenture ADV ASE</t>
  </si>
  <si>
    <t>21211A0509</t>
  </si>
  <si>
    <t>ADIYALA MADHUMITHA</t>
  </si>
  <si>
    <t>STATESTREET</t>
  </si>
  <si>
    <t>21211A0510</t>
  </si>
  <si>
    <t>AGNESH KUNDU</t>
  </si>
  <si>
    <t>MODAK &amp; OPTUM &amp; RNTBCI</t>
  </si>
  <si>
    <t>OPTUM</t>
  </si>
  <si>
    <t>BIGWORKS</t>
  </si>
  <si>
    <t>21211A0511</t>
  </si>
  <si>
    <t>AILENI SREETHIKESH REDDY</t>
  </si>
  <si>
    <t>TECH MAHINDRA &amp; CORIZO-BDA</t>
  </si>
  <si>
    <t>21211A0512</t>
  </si>
  <si>
    <t>AILINENI VEDA SRI</t>
  </si>
  <si>
    <t>Accenture ASE &amp; OPTUM &amp; LTI MINDTREE</t>
  </si>
  <si>
    <t>VERISK-1</t>
  </si>
  <si>
    <t>21211A0513</t>
  </si>
  <si>
    <t>AJMEERA SINDHUJA</t>
  </si>
  <si>
    <t>SEOAK</t>
  </si>
  <si>
    <t>INFOSYS-HWI</t>
  </si>
  <si>
    <t>21211A0514</t>
  </si>
  <si>
    <t>AKULA VYSHNAVI</t>
  </si>
  <si>
    <t>VIAPLUS</t>
  </si>
  <si>
    <t>21211A0515</t>
  </si>
  <si>
    <t>AMAND SRI SIDDHARTHA</t>
  </si>
  <si>
    <t>HEXAGONE &amp; Realpage</t>
  </si>
  <si>
    <t>Accenture ASE &amp; TECH MAHINDRA &amp; LTI MINDTREE &amp; REALPAGE1</t>
  </si>
  <si>
    <t>SOTI</t>
  </si>
  <si>
    <t>21211A0516</t>
  </si>
  <si>
    <t>AMBATI SAHITHI</t>
  </si>
  <si>
    <t>Accenture ASE &amp; TECH MAHINDRA &amp; OPTUM &amp; RNTBCI</t>
  </si>
  <si>
    <t>BANK OF AMERICA</t>
  </si>
  <si>
    <t>21211A0517</t>
  </si>
  <si>
    <t>MAHTO</t>
  </si>
  <si>
    <t>INFOSYS-1</t>
  </si>
  <si>
    <t>21211A0518</t>
  </si>
  <si>
    <t>ANNAPUREDDY ARUN KUMAR REDDY</t>
  </si>
  <si>
    <t>21211A0519</t>
  </si>
  <si>
    <t>ANTHAREDDY TANVI REDDY</t>
  </si>
  <si>
    <t>PORTER-SDE1</t>
  </si>
  <si>
    <t>21211A0520</t>
  </si>
  <si>
    <t>AREPUDI VINAY KUMAR</t>
  </si>
  <si>
    <t>MRF</t>
  </si>
  <si>
    <t>PORTER-SDE-TEST</t>
  </si>
  <si>
    <t>21211A0521</t>
  </si>
  <si>
    <t>ASOORI MURALI KRISHNA</t>
  </si>
  <si>
    <t>TECH MAHINDRA &amp; VEEVA-SQL</t>
  </si>
  <si>
    <t>FACTSET</t>
  </si>
  <si>
    <t>21211A0522</t>
  </si>
  <si>
    <t>ABBARAJU VENKATA NAGA SAI KARTIK</t>
  </si>
  <si>
    <t>LTI MINDTREE &amp; INFOSYS-SE</t>
  </si>
  <si>
    <t>21211A0523</t>
  </si>
  <si>
    <t>AVULA THARUN</t>
  </si>
  <si>
    <t>Accenture ASE &amp; INFOSYS1-SE</t>
  </si>
  <si>
    <t>21211A0524</t>
  </si>
  <si>
    <t>BADAVATHKRISHNAVENI</t>
  </si>
  <si>
    <t>21211A0525</t>
  </si>
  <si>
    <t>BALAVARI VANESSA THANMAYI</t>
  </si>
  <si>
    <t>Accenture ASE &amp; TECH MAHINDRA &amp; CAPGEMINI-ANALYST</t>
  </si>
  <si>
    <t>21211A0526</t>
  </si>
  <si>
    <t>BANDANADAM PRANAYA</t>
  </si>
  <si>
    <t>RNTBCI &amp; INFOSYS-OFFCAMPUS-SE</t>
  </si>
  <si>
    <t>21211A0527</t>
  </si>
  <si>
    <t>BANDARI RAMCHARAN</t>
  </si>
  <si>
    <t>OPENTEXT</t>
  </si>
  <si>
    <t>21211A0528</t>
  </si>
  <si>
    <t>BANDARI SAIJYOTHI</t>
  </si>
  <si>
    <t>KPIT &amp; COGNIZANT-GENC</t>
  </si>
  <si>
    <t>21211A0529</t>
  </si>
  <si>
    <t>BATHULA VENKATA RAMANA</t>
  </si>
  <si>
    <t>21211A0530</t>
  </si>
  <si>
    <t>BAVANTHULA ANUDEEP REDDY</t>
  </si>
  <si>
    <t>MODAK &amp; Accenture ASE</t>
  </si>
  <si>
    <t>21211A0531</t>
  </si>
  <si>
    <t>BAVIRTI SURYA SAI KIRAN REKHA</t>
  </si>
  <si>
    <t>21211A0532</t>
  </si>
  <si>
    <t>BEGARI RAGHAVI</t>
  </si>
  <si>
    <t>21211A0533</t>
  </si>
  <si>
    <t>BEJUGAM SAITEJA</t>
  </si>
  <si>
    <t>Accenture ASE &amp; INFOSYS-OFFCAMPUS-SE</t>
  </si>
  <si>
    <t>21211A0534</t>
  </si>
  <si>
    <t>BETHI ANIRUDH REDDY</t>
  </si>
  <si>
    <t>CAPGEMINI-ANALYST</t>
  </si>
  <si>
    <t>21211A0535</t>
  </si>
  <si>
    <t>SASIKANTH REDDY BHIMIREDDY</t>
  </si>
  <si>
    <t>CORIZO-BDA &amp; SEOAK &amp; COGNIZANT-OFF CAMPUS</t>
  </si>
  <si>
    <t>21211A0536</t>
  </si>
  <si>
    <t>BOLIBOTHULA VARUN</t>
  </si>
  <si>
    <t>21211A0537</t>
  </si>
  <si>
    <t>BOLLAM MANIDEEP</t>
  </si>
  <si>
    <t>21211A0538</t>
  </si>
  <si>
    <t>BOMMENA ARAVIND</t>
  </si>
  <si>
    <t>SEOAK &amp; MRF</t>
  </si>
  <si>
    <t>21211A0539</t>
  </si>
  <si>
    <t>BOMMISHETTT VAMSHI</t>
  </si>
  <si>
    <t>21211A0540</t>
  </si>
  <si>
    <t>BOOJALA KIRAN REDDY</t>
  </si>
  <si>
    <t>21211A0541</t>
  </si>
  <si>
    <t>PRANAY BOOLA</t>
  </si>
  <si>
    <t>21211A0542</t>
  </si>
  <si>
    <t>BOYA SAI RAM</t>
  </si>
  <si>
    <t>21211A0543</t>
  </si>
  <si>
    <t>BUCHIREDDY GARI KARTHIK REDDY</t>
  </si>
  <si>
    <t>EDU-VERSITY</t>
  </si>
  <si>
    <t>21211A0544</t>
  </si>
  <si>
    <t>BUSIM NAGA SIDDU KARTHIK</t>
  </si>
  <si>
    <t>TECH MAHINDRA &amp; LTI MINDTREE &amp; CORIZO-BDA &amp; REALPAGE2</t>
  </si>
  <si>
    <t>21211A0545</t>
  </si>
  <si>
    <t>BUTTAGALLA VINOD</t>
  </si>
  <si>
    <t>21211A0546</t>
  </si>
  <si>
    <t>BYATHOL ANURADHA</t>
  </si>
  <si>
    <t>Accenture ASE &amp; LTI MINDTREE &amp; COGNIZANT-GENC</t>
  </si>
  <si>
    <t>21211A0547</t>
  </si>
  <si>
    <t>CHINTAKUNTA DURGA PRASAD REDDY</t>
  </si>
  <si>
    <t>21211A0548</t>
  </si>
  <si>
    <t>C KARTHIK</t>
  </si>
  <si>
    <t>NITK</t>
  </si>
  <si>
    <t>MODAK &amp; Accenture ASE &amp; TECH MAHINDRA &amp; OPTUM</t>
  </si>
  <si>
    <t>21211A0549</t>
  </si>
  <si>
    <t>CHEDURUPALLY VENUGOPAL</t>
  </si>
  <si>
    <t>21211A0550</t>
  </si>
  <si>
    <t>CHADA ACHYUTH KUMAR</t>
  </si>
  <si>
    <t>CORIZO1-BOE</t>
  </si>
  <si>
    <t>21211A0551</t>
  </si>
  <si>
    <t>CHAGANTI SANTHOSH KUMAR REDDY</t>
  </si>
  <si>
    <t>LTI MINDTREE &amp; INFOSYS-OFFCAMPUS-DSE</t>
  </si>
  <si>
    <t>21211A0552</t>
  </si>
  <si>
    <t>CHAKALI VAISHNAVI</t>
  </si>
  <si>
    <t>21211A0553</t>
  </si>
  <si>
    <t>CHANDA PRANEETH</t>
  </si>
  <si>
    <t>21211A0554</t>
  </si>
  <si>
    <t>CHANDRAKANTI VISHWA DHANUSH</t>
  </si>
  <si>
    <t>ASSET10 SOFTWARE</t>
  </si>
  <si>
    <t>21211A0555</t>
  </si>
  <si>
    <t>PRUTHVIRAJ CHAUHAN</t>
  </si>
  <si>
    <t>Accenture ADV ASE &amp; INFOSYS-1</t>
  </si>
  <si>
    <t>21211A0556</t>
  </si>
  <si>
    <t>CHERUKU ALANKRUTHA REDDY</t>
  </si>
  <si>
    <t>LTI MINDTREE</t>
  </si>
  <si>
    <t>21211A0557</t>
  </si>
  <si>
    <t>DIVIJA CHIGULLAPALLY</t>
  </si>
  <si>
    <t>21211A0558</t>
  </si>
  <si>
    <t>VISHWAS SHASTRY</t>
  </si>
  <si>
    <t>Accenture ASE &amp; LTI MINDTREE &amp; COGNIZANT-GENC &amp; INFOSYS1-SE</t>
  </si>
  <si>
    <t>21211A0559</t>
  </si>
  <si>
    <t>CHILUVERI RITHISH KUMAR</t>
  </si>
  <si>
    <t>21211A0560</t>
  </si>
  <si>
    <t>CHILUVERU DHEERAJ</t>
  </si>
  <si>
    <t>21211A0561</t>
  </si>
  <si>
    <t>CHINDAM DEEPIKA</t>
  </si>
  <si>
    <t>&amp; Realpage</t>
  </si>
  <si>
    <t>Accenture ASE &amp; TECH MAHINDRA &amp; KPIT &amp; LTI MINDTREE &amp; REALPAGE1 &amp; INFOSYS-SP</t>
  </si>
  <si>
    <t>21211A0562</t>
  </si>
  <si>
    <t>CHITNENI VAISHNAVI</t>
  </si>
  <si>
    <t>21211A0563</t>
  </si>
  <si>
    <t>VENKATESH CHOPPADHANDI</t>
  </si>
  <si>
    <t>RNTBCI</t>
  </si>
  <si>
    <t>21211A0564</t>
  </si>
  <si>
    <t>DAIDA PRAMODH</t>
  </si>
  <si>
    <t>CORIZO-BDA &amp; MOVATE1-DIS &amp; CAPGEMINI-SSE</t>
  </si>
  <si>
    <t>21211A0565</t>
  </si>
  <si>
    <t>DAKARAPU KEERTHI PRADANYA</t>
  </si>
  <si>
    <t>EATON-NAT</t>
  </si>
  <si>
    <t>22215A0501</t>
  </si>
  <si>
    <t>ABHINAV JASTA</t>
  </si>
  <si>
    <t>INFOSYS-SE</t>
  </si>
  <si>
    <t>22215A0502</t>
  </si>
  <si>
    <t>JAKKULA AISHWARYA</t>
  </si>
  <si>
    <t>22215A0503</t>
  </si>
  <si>
    <t>DIRRI AKHILA</t>
  </si>
  <si>
    <t>22215A0504</t>
  </si>
  <si>
    <t>VOLKI ANIRUDH</t>
  </si>
  <si>
    <t>22215A0505</t>
  </si>
  <si>
    <t>GUGLOTH ARUNA</t>
  </si>
  <si>
    <t>22215A0506</t>
  </si>
  <si>
    <t>MAGGIDI ARVIND</t>
  </si>
  <si>
    <t>22215A0507</t>
  </si>
  <si>
    <t>NAMPELLI GANGOTHRI</t>
  </si>
  <si>
    <t>21211A0566</t>
  </si>
  <si>
    <t>DARAM SOWMYA</t>
  </si>
  <si>
    <t>TECH MAHINDRA &amp; OPTUM</t>
  </si>
  <si>
    <t>21211A0567</t>
  </si>
  <si>
    <t>DASARI SUBBAYYAGARI NANDHU SAGAR</t>
  </si>
  <si>
    <t>COGNIZANT-GENC</t>
  </si>
  <si>
    <t>21211A0568</t>
  </si>
  <si>
    <t>KOUSTHUBHA DEBBATA</t>
  </si>
  <si>
    <t>21211A0569</t>
  </si>
  <si>
    <t>DEEPTHI PRIYADARSHINI.P</t>
  </si>
  <si>
    <t>21211A0570</t>
  </si>
  <si>
    <t>DENDI MOKSHITH REDDY</t>
  </si>
  <si>
    <t>21211A0571</t>
  </si>
  <si>
    <t>Deshavath Naveen</t>
  </si>
  <si>
    <t>21211A0572</t>
  </si>
  <si>
    <t>DHULIPALLA NAGA PARVATHI</t>
  </si>
  <si>
    <t>21211A0573</t>
  </si>
  <si>
    <t>DIDDI HARI HARAN</t>
  </si>
  <si>
    <t>BIGWORKS &amp; LTI MINDTREE &amp; COGNIZANT-GENC &amp; DBS</t>
  </si>
  <si>
    <t>21211A0574</t>
  </si>
  <si>
    <t>DODLE PRANATHI REDDY</t>
  </si>
  <si>
    <t>CORIZO-BDA</t>
  </si>
  <si>
    <t>21211A0575</t>
  </si>
  <si>
    <t>DOMAKONDA NANDINI</t>
  </si>
  <si>
    <t>21211A0576</t>
  </si>
  <si>
    <t>DULAM ABHINAV GOUD</t>
  </si>
  <si>
    <t>21211A0577</t>
  </si>
  <si>
    <t>DURGAM KARTHIK GOUD</t>
  </si>
  <si>
    <t>Accenture ASE &amp; COGNIZANT-GENC</t>
  </si>
  <si>
    <t>21211A0578</t>
  </si>
  <si>
    <t>E.HARITHA</t>
  </si>
  <si>
    <t>CORIZO-BDA &amp; CADSYS</t>
  </si>
  <si>
    <t>21211A0579</t>
  </si>
  <si>
    <t>SAI PRADEEP EDARA</t>
  </si>
  <si>
    <t>TECH MAHINDRA &amp; INFOSYS1-SE</t>
  </si>
  <si>
    <t>21211A0580</t>
  </si>
  <si>
    <t>BALAKRISHNA EMMADI</t>
  </si>
  <si>
    <t>21211A0581</t>
  </si>
  <si>
    <t>ERAGADINLA ACHYUT</t>
  </si>
  <si>
    <t>21211A0582</t>
  </si>
  <si>
    <t>GABRIEL EMMANUEL</t>
  </si>
  <si>
    <t>21211A0583</t>
  </si>
  <si>
    <t>GAJJALA LIKHITH REDDY</t>
  </si>
  <si>
    <t>Accenture ASE &amp; LTI MINDTREE &amp; COGNIZANT-GENC &amp; INFOSYS1-SE &amp; VEEVA-AQE</t>
  </si>
  <si>
    <t>21211A0584</t>
  </si>
  <si>
    <t>GALI BHAVYA</t>
  </si>
  <si>
    <t>Accenture ASE &amp; LTI MINDTREE &amp; DELOITTE-OFF CAMPUS</t>
  </si>
  <si>
    <t>21211A0585</t>
  </si>
  <si>
    <t>ALEKHYA GANDHAM</t>
  </si>
  <si>
    <t>21211A0586</t>
  </si>
  <si>
    <t>GANDLA ABHILASH</t>
  </si>
  <si>
    <t>21211A0587</t>
  </si>
  <si>
    <t>GANDLA ARUN KUMAR</t>
  </si>
  <si>
    <t>SEOAK &amp; CAPGEMINI-ANALYST</t>
  </si>
  <si>
    <t>21211A0588</t>
  </si>
  <si>
    <t>GANGAMALLU MERCY MADHURIMA REDDY</t>
  </si>
  <si>
    <t>IBRIDGE</t>
  </si>
  <si>
    <t>TECH MAHINDRA &amp; SYNERSYS-OFF CAMPUS</t>
  </si>
  <si>
    <t>21211A0589</t>
  </si>
  <si>
    <t>GANGAVARAPU. RAGHUVEER CHAITANYA</t>
  </si>
  <si>
    <t>VISION INDIA-OFF CAMPUS</t>
  </si>
  <si>
    <t>21211A0590</t>
  </si>
  <si>
    <t>GANTYALA SREEHITHA</t>
  </si>
  <si>
    <t>KPIT &amp; BIGWORKS &amp; LTI MINDTREE &amp; INFOSYS-SE &amp; COGNIZANT-GENC &amp; OPENTEXT</t>
  </si>
  <si>
    <t>21211A0591</t>
  </si>
  <si>
    <t>RAHUL GATLA</t>
  </si>
  <si>
    <t>Accenture ASE &amp; LTI MINDTREE &amp; RNTBCI &amp; INFOSYS1-SE</t>
  </si>
  <si>
    <t>21211A0592</t>
  </si>
  <si>
    <t>SRIJA GOLLAPALLY</t>
  </si>
  <si>
    <t>OPTUM &amp; RNTBCI</t>
  </si>
  <si>
    <t>21211A0593</t>
  </si>
  <si>
    <t>GOPAGONI SINDHU</t>
  </si>
  <si>
    <t>STATESTREET &amp; BANK OF AMERICA &amp; COGNIZANT-GENC</t>
  </si>
  <si>
    <t>21211A0594</t>
  </si>
  <si>
    <t>KEVIN GOPANPALLY</t>
  </si>
  <si>
    <t>21211A0595</t>
  </si>
  <si>
    <t>GOPIDI RITHIKA REDDY</t>
  </si>
  <si>
    <t>21211A0596</t>
  </si>
  <si>
    <t>GORLE DINESH NAIDU</t>
  </si>
  <si>
    <t>21211A0597</t>
  </si>
  <si>
    <t>GOSUKONDA ROHAN REDDY</t>
  </si>
  <si>
    <t>TECH MAHINDRA &amp; OPENTEXT</t>
  </si>
  <si>
    <t>21211A0598</t>
  </si>
  <si>
    <t>GOTTUMUKKALA SRI HARSHA VARMA</t>
  </si>
  <si>
    <t>21211A0599</t>
  </si>
  <si>
    <t>GOTTUMUKKALA TEJASWI</t>
  </si>
  <si>
    <t>LTI MINDTREE &amp; INFOSYS-SE &amp; COGNIZANT-GENC &amp; Extentia PVT Ltd-OFFCAMPUS</t>
  </si>
  <si>
    <t>21211A05A0</t>
  </si>
  <si>
    <t>SHRAVYA VANKUDOTH</t>
  </si>
  <si>
    <t>21211A05A1</t>
  </si>
  <si>
    <t>GUDIVADA ABHIRAM</t>
  </si>
  <si>
    <t>BIGWORKS &amp; INFOSYS1-SE &amp; PENNANT TECHNOLOGIES</t>
  </si>
  <si>
    <t>21211A05A2</t>
  </si>
  <si>
    <t>GUMMADIVELLY CHANDRAKANTH</t>
  </si>
  <si>
    <t>Accenture ASE &amp; KPIT &amp; INFOSYS1-SE &amp; OPENTEXT</t>
  </si>
  <si>
    <t>21211A05A3</t>
  </si>
  <si>
    <t>GUNDA SAI VIGNESH</t>
  </si>
  <si>
    <t>21211A05A4</t>
  </si>
  <si>
    <t>GUNDU NANDITHA</t>
  </si>
  <si>
    <t>FORAGE AI</t>
  </si>
  <si>
    <t>21211A05A5</t>
  </si>
  <si>
    <t>GUNTURU UDITH KALYAN</t>
  </si>
  <si>
    <t> Spot</t>
  </si>
  <si>
    <t>21211A05A6</t>
  </si>
  <si>
    <t>HANAMKONDA SUSANNA</t>
  </si>
  <si>
    <t>21211A05A7</t>
  </si>
  <si>
    <t>VADLURI HARISH KUMAR</t>
  </si>
  <si>
    <t>21211A05A8</t>
  </si>
  <si>
    <t>HATWAL MAHADEV</t>
  </si>
  <si>
    <t>&amp; VIDYANTH</t>
  </si>
  <si>
    <t>Accenture ASE &amp; VIDYANTH</t>
  </si>
  <si>
    <t>21211A05A9</t>
  </si>
  <si>
    <t>I. G. V. Ramesh varma</t>
  </si>
  <si>
    <t>21211A05B0</t>
  </si>
  <si>
    <t>TEJASHWI JAINA</t>
  </si>
  <si>
    <t>SKILL DUNIA</t>
  </si>
  <si>
    <t>Accenture ASE &amp; SKILL DUNIYA</t>
  </si>
  <si>
    <t>21211A05B1</t>
  </si>
  <si>
    <t>SRIKANTH JADA</t>
  </si>
  <si>
    <t>COGNIZANT-OFF CAMPUS</t>
  </si>
  <si>
    <t>21211A05B2</t>
  </si>
  <si>
    <t>JAGU KOTESWAR REDDY</t>
  </si>
  <si>
    <t>21211A05B3</t>
  </si>
  <si>
    <t>SREEJA JAKKULA</t>
  </si>
  <si>
    <t>OPTUM &amp; INFOSYS-2</t>
  </si>
  <si>
    <t>21211A05B4</t>
  </si>
  <si>
    <t>K THARUN</t>
  </si>
  <si>
    <t>21211A05B5</t>
  </si>
  <si>
    <t>KALAGARA BHANU SRI KRISHNA SUMANTH</t>
  </si>
  <si>
    <t>21211A05B6</t>
  </si>
  <si>
    <t>KALALI VISHNU VARDHAN GOUD</t>
  </si>
  <si>
    <t>21211A05B7</t>
  </si>
  <si>
    <t>KAMMARI KRISHNA PRASAD</t>
  </si>
  <si>
    <t>21211A05B8</t>
  </si>
  <si>
    <t>KAMUGANTI AKSHITHA</t>
  </si>
  <si>
    <t>21211A05B9</t>
  </si>
  <si>
    <t>KANDUNURI TEJASWI</t>
  </si>
  <si>
    <t>21211A05C0</t>
  </si>
  <si>
    <t>ANISHWAR KANKANALA</t>
  </si>
  <si>
    <t>21211A05C1</t>
  </si>
  <si>
    <t>KANKIPATI GOWTHAM</t>
  </si>
  <si>
    <t>21211A05C2</t>
  </si>
  <si>
    <t>KAPARTHI BHARATH KUMAR</t>
  </si>
  <si>
    <t>21211A05C3</t>
  </si>
  <si>
    <t>KAPARTHI MANOJ KUMAR</t>
  </si>
  <si>
    <t>21211A05C4</t>
  </si>
  <si>
    <t>KARRA NIKHIL</t>
  </si>
  <si>
    <t>21211A05C5</t>
  </si>
  <si>
    <t>KASARAPU SAHAJA</t>
  </si>
  <si>
    <t>21211A05C6</t>
  </si>
  <si>
    <t>KATPALLY GOURAV</t>
  </si>
  <si>
    <t>SKILL DUNIYA &amp; CORIZO-BDA</t>
  </si>
  <si>
    <t>21211A05C7</t>
  </si>
  <si>
    <t>KAUSHIK VARMA DATLA</t>
  </si>
  <si>
    <t>21211A05C8</t>
  </si>
  <si>
    <t>K N BHAVYA SREE</t>
  </si>
  <si>
    <t>Accenture ASE &amp; LTI MINDTREE</t>
  </si>
  <si>
    <t>21211A05C9</t>
  </si>
  <si>
    <t>PRADEEP KOLUSU</t>
  </si>
  <si>
    <t>CORIZO-BDA &amp; MRF</t>
  </si>
  <si>
    <t>21211A05D0</t>
  </si>
  <si>
    <t>BINDHU SRI KOMMULA</t>
  </si>
  <si>
    <t>22215A0508</t>
  </si>
  <si>
    <t>MOHAMMAD GHOUSE PASHA</t>
  </si>
  <si>
    <t>22215A0509</t>
  </si>
  <si>
    <t>YELLANKI HARSHA VARDHAN</t>
  </si>
  <si>
    <t>SENTIANTAL IT SOFTWARE SOLUTIONS-OFF CAMPUS</t>
  </si>
  <si>
    <t>22215A0510</t>
  </si>
  <si>
    <t>GUNDU KEERTHI PRIYA</t>
  </si>
  <si>
    <t>22215A0511</t>
  </si>
  <si>
    <t>NEELI LIKITHA</t>
  </si>
  <si>
    <t>KPIT &amp; INFOSYS-SE</t>
  </si>
  <si>
    <t>22215A0512</t>
  </si>
  <si>
    <t>KAIRAMKONDA MANIKANTA</t>
  </si>
  <si>
    <t>22215A0513</t>
  </si>
  <si>
    <t>RAMAVATH.NIKITHA</t>
  </si>
  <si>
    <t>22215A0514</t>
  </si>
  <si>
    <t>BODDU POOJA</t>
  </si>
  <si>
    <t>21211A05D1</t>
  </si>
  <si>
    <t>VALLURU JAIDEEPTEJA</t>
  </si>
  <si>
    <t>INFOSYS-SE &amp; CORIZO-BDA</t>
  </si>
  <si>
    <t>21211A05D2</t>
  </si>
  <si>
    <t>KOMMAREDDY KARTHIKEYAN REDDY</t>
  </si>
  <si>
    <t>21211A05D3</t>
  </si>
  <si>
    <t>KOMPELLI VAMSHI</t>
  </si>
  <si>
    <t>21211A05D4</t>
  </si>
  <si>
    <t>CHAITHANYA KRISHNA</t>
  </si>
  <si>
    <t>INFOSYS-HWI &amp; Accenture ASE &amp; COGNIZANT-GENC</t>
  </si>
  <si>
    <t>21211A05D5</t>
  </si>
  <si>
    <t>KONDA SRAVAN KUMAR</t>
  </si>
  <si>
    <t>SKILL DUNIYA</t>
  </si>
  <si>
    <t>21211A05D6</t>
  </si>
  <si>
    <t>KOPPULA JAYANTH DURGA SRINIVAS</t>
  </si>
  <si>
    <t>Accenture ASE &amp; TECH MAHINDRA &amp; LTI MINDTREE</t>
  </si>
  <si>
    <t>21211A05D7</t>
  </si>
  <si>
    <t>KORABOINA SHIVA SAI SANKEERTH</t>
  </si>
  <si>
    <t>21211A05D8</t>
  </si>
  <si>
    <t>KOTA RUCHITHA</t>
  </si>
  <si>
    <t>21211A05D9</t>
  </si>
  <si>
    <t>KOTAGIRI CHAITHANYA</t>
  </si>
  <si>
    <t>DBS &amp; VIAPLUS &amp; AMAZON SDE INTERN</t>
  </si>
  <si>
    <t>VIAPLUS &amp; AMAZON-SDE-FTE</t>
  </si>
  <si>
    <t>21211A05E0</t>
  </si>
  <si>
    <t>KUNTIPAVANSAI</t>
  </si>
  <si>
    <t>21211A05E1</t>
  </si>
  <si>
    <t>KUSI SHYAM</t>
  </si>
  <si>
    <t>21211A05E2</t>
  </si>
  <si>
    <t>L MAHESH</t>
  </si>
  <si>
    <t>21211A05E3</t>
  </si>
  <si>
    <t>LAAMU SAJAN</t>
  </si>
  <si>
    <t>BIGWORKS &amp; LTI MINDTREE &amp; INFOSYS-SE</t>
  </si>
  <si>
    <t>21211A05E4</t>
  </si>
  <si>
    <t>LAKKAM MUKESH</t>
  </si>
  <si>
    <t>HEXAGONE</t>
  </si>
  <si>
    <t>Accenture ASE &amp; VERISK-1</t>
  </si>
  <si>
    <t>21211A05E5</t>
  </si>
  <si>
    <t>LEBAKA NAVYA</t>
  </si>
  <si>
    <t>Accenture ASE &amp; OPTUM &amp; LTI MINDTREE &amp; RNTBCI</t>
  </si>
  <si>
    <t>21211A05E6</t>
  </si>
  <si>
    <t>LENKEWAR NIKHIL</t>
  </si>
  <si>
    <t>21211A05E8</t>
  </si>
  <si>
    <t>M HARSHAVARDHAN</t>
  </si>
  <si>
    <t>21211A05E9</t>
  </si>
  <si>
    <t>MALLEPALLY LOKESHWAR REDDY</t>
  </si>
  <si>
    <t>Accenture ASE &amp; TECH MAHINDRA &amp; REALPAGE1</t>
  </si>
  <si>
    <t>21211A05F0</t>
  </si>
  <si>
    <t>MALLULA PEDDIRAJU TEJA</t>
  </si>
  <si>
    <t>21211A05F1</t>
  </si>
  <si>
    <t>M VAMSHI</t>
  </si>
  <si>
    <t>21211A05F2</t>
  </si>
  <si>
    <t>MADA MANITEJ REDDY</t>
  </si>
  <si>
    <t>TECH MAHINDRA &amp; LTI MINDTREE &amp; INFOSYS1-SE &amp; DELOITTE-OFF CAMPUS</t>
  </si>
  <si>
    <t>21211A05F3</t>
  </si>
  <si>
    <t>MADAMSHETTI RISHANKA</t>
  </si>
  <si>
    <t>21211A05F4</t>
  </si>
  <si>
    <t>MADDINENI SANDEEP</t>
  </si>
  <si>
    <t>Accenture ASE &amp; VEEVA-AQE</t>
  </si>
  <si>
    <t>21211A05F5</t>
  </si>
  <si>
    <t>NAVYA SRI MADDIPUDI</t>
  </si>
  <si>
    <t>21211A05F6</t>
  </si>
  <si>
    <t>MADDURI NAGA VENKATA SATYA PAVAN KUMAR</t>
  </si>
  <si>
    <t>21211A05F7</t>
  </si>
  <si>
    <t>MADHADI KOUSHIK REDDY</t>
  </si>
  <si>
    <t>21211A05F8</t>
  </si>
  <si>
    <t>MADIPALLI JAGADEESH</t>
  </si>
  <si>
    <t>21211A05F9</t>
  </si>
  <si>
    <t>RUTHIKA</t>
  </si>
  <si>
    <t>21211A05G0</t>
  </si>
  <si>
    <t>SHASHANK REDDY</t>
  </si>
  <si>
    <t>21211A05G1</t>
  </si>
  <si>
    <t>MANDAPATI ANIRUDH VARMA</t>
  </si>
  <si>
    <t>21211A05G2</t>
  </si>
  <si>
    <t>MANNE MITHILESH REDDY</t>
  </si>
  <si>
    <t>21211A05G3</t>
  </si>
  <si>
    <t>MANOJ RISHI NULU</t>
  </si>
  <si>
    <t>MODAK &amp; Accenture ASE &amp; OPTUM</t>
  </si>
  <si>
    <t>21211A05G4</t>
  </si>
  <si>
    <t>MANTADA HARSHA VARDHAN</t>
  </si>
  <si>
    <t>INFOSYS-SE &amp; COGNIZANT-GENC</t>
  </si>
  <si>
    <t>21211A05G5</t>
  </si>
  <si>
    <t>MANTHRI YASHASHWINI</t>
  </si>
  <si>
    <t>21211A05G6</t>
  </si>
  <si>
    <t>MARUPAKA NAVATEJA</t>
  </si>
  <si>
    <t>21211A05G7</t>
  </si>
  <si>
    <t>MATAM SURYA TEJA</t>
  </si>
  <si>
    <t>MOVATE1-DIS</t>
  </si>
  <si>
    <t>21211A05G8</t>
  </si>
  <si>
    <t>MANJUNATH GOUD</t>
  </si>
  <si>
    <t>TECH MAHINDRA &amp; LTI MINDTREE</t>
  </si>
  <si>
    <t>21211A05G9</t>
  </si>
  <si>
    <t>MD FARHAN ALI</t>
  </si>
  <si>
    <t>Accenture ASE &amp; RNTBCI &amp; VIAPLUS</t>
  </si>
  <si>
    <t>21211A05H0</t>
  </si>
  <si>
    <t>MEGHANA ANNU</t>
  </si>
  <si>
    <t>21211A05H1</t>
  </si>
  <si>
    <t>MERUGU SUSANNA SUCHARITHA</t>
  </si>
  <si>
    <t>21211A05H2</t>
  </si>
  <si>
    <t>MINKOORI ABHISREE</t>
  </si>
  <si>
    <t>21211A05H3</t>
  </si>
  <si>
    <t>MOHAMMAD APSAR</t>
  </si>
  <si>
    <t>NOMISO</t>
  </si>
  <si>
    <t>21211A05H4</t>
  </si>
  <si>
    <t>MOHAMMED SAMEER</t>
  </si>
  <si>
    <t>LTI MINDTREE &amp; REALPAGE1 &amp; MedPlus Health Services Limited-OFFCAMPUS</t>
  </si>
  <si>
    <t>21211A05H5</t>
  </si>
  <si>
    <t>MOHAMMED SHAKIR AHMED</t>
  </si>
  <si>
    <t>21211A05H6</t>
  </si>
  <si>
    <t>MOTURI LAKSHMI JHANAVI</t>
  </si>
  <si>
    <t>21211A05H7</t>
  </si>
  <si>
    <t>MUKTEVI KRISHNA PRAMOD</t>
  </si>
  <si>
    <t>21211A05H8</t>
  </si>
  <si>
    <t>MULLA VIVEK</t>
  </si>
  <si>
    <t>21211A05H9</t>
  </si>
  <si>
    <t>M.HEMANTH SAI</t>
  </si>
  <si>
    <t>21211A05J0</t>
  </si>
  <si>
    <t>YAMINI MUSUNURU</t>
  </si>
  <si>
    <t>Accenture ASE &amp; OPTUM</t>
  </si>
  <si>
    <t>21211A05J1</t>
  </si>
  <si>
    <t>JESSICA SHULAMITE</t>
  </si>
  <si>
    <t>21211A05J2</t>
  </si>
  <si>
    <t>NAKKA LAKSHMI DEEPIKA</t>
  </si>
  <si>
    <t>21211A05J3</t>
  </si>
  <si>
    <t>NALLAMOTHU SRI CHARAN</t>
  </si>
  <si>
    <t>21211A05J4</t>
  </si>
  <si>
    <t>NAREN VENKAT PANCHAKARLA</t>
  </si>
  <si>
    <t>21211A05J5</t>
  </si>
  <si>
    <t>NARSINGAM VINAY KUMAR</t>
  </si>
  <si>
    <t>21211A05J6</t>
  </si>
  <si>
    <t>NEHA</t>
  </si>
  <si>
    <t>MICROSOFT</t>
  </si>
  <si>
    <t>21211A05J7</t>
  </si>
  <si>
    <t>NEHA CIRGIR</t>
  </si>
  <si>
    <t>21211A05J8</t>
  </si>
  <si>
    <t>NEHA VATHSAVAYI</t>
  </si>
  <si>
    <t>21211A05J9</t>
  </si>
  <si>
    <t>NEMANI SRINITYA</t>
  </si>
  <si>
    <t>21211A05K0</t>
  </si>
  <si>
    <t>NENAVATH VASANTH</t>
  </si>
  <si>
    <t>21211A05K1</t>
  </si>
  <si>
    <t>SAIPRANEETH NETHENURI</t>
  </si>
  <si>
    <t>21211A05K2</t>
  </si>
  <si>
    <t>NIZAMPURAM SRICHARITHA</t>
  </si>
  <si>
    <t>Accenture ASE &amp; RNTBCI</t>
  </si>
  <si>
    <t>21211A05K3</t>
  </si>
  <si>
    <t>NOUSHEEN BEGUM</t>
  </si>
  <si>
    <t>21211A05K4</t>
  </si>
  <si>
    <t>NUNE SAITEJA</t>
  </si>
  <si>
    <t>21211A05K5</t>
  </si>
  <si>
    <t>BATTU YASHWANTH SAI KUMAR</t>
  </si>
  <si>
    <t>22215A0515</t>
  </si>
  <si>
    <t>BURRAGONI POOJITHA</t>
  </si>
  <si>
    <t>22215A0516</t>
  </si>
  <si>
    <t>GUNDU RAJ VARUN</t>
  </si>
  <si>
    <t>22215A0517</t>
  </si>
  <si>
    <t>RAKESH PARLAPELLI</t>
  </si>
  <si>
    <t>CAPGEMINI-SSE</t>
  </si>
  <si>
    <t>22215A0518</t>
  </si>
  <si>
    <t>MOPALA RAVINDER REDDY</t>
  </si>
  <si>
    <t>22215A0519</t>
  </si>
  <si>
    <t>SACHIN KUMAR RAY</t>
  </si>
  <si>
    <t>22215A0520</t>
  </si>
  <si>
    <t>GANDE SAHASRA</t>
  </si>
  <si>
    <t>21UJ1A0557</t>
  </si>
  <si>
    <t>TRINATH DASARI</t>
  </si>
  <si>
    <t>21211A05K6</t>
  </si>
  <si>
    <t>ODUGU KRISHNA CHANDRA</t>
  </si>
  <si>
    <t>INFOSYS-SE &amp; LTI MINDTREE &amp; COGNIZANT-GENC &amp; OPENTEXT</t>
  </si>
  <si>
    <t>21211A05K7</t>
  </si>
  <si>
    <t>PENDYALA LAKSHMI SAI SINDHUJA</t>
  </si>
  <si>
    <t>21211A05K8</t>
  </si>
  <si>
    <t>PATHAKOTA.SIVA.SAI.PRANAV</t>
  </si>
  <si>
    <t>CORIZO-BDA &amp; CAPGEMINI-ANALYST</t>
  </si>
  <si>
    <t>21211A05K9</t>
  </si>
  <si>
    <t>P TEJESWARA VARMA</t>
  </si>
  <si>
    <t>CAPGEMINI-ANALYST &amp; PENNANT TECHNOLOGIES</t>
  </si>
  <si>
    <t>21211A05L0</t>
  </si>
  <si>
    <t>PADAKANTI ESHWAR</t>
  </si>
  <si>
    <t>21211A05L1</t>
  </si>
  <si>
    <t>Pallavi Pola</t>
  </si>
  <si>
    <t>MOVATE1-DIS &amp; INFOSYS-OFFCAMPUS-SE</t>
  </si>
  <si>
    <t>21211A05L2</t>
  </si>
  <si>
    <t>Palleboina gurusai</t>
  </si>
  <si>
    <t>21211A05L3</t>
  </si>
  <si>
    <t>PALTHYA SONALIKA</t>
  </si>
  <si>
    <t>21211A05L4</t>
  </si>
  <si>
    <t>PAMULAPARTHY BHARATH REDDY</t>
  </si>
  <si>
    <t>INFOSYS-OFFCAMPUS-SE</t>
  </si>
  <si>
    <t>21211A05L5</t>
  </si>
  <si>
    <t>PAMURU GAYATHRI SRAVYA</t>
  </si>
  <si>
    <t>21211A05L6</t>
  </si>
  <si>
    <t>PANAKANTI SRIDEVI</t>
  </si>
  <si>
    <t>DELOITTE</t>
  </si>
  <si>
    <t>MODAK &amp; TECH MAHINDRA &amp; INFOSYS1-SE</t>
  </si>
  <si>
    <t>21211A05L7</t>
  </si>
  <si>
    <t>PANASA DEEPIKA</t>
  </si>
  <si>
    <t>21211A05L8</t>
  </si>
  <si>
    <t>PANUGANTI VENKATA SAI PRATHEEK</t>
  </si>
  <si>
    <t>21211A05L9</t>
  </si>
  <si>
    <t>PAPAGARI DATTA REDDY</t>
  </si>
  <si>
    <t>INFOSYS-SP</t>
  </si>
  <si>
    <t>21211A05M0</t>
  </si>
  <si>
    <t>PARIDE PALLAVI</t>
  </si>
  <si>
    <t>21211A05M1</t>
  </si>
  <si>
    <t>PARSI SNEHAJA</t>
  </si>
  <si>
    <t>21211A05M2</t>
  </si>
  <si>
    <t>SHRAVANTHI PASAGADUGULA</t>
  </si>
  <si>
    <t>INFINITE COMPUTER SOLUTIONS</t>
  </si>
  <si>
    <t>21211A05M3</t>
  </si>
  <si>
    <t>VARSHIKA REDDY</t>
  </si>
  <si>
    <t>SKILL DUNIYA &amp; MOVATE1-DIS</t>
  </si>
  <si>
    <t>21211A05M4</t>
  </si>
  <si>
    <t>ROHITH PASHIPALA</t>
  </si>
  <si>
    <t>21211A05M5</t>
  </si>
  <si>
    <t>PATANCHERU NAVYA</t>
  </si>
  <si>
    <t>VIDYANTH</t>
  </si>
  <si>
    <t>CORIZO-BDA &amp; VIDYANTH &amp; SEOAK</t>
  </si>
  <si>
    <t>21211A05M6</t>
  </si>
  <si>
    <t>PATLOLA SHIVA CHANDRA PRASAD</t>
  </si>
  <si>
    <t>21211A05M7</t>
  </si>
  <si>
    <t>P.JAYAKRISHNAREDDY</t>
  </si>
  <si>
    <t>21211A05M8</t>
  </si>
  <si>
    <t>PATLOLLA SATHVIKA REDDY</t>
  </si>
  <si>
    <t>21211A05M9</t>
  </si>
  <si>
    <t>PATLOORI SAI KIRAN</t>
  </si>
  <si>
    <t>21211A05N0</t>
  </si>
  <si>
    <t>PECHETTI RISHIKESH</t>
  </si>
  <si>
    <t>21211A05N1</t>
  </si>
  <si>
    <t>PEDDI BHARATH</t>
  </si>
  <si>
    <t>FORAGE AI &amp; VIAPLUS</t>
  </si>
  <si>
    <t>Accenture ASE &amp; LTI MINDTREE &amp; VIAPLUS</t>
  </si>
  <si>
    <t>21211A05N2</t>
  </si>
  <si>
    <t>PENDYALA PREETHAM</t>
  </si>
  <si>
    <t>21211A05N3</t>
  </si>
  <si>
    <t>PERALA VENKATA AKANKSHA</t>
  </si>
  <si>
    <t>Accenture ASE &amp; TECH MAHINDRA &amp; STATESTREET</t>
  </si>
  <si>
    <t>21211A05N4</t>
  </si>
  <si>
    <t>PERAMANA SRIKAR</t>
  </si>
  <si>
    <t>21211A05N5</t>
  </si>
  <si>
    <t>PERIKA MEENAKSHI</t>
  </si>
  <si>
    <t>SKILL DUNIA &amp; VIDYANTH</t>
  </si>
  <si>
    <t>SKILL DUNIYA &amp; CORIZO-BDA &amp; VIDYANTH</t>
  </si>
  <si>
    <t>21211A05N6</t>
  </si>
  <si>
    <t>PICHIGUNTLA YUGANDHAR</t>
  </si>
  <si>
    <t>21211A05N7</t>
  </si>
  <si>
    <t>PILLELLA JASWANTH</t>
  </si>
  <si>
    <t>Accenture ASE &amp; INFOSYS1-SE &amp; PENNANT TECHNOLOGIES &amp; REALPAGE2</t>
  </si>
  <si>
    <t>21211A05N8</t>
  </si>
  <si>
    <t>POLOJU AKSHAYA</t>
  </si>
  <si>
    <t>TECH MAHINDRA &amp; BANK OF AMERICA</t>
  </si>
  <si>
    <t>21211A05N9</t>
  </si>
  <si>
    <t>SAI VARDHAN PONDURU</t>
  </si>
  <si>
    <t>Accenture ASE &amp; TECH MAHINDRA &amp; STATESTREET &amp; COGNIZANT-GENC</t>
  </si>
  <si>
    <t>21211A05P0</t>
  </si>
  <si>
    <t>POOJITHA LAKSHMI GANAPAVARAPU</t>
  </si>
  <si>
    <t>Accenture ASE &amp; TECH MAHINDRA &amp; OPTUM</t>
  </si>
  <si>
    <t>21211A05P1</t>
  </si>
  <si>
    <t>POPPOPPU SAI PAVAN ABHIRAM</t>
  </si>
  <si>
    <t>LTI MINDTREE &amp; PENNANT TECHNOLOGIES</t>
  </si>
  <si>
    <t>21211A05P2</t>
  </si>
  <si>
    <t>POTLA. CHARAN CHANDU</t>
  </si>
  <si>
    <t>TECH MAHINDRA &amp; NTT DATA-OFF CAMPUS</t>
  </si>
  <si>
    <t>21211A05P3</t>
  </si>
  <si>
    <t>JOSEPH RAJ POTPALLY</t>
  </si>
  <si>
    <t>21211A05P4</t>
  </si>
  <si>
    <t>POTTI PRAGNYA</t>
  </si>
  <si>
    <t>21211A05P5</t>
  </si>
  <si>
    <t>PRALAYAKAVERI NIYATI</t>
  </si>
  <si>
    <t>21211A05P6</t>
  </si>
  <si>
    <t>PRANATHI ADLA</t>
  </si>
  <si>
    <t>21211A05P7</t>
  </si>
  <si>
    <t>PRATIBHA VUTUKURU</t>
  </si>
  <si>
    <t>BRISTOL MYERS SQUIBB</t>
  </si>
  <si>
    <t>21211A05P8</t>
  </si>
  <si>
    <t>PULABOYINA GANESH</t>
  </si>
  <si>
    <t>CADSYS</t>
  </si>
  <si>
    <t>21211A05P9</t>
  </si>
  <si>
    <t>P SRINIVAS</t>
  </si>
  <si>
    <t>21211A05Q0</t>
  </si>
  <si>
    <t>SAI KIRAN PULLELA</t>
  </si>
  <si>
    <t>LTI MINDTREE &amp; HASHEDIN-DELOITTE</t>
  </si>
  <si>
    <t>21211A05Q1</t>
  </si>
  <si>
    <t>PUNDRU HARSHITHA</t>
  </si>
  <si>
    <t>Accenture ASE &amp; TECH MAHINDRA &amp; COGNIZANT-GENC</t>
  </si>
  <si>
    <t>21211A05Q2</t>
  </si>
  <si>
    <t>GANESH PUTTA</t>
  </si>
  <si>
    <t>COGNIZANT1-GENC-NEXT</t>
  </si>
  <si>
    <t>21211A05Q3</t>
  </si>
  <si>
    <t>PUTTI CHETHANA</t>
  </si>
  <si>
    <t>Accenture ASE &amp; EPAM</t>
  </si>
  <si>
    <t>21211A05Q4</t>
  </si>
  <si>
    <t>RAAVI ABHIRAM</t>
  </si>
  <si>
    <t>21211A05Q5</t>
  </si>
  <si>
    <t>UDAYKUMAR</t>
  </si>
  <si>
    <t>21211A05Q6</t>
  </si>
  <si>
    <t>RAMAVATH PREM SINGH</t>
  </si>
  <si>
    <t>21211A05Q7</t>
  </si>
  <si>
    <t>RAMAVATH SATNAM SINGH</t>
  </si>
  <si>
    <t>21211A05Q8</t>
  </si>
  <si>
    <t>VIHAASITH RAVULA</t>
  </si>
  <si>
    <t>21211A05Q9</t>
  </si>
  <si>
    <t>RAYAKANTI MANASWINI</t>
  </si>
  <si>
    <t>21211A05R0</t>
  </si>
  <si>
    <t>REDDY KAVYA REDDY</t>
  </si>
  <si>
    <t>TECH MAHINDRA &amp; LTI MINDTREE &amp; COGNIZANT-GENC</t>
  </si>
  <si>
    <t>21211A05R1</t>
  </si>
  <si>
    <t>RUKSAR</t>
  </si>
  <si>
    <t>21211A05R2</t>
  </si>
  <si>
    <t>POOJITHA</t>
  </si>
  <si>
    <t>21211A05R3</t>
  </si>
  <si>
    <t>SADHULA SHREYA REDDY</t>
  </si>
  <si>
    <t>Accenture ASE &amp; TECH MAHINDRA &amp; INFOSYS1-SE</t>
  </si>
  <si>
    <t>21211A05R4</t>
  </si>
  <si>
    <t>SADIYA TABASSUM</t>
  </si>
  <si>
    <t>21211A05R5</t>
  </si>
  <si>
    <t>SAI REDDY PRANAVI</t>
  </si>
  <si>
    <t>21211A05R6</t>
  </si>
  <si>
    <t>SAI SATHWIK KOSURU</t>
  </si>
  <si>
    <t>HUB DATA - IIIT HYDERABAD</t>
  </si>
  <si>
    <t>LTI MINDTREE &amp; COGNIZANT1-GENC-NEXT</t>
  </si>
  <si>
    <t>21211A05R8</t>
  </si>
  <si>
    <t>JAMPANI SAI TEJA</t>
  </si>
  <si>
    <t>21211A05R9</t>
  </si>
  <si>
    <t>SALAGRAM SADHWIK</t>
  </si>
  <si>
    <t>21211A05T0</t>
  </si>
  <si>
    <t>SANGANI ADITHYA OM</t>
  </si>
  <si>
    <t>SOTI &amp; INFOSYS1-SE</t>
  </si>
  <si>
    <t>22215A0521</t>
  </si>
  <si>
    <t>GANDHARI SAI PRIYA</t>
  </si>
  <si>
    <t>22215A0522</t>
  </si>
  <si>
    <t>BALLA SAI SUMANTH</t>
  </si>
  <si>
    <t>22215A0523</t>
  </si>
  <si>
    <t>BAINDLA SANDHYA</t>
  </si>
  <si>
    <t>22215A0524</t>
  </si>
  <si>
    <t>PEDDA REDDY GARI SATHWIKA</t>
  </si>
  <si>
    <t>22215A0525</t>
  </si>
  <si>
    <t>CHANDANA SHAMSHITA VOLETI</t>
  </si>
  <si>
    <t>KPIT &amp; LTI MINDTREE</t>
  </si>
  <si>
    <t>22215A0526</t>
  </si>
  <si>
    <t>ANKAMPALLY SHIVAKUMAR</t>
  </si>
  <si>
    <t>21841A05L7</t>
  </si>
  <si>
    <t>SUNKARI JYOTHI</t>
  </si>
  <si>
    <t>21211A05T1</t>
  </si>
  <si>
    <t>SANIYA FATHIMA</t>
  </si>
  <si>
    <t>Accenture ASE &amp; TECH MAHINDRA &amp; LTI MINDTREE &amp; RNTBCI</t>
  </si>
  <si>
    <t>21211A05T2</t>
  </si>
  <si>
    <t>SANKA RAGA DIVYA</t>
  </si>
  <si>
    <t>MODAK &amp; Accenture ASE &amp; PORTER-SDE-TEST &amp; OPTUM</t>
  </si>
  <si>
    <t>21211A05T3</t>
  </si>
  <si>
    <t>SANKURTHI DEEPAK</t>
  </si>
  <si>
    <t>21211A05T4</t>
  </si>
  <si>
    <t>SARA SRI VARDHAN</t>
  </si>
  <si>
    <t>21211A05T5</t>
  </si>
  <si>
    <t>SAYABUGARI VARSHITHA</t>
  </si>
  <si>
    <t>KPIT &amp; LTI MINDTREE &amp; INFOSYS-SE</t>
  </si>
  <si>
    <t>21211A05T6</t>
  </si>
  <si>
    <t>HARSHAVARDHAN REDDY SEETHAGARI</t>
  </si>
  <si>
    <t>21211A05T7</t>
  </si>
  <si>
    <t>SHAIK MOIN</t>
  </si>
  <si>
    <t>21211A05T8</t>
  </si>
  <si>
    <t>SHEGURI ANUSHA</t>
  </si>
  <si>
    <t>21211A05T9</t>
  </si>
  <si>
    <t>SHIVDEEP</t>
  </si>
  <si>
    <t>INFOSYS-SE &amp; COGNIZANT-GENC &amp; SKILL DUNIYA</t>
  </si>
  <si>
    <t>21211A05U0</t>
  </si>
  <si>
    <t>SIKHA AKSHARA</t>
  </si>
  <si>
    <t>21211A05U1</t>
  </si>
  <si>
    <t>SILLA VIVEK</t>
  </si>
  <si>
    <t>21211A05U2</t>
  </si>
  <si>
    <t>SIVAPURAM VENKATA PRATHAM</t>
  </si>
  <si>
    <t>21211A05U3</t>
  </si>
  <si>
    <t>SOHAM SINHA CHOUDHURY</t>
  </si>
  <si>
    <t>MODAK &amp; Accenture ASE &amp; FACTSET</t>
  </si>
  <si>
    <t>21211A05U4</t>
  </si>
  <si>
    <t>SOLE ABHISHEK</t>
  </si>
  <si>
    <t>21211A05U5</t>
  </si>
  <si>
    <t>SOMAVARAPU PUNDARI SAI</t>
  </si>
  <si>
    <t>21211A05U6</t>
  </si>
  <si>
    <t>SOULLA RAHUL</t>
  </si>
  <si>
    <t>21211A05U7</t>
  </si>
  <si>
    <t>SOUNDARYA LAHARI VEMURI</t>
  </si>
  <si>
    <t>BANK OF AMERICA &amp; LTI MINDTREE &amp; RNTBCI</t>
  </si>
  <si>
    <t>21211A05U8</t>
  </si>
  <si>
    <t>SRIGIRI SAMHITHA</t>
  </si>
  <si>
    <t>NIEPID, Secunderabad</t>
  </si>
  <si>
    <t>21211A05U9</t>
  </si>
  <si>
    <t>SRIHARI PRASAD REDDY MARUKANTI</t>
  </si>
  <si>
    <t>INFOSYS-SE &amp; REALPAGE2</t>
  </si>
  <si>
    <t>21211A05V0</t>
  </si>
  <si>
    <t>SRIRAMOJU RUSHI KUMAR</t>
  </si>
  <si>
    <t>21211A05V1</t>
  </si>
  <si>
    <t>SUDHAGONI ABHIRAM</t>
  </si>
  <si>
    <t>21211A05V2</t>
  </si>
  <si>
    <t>SULIGE SHIVA</t>
  </si>
  <si>
    <t>21211A05V3</t>
  </si>
  <si>
    <t>SWAPNIKA KUBIREDDY</t>
  </si>
  <si>
    <t>21211A05V4</t>
  </si>
  <si>
    <t>SYED ARIF HASSAIN</t>
  </si>
  <si>
    <t>21211A05V5</t>
  </si>
  <si>
    <t>TADIKIMALLA PRAVEENMAHAN</t>
  </si>
  <si>
    <t>21211A05V6</t>
  </si>
  <si>
    <t>TEKALE SRUJAN</t>
  </si>
  <si>
    <t>Accenture ASE &amp; TECH MAHINDRA &amp; LTI MINDTREE &amp; COGNIZANT-GENC &amp; SKILL DUNIYA &amp; OPENTEXT</t>
  </si>
  <si>
    <t>21211A05V7</t>
  </si>
  <si>
    <t>THATIPALLY ARUN</t>
  </si>
  <si>
    <t>21211A05V8</t>
  </si>
  <si>
    <t>THATIPAMULA KIRITI</t>
  </si>
  <si>
    <t>21211A05V9</t>
  </si>
  <si>
    <t>THONDAPU PAVAN KUMAR</t>
  </si>
  <si>
    <t>21211A05W0</t>
  </si>
  <si>
    <t>THOTAKURA VIJAY KUMAR VARMA</t>
  </si>
  <si>
    <t>21211A05W1</t>
  </si>
  <si>
    <t>THUMMALA MANOGNA</t>
  </si>
  <si>
    <t>OPTUM &amp; LTI MINDTREE</t>
  </si>
  <si>
    <t>21211A05W2</t>
  </si>
  <si>
    <t>UPENDRAM HARISH</t>
  </si>
  <si>
    <t>Accenture ASE &amp; TECH MAHINDRA &amp; LTI MINDTREE &amp; COGNIZANT-GENC &amp; REALPAGE1</t>
  </si>
  <si>
    <t>21211A05W3</t>
  </si>
  <si>
    <t>UTTARAVILLI KAVYA SREE</t>
  </si>
  <si>
    <t>Accenture ASE &amp; TECH MAHINDRA &amp; LTI MINDTREE &amp; COGNIZANT1-GENC-NEXT &amp; INFOSYS1-SE</t>
  </si>
  <si>
    <t>21211A05W4</t>
  </si>
  <si>
    <t>V MRUDULA</t>
  </si>
  <si>
    <t>VIDYANTH &amp; COGNIZANT-OFF CAMPUS</t>
  </si>
  <si>
    <t>21211A05W5</t>
  </si>
  <si>
    <t>VADDI VENKATA AKSHAYA</t>
  </si>
  <si>
    <t>21211A05W6</t>
  </si>
  <si>
    <t>VADLAMUDI BHAVAN</t>
  </si>
  <si>
    <t>21211A05W7</t>
  </si>
  <si>
    <t>VADRANAPU HEMANTH</t>
  </si>
  <si>
    <t>21211A05W8</t>
  </si>
  <si>
    <t>VALAVALA VENKATA KARTHIKESHWAR</t>
  </si>
  <si>
    <t>VALLEPU SAI KUMAR</t>
  </si>
  <si>
    <t>21211A05X0</t>
  </si>
  <si>
    <t>VANAM ANIL</t>
  </si>
  <si>
    <t>21211A05X1</t>
  </si>
  <si>
    <t>VANGALA ASHWANTHI</t>
  </si>
  <si>
    <t>CORIZO-BDA &amp; ASSET10 SOFTWARE</t>
  </si>
  <si>
    <t>21211A05X2</t>
  </si>
  <si>
    <t>VANGALA SAI TEJA</t>
  </si>
  <si>
    <t>21211A05X3</t>
  </si>
  <si>
    <t>GUDDANTI VENKATA SIVA KAMAL</t>
  </si>
  <si>
    <t>MODAK &amp; PATHSETTER-OFF CAMPUS</t>
  </si>
  <si>
    <t>21211A05X4</t>
  </si>
  <si>
    <t>VARALA LAXMI AISHWARYA</t>
  </si>
  <si>
    <t>ZELIS</t>
  </si>
  <si>
    <t>21211A05X5</t>
  </si>
  <si>
    <t>VARALA SARIKA</t>
  </si>
  <si>
    <t>DBS &amp; PORTER-SDE1</t>
  </si>
  <si>
    <t>TECH MAHINDRA &amp; PORTER-SDE1 &amp; BANK OF AMERICA</t>
  </si>
  <si>
    <t>21211A05X6</t>
  </si>
  <si>
    <t>VASIREDDY SNEHA</t>
  </si>
  <si>
    <t>VERISK-1 &amp; PORTER-SDE1</t>
  </si>
  <si>
    <t>21211A05X7</t>
  </si>
  <si>
    <t>VATTIKUTI HARINI SRI RAMYA</t>
  </si>
  <si>
    <t>Flipkart SDE</t>
  </si>
  <si>
    <t>INFOSYS-1 &amp; RNTBCI &amp; FLIPKART1-(SDE ROLE)</t>
  </si>
  <si>
    <t>21211A05X8</t>
  </si>
  <si>
    <t>VEDANTHAM SATHVIKA</t>
  </si>
  <si>
    <t>21211A05X9</t>
  </si>
  <si>
    <t>VEERAVALLI JAYADEEP</t>
  </si>
  <si>
    <t>21211A05Y0</t>
  </si>
  <si>
    <t>VEERBHADRAPOLLA SAIKIRAN</t>
  </si>
  <si>
    <t>21211A05Y1</t>
  </si>
  <si>
    <t>VEGESNA MAHEEDHAR VARMA</t>
  </si>
  <si>
    <t>21211A05Y2</t>
  </si>
  <si>
    <t>VEGESNA SAI KAUSHIK</t>
  </si>
  <si>
    <t>21211A05Y3</t>
  </si>
  <si>
    <t>VELAGA SRAVANI</t>
  </si>
  <si>
    <t>21211A05Y4</t>
  </si>
  <si>
    <t>VEMULA SAI CHARAN</t>
  </si>
  <si>
    <t>21211A05Y5</t>
  </si>
  <si>
    <t>VENKATA SATYASAI DEEPAK NAVULURI</t>
  </si>
  <si>
    <t>21211A05Y6</t>
  </si>
  <si>
    <t>VENTRAPATI LIKHITHA</t>
  </si>
  <si>
    <t>21211A05Y7</t>
  </si>
  <si>
    <t>VUPPALA VENKATA KALYAN</t>
  </si>
  <si>
    <t>21211A05Y8</t>
  </si>
  <si>
    <t>VUPPALA VENKATA SHIVAMANI</t>
  </si>
  <si>
    <t>21211A05Y9</t>
  </si>
  <si>
    <t>VUTUKURI ANANYA REDDY</t>
  </si>
  <si>
    <t>21211A05Z0</t>
  </si>
  <si>
    <t>YANALA ASHRITA</t>
  </si>
  <si>
    <t>21211A05Z1</t>
  </si>
  <si>
    <t>YASAM SARTHIK KUMAR</t>
  </si>
  <si>
    <t>21211A05Z2</t>
  </si>
  <si>
    <t>YEDDU SRIVALLI</t>
  </si>
  <si>
    <t>Accenture ASE &amp; SEOAK</t>
  </si>
  <si>
    <t>21211A05Z3</t>
  </si>
  <si>
    <t>YERRA HARSHINI</t>
  </si>
  <si>
    <t>ZENSAR</t>
  </si>
  <si>
    <t>21211A05Z4</t>
  </si>
  <si>
    <t>PAVAN RAM VARMA UPPALAPATI</t>
  </si>
  <si>
    <t>22215A0527</t>
  </si>
  <si>
    <t>PATLOLLA SHIVABHANU</t>
  </si>
  <si>
    <t>22215A0528</t>
  </si>
  <si>
    <t>ADUNURI SRINIVAS</t>
  </si>
  <si>
    <t>22215A0529</t>
  </si>
  <si>
    <t>ALLOJUVAISHNAVI</t>
  </si>
  <si>
    <t>22215A0530</t>
  </si>
  <si>
    <t>VAISHNAVI KONAMPET</t>
  </si>
  <si>
    <t>INFOSYS1-SE</t>
  </si>
  <si>
    <t>22215A0531</t>
  </si>
  <si>
    <t>METTU VAISHNAVI</t>
  </si>
  <si>
    <t>22215A0532</t>
  </si>
  <si>
    <t>BANOTH VENU KUMAR</t>
  </si>
  <si>
    <t>22215A0533</t>
  </si>
  <si>
    <t>ENUGU VISHNU VARDHAN REDDY</t>
  </si>
  <si>
    <t> OTHERS</t>
  </si>
  <si>
    <t>Accenture ASE &amp; LTI MINDTREE &amp; COGNIZANT-GENC &amp; OPENTEXT</t>
  </si>
  <si>
    <t>SNO</t>
  </si>
  <si>
    <t>Company Name</t>
  </si>
  <si>
    <t>Mode of Engagement</t>
  </si>
  <si>
    <t>Date of selection (mm/dd/yy)</t>
  </si>
  <si>
    <t>Total Fulltime Selects</t>
  </si>
  <si>
    <t>Salary (Rs. LPA)</t>
  </si>
  <si>
    <t>Total Internship Selects</t>
  </si>
  <si>
    <t>Stipend (Rs. p.m.)</t>
  </si>
  <si>
    <t>Unique</t>
  </si>
  <si>
    <t>Multiple</t>
  </si>
  <si>
    <t>Internship</t>
  </si>
  <si>
    <t>Fulltime</t>
  </si>
  <si>
    <t>National Institute of the Empowerment of People with Intellectual Disabilities, Secunderabad</t>
  </si>
  <si>
    <t>PPO</t>
  </si>
  <si>
    <t>ACCENTURE ASE</t>
  </si>
  <si>
    <t>ACCENTURE ADV ASE</t>
  </si>
  <si>
    <t>EPAM</t>
  </si>
  <si>
    <t>AMAZON-SDE INTERN</t>
  </si>
  <si>
    <t>INFOSYS-2</t>
  </si>
  <si>
    <t>REALPAGE</t>
  </si>
  <si>
    <t>FLIPKART(SDE ROLE)</t>
  </si>
  <si>
    <t>Infosys Phase-2</t>
  </si>
  <si>
    <t>Total As of 04-01-2025</t>
  </si>
  <si>
    <t>S No</t>
  </si>
  <si>
    <t>Roll NO</t>
  </si>
  <si>
    <t>FNAME</t>
  </si>
  <si>
    <t>LNAME</t>
  </si>
  <si>
    <t>UID</t>
  </si>
  <si>
    <t>Pega</t>
  </si>
  <si>
    <t>APT-1</t>
  </si>
  <si>
    <t>APT-2</t>
  </si>
  <si>
    <t>APT-3</t>
  </si>
  <si>
    <t>Special Training</t>
  </si>
  <si>
    <t>EAMCET</t>
  </si>
  <si>
    <t>ECET</t>
  </si>
  <si>
    <t>DOB</t>
  </si>
  <si>
    <t>Branch</t>
  </si>
  <si>
    <t>10th %</t>
  </si>
  <si>
    <t>10th YOP</t>
  </si>
  <si>
    <t>Inter / Dip %</t>
  </si>
  <si>
    <t>Inter YOP</t>
  </si>
  <si>
    <t>B. Tech %</t>
  </si>
  <si>
    <t>UG YOP</t>
  </si>
  <si>
    <t>Active Backlogs (III-I)</t>
  </si>
  <si>
    <t>BE History</t>
  </si>
  <si>
    <t>College Email ID</t>
  </si>
  <si>
    <t>Web email ID</t>
  </si>
  <si>
    <t>Phone</t>
  </si>
  <si>
    <t>Parent / Alternate Number</t>
  </si>
  <si>
    <t>Offers</t>
  </si>
  <si>
    <t>Intern</t>
  </si>
  <si>
    <t>Address</t>
  </si>
  <si>
    <t>Father Name</t>
  </si>
  <si>
    <t>I-I CGPA</t>
  </si>
  <si>
    <t>I-II CGPA</t>
  </si>
  <si>
    <t>II-I CGPA</t>
  </si>
  <si>
    <t>II-II CGPA</t>
  </si>
  <si>
    <t>III-I CGPA</t>
  </si>
  <si>
    <t>III-II CGPA</t>
  </si>
  <si>
    <t>Projects</t>
  </si>
  <si>
    <t>Project Details</t>
  </si>
  <si>
    <t>Certifications</t>
  </si>
  <si>
    <t>Hosteller / Day Scholar</t>
  </si>
  <si>
    <t>Remarks</t>
  </si>
  <si>
    <t>HRISHIKESH</t>
  </si>
  <si>
    <t>-</t>
  </si>
  <si>
    <t>AI / ML, Data Sciences, Cyber Security, IoT, Block Chain, Python, Big Data, Mobile Applications, Extended Reality (AR / VR)</t>
  </si>
  <si>
    <t>24-05-2004</t>
  </si>
  <si>
    <t>CSE</t>
  </si>
  <si>
    <t>21211a0501@bvrit.ac.in</t>
  </si>
  <si>
    <t>ankamhrishikesh@gmail.com</t>
  </si>
  <si>
    <t>Narsapur, Medak</t>
  </si>
  <si>
    <t>Ankam Ravinder</t>
  </si>
  <si>
    <t>:</t>
  </si>
  <si>
    <t>Day Scholar</t>
  </si>
  <si>
    <t>RAGHAVENDRA</t>
  </si>
  <si>
    <t>AI / ML, Data Sciences,c++, Java, Python, Mobile Applications, Web Development</t>
  </si>
  <si>
    <t>24-10-2003</t>
  </si>
  <si>
    <t>21211a0502@bvrit.ac.in</t>
  </si>
  <si>
    <t>ragharam6262@gmail.com</t>
  </si>
  <si>
    <t>Near brown bear bakery, HMT hills, Jntu, Kphb, Hyderabad - 500085</t>
  </si>
  <si>
    <t>A KOTESWARA RAO</t>
  </si>
  <si>
    <t>ABBARABOINA</t>
  </si>
  <si>
    <t>SHIVA KUMAR</t>
  </si>
  <si>
    <t>AI / ML, Data Sciences, Cyber Security, Python, Cloud, Big Data, Mobile Applications, Web Development</t>
  </si>
  <si>
    <t>17-02-2004</t>
  </si>
  <si>
    <t>21211a0503@bvrit.ac.in</t>
  </si>
  <si>
    <t>shivakumarabbaraboina@gmail.com</t>
  </si>
  <si>
    <t>2-98, Akaram Village,  Dubbak Mandal,  Siddipet District,  Telangana.</t>
  </si>
  <si>
    <t>SHANKAR</t>
  </si>
  <si>
    <t>Hosteller</t>
  </si>
  <si>
    <t>ABHINAV VARMA</t>
  </si>
  <si>
    <t>VEGESNA</t>
  </si>
  <si>
    <t>AI / ML, Data Sciences, Python</t>
  </si>
  <si>
    <t>18-06-2003</t>
  </si>
  <si>
    <t>21211a0504@bvrit.ac.in</t>
  </si>
  <si>
    <t>abhinavvarmavegesna@gmail.com</t>
  </si>
  <si>
    <t>Sri Pavithra recidency ,flat no.401,glr colony near old age home; nizampet</t>
  </si>
  <si>
    <t>Venkata Siva Naga Srinivasa raju vegesna</t>
  </si>
  <si>
    <t>ACHAMPETA</t>
  </si>
  <si>
    <t>SONALI</t>
  </si>
  <si>
    <t>AI / ML, Data Sciences, Cyber Security, IoT, Block Chain, Python, Cloud, Big Data, Mobile Applications, Extended Reality (AR / VR)</t>
  </si>
  <si>
    <t>24-04-2004</t>
  </si>
  <si>
    <t>21211a0505@bvrit.ac.in</t>
  </si>
  <si>
    <t>sonaliachampeta@gmail.com</t>
  </si>
  <si>
    <t>202, gurukula apartment ,odf colony ,sangareddy .</t>
  </si>
  <si>
    <t>A V G K PRASAD</t>
  </si>
  <si>
    <t>ADANGI</t>
  </si>
  <si>
    <t>SADHWIK</t>
  </si>
  <si>
    <t>AI / ML, Data Sciences, Python, Mobile Applications</t>
  </si>
  <si>
    <t>25-01-2004</t>
  </si>
  <si>
    <t>21211a0506@bvrit.ac.in</t>
  </si>
  <si>
    <t>sadhwiknani25012004@gmail.com</t>
  </si>
  <si>
    <t>PLOT NO 80, SRI NILAYAM, PRAGATHINAGAR, KUKATPALLY, HYDERABAD, TELANGANA</t>
  </si>
  <si>
    <t>ADANGI ESWARA RAO</t>
  </si>
  <si>
    <t>ADEPU</t>
  </si>
  <si>
    <t>SAI RAHUL</t>
  </si>
  <si>
    <t>AI / ML, Cyber Security, Python, WEB DEVELOPMENT</t>
  </si>
  <si>
    <t>18-07-2004</t>
  </si>
  <si>
    <t>21211a0507@bvrit.ac.in</t>
  </si>
  <si>
    <t>sairahuladepu@gmail.com</t>
  </si>
  <si>
    <t>4-37-37, road number 7, RamaKrishna Nagar, Jagathgiri Gutta, Kukatpally, Hyderabad, 500037</t>
  </si>
  <si>
    <t>ADEPU RAMESH BABU</t>
  </si>
  <si>
    <t>ADHAM</t>
  </si>
  <si>
    <t>AKASH</t>
  </si>
  <si>
    <t>21211A0508@bvrit.ac.in</t>
  </si>
  <si>
    <t>mittuakash2@gmail.com</t>
  </si>
  <si>
    <t>Nizamabad,Maruthi nagar, opp kings club</t>
  </si>
  <si>
    <t>ADHAM PURUSHOTHAM</t>
  </si>
  <si>
    <t>ADIYALA</t>
  </si>
  <si>
    <t>MADHUMITHA</t>
  </si>
  <si>
    <t>20-08-2004</t>
  </si>
  <si>
    <t>21211A0509@bvrit.ac.in</t>
  </si>
  <si>
    <t>madhumithavenkatreddyadiyala@gmail.com</t>
  </si>
  <si>
    <t>Punya residency, Springfield colony, Srisai enclave road, jeedimetla,Petbasheerabad</t>
  </si>
  <si>
    <t>Adiyala Thara</t>
  </si>
  <si>
    <t>AGNESH</t>
  </si>
  <si>
    <t>KUNDU</t>
  </si>
  <si>
    <t>AI / ML, Data Sciences, Python, Mobile Applications, Web Development</t>
  </si>
  <si>
    <t>24-01-2003</t>
  </si>
  <si>
    <t>21211a0510@bvrit.ac.in</t>
  </si>
  <si>
    <t>agnesh.kundu@gmail.com</t>
  </si>
  <si>
    <t>Flat-207, Block-B, Sree HemaDurga Lakshmi Pride, Pragathi Enclave, opposite to Miyapur Cheruvu, Miyapur,Hyderabad</t>
  </si>
  <si>
    <t>KOUSHIK KUNDU</t>
  </si>
  <si>
    <t>AILENI</t>
  </si>
  <si>
    <t>SREETHIKESH</t>
  </si>
  <si>
    <t>AI / ML, Data Sciences, Cyber Security, Python, Mobile Applications</t>
  </si>
  <si>
    <t>14-07-2003</t>
  </si>
  <si>
    <t>21211a0511@bvrit.ac.in</t>
  </si>
  <si>
    <t>sreethikeshaileni@gmail.com</t>
  </si>
  <si>
    <t>Lig-698 BHEL, lingampally, Hyderabad, Telangana</t>
  </si>
  <si>
    <t>AILENI VEERA PRADEEP REDDY</t>
  </si>
  <si>
    <t>VEDA SRI</t>
  </si>
  <si>
    <t>AILINENI</t>
  </si>
  <si>
    <t>AI / ML, Data Sciences, Cyber Security, IoT, Block Chain, Python, Cloud, Big Data, UX / UI, Mobile Applications</t>
  </si>
  <si>
    <t>21211a0512@bvrit.ac.in</t>
  </si>
  <si>
    <t>vedasriailineni@gmail.com</t>
  </si>
  <si>
    <t>7-4-247/3/a, Vidyanagar,Jagtial</t>
  </si>
  <si>
    <t>Ailineni Rajashekhar Rao</t>
  </si>
  <si>
    <t>AJMEERA</t>
  </si>
  <si>
    <t>SINDHUJA</t>
  </si>
  <si>
    <t>30-09-2004</t>
  </si>
  <si>
    <t>21211a0513@bvrit.ac.in</t>
  </si>
  <si>
    <t>sindhujaajmeera@gmail.com</t>
  </si>
  <si>
    <t>Kothapally, karimnagar district</t>
  </si>
  <si>
    <t>Mangya Nayak</t>
  </si>
  <si>
    <t>AKULA</t>
  </si>
  <si>
    <t>VYSHNAVI</t>
  </si>
  <si>
    <t>Data Sciences, Cyber Security, Python, Cloud, Big Data</t>
  </si>
  <si>
    <t>21211a0514@bvrit.ac.in</t>
  </si>
  <si>
    <t>vyshnaviakula81@gmail.com</t>
  </si>
  <si>
    <t>VILLG: RACCHAPALLI, MDL: DHARMARAM, DIST: PEDDAPALLI</t>
  </si>
  <si>
    <t>AKULA THIRUPATHI</t>
  </si>
  <si>
    <t>AMAND</t>
  </si>
  <si>
    <t>SRI SIDDHARTHA</t>
  </si>
  <si>
    <t>AI / ML, Data Sciences, Cyber Security, Python, Cloud, Big Data, Mobile Applications</t>
  </si>
  <si>
    <t>31-05-2004</t>
  </si>
  <si>
    <t>21211a0515@bvrit.ac.in</t>
  </si>
  <si>
    <t>amandsrisiddhartha@gmail.com</t>
  </si>
  <si>
    <t>Accenture ASE &amp; TECH MAHINDRA &amp; LTI MINDTREE &amp; REALPAGE</t>
  </si>
  <si>
    <t>HEXAGONE &amp; REALPAGE</t>
  </si>
  <si>
    <t>6-8-227, Chatrapati Hanuman Mandir,Namdevwada</t>
  </si>
  <si>
    <t>Amand Pothanna</t>
  </si>
  <si>
    <t>SAHITHI</t>
  </si>
  <si>
    <t>AMBATI</t>
  </si>
  <si>
    <t>AI / ML, Data Sciences, Cyber Security, IoT, Block Chain, Python, Cloud, Big Data, UX / UI, Mobile Applications, Extended Reality (AR / VR)</t>
  </si>
  <si>
    <t>20-03-2004</t>
  </si>
  <si>
    <t>21211a0516@bvrit.ac.in</t>
  </si>
  <si>
    <t>sahithiambati203@gmail.com</t>
  </si>
  <si>
    <t>PLOT NO:46,SAI RAM NAGAR COLONY, ZAHEERABAD,SANGAREDDY,TELANGANA.</t>
  </si>
  <si>
    <t>AMBATI TIRUPATHI REDDY</t>
  </si>
  <si>
    <t>Anjali Kumari</t>
  </si>
  <si>
    <t>Mahto</t>
  </si>
  <si>
    <t>Anjali Kumari Mahto</t>
  </si>
  <si>
    <t>AI / ML, IoT, Python, UX / UI, Mobile Applications, Extended Reality (AR / VR), Web development</t>
  </si>
  <si>
    <t>19-02-2005</t>
  </si>
  <si>
    <t>21211a0517@bvrit.ac.in</t>
  </si>
  <si>
    <t>mahtoanjali5548@gmail.com</t>
  </si>
  <si>
    <t>H.no:11-13-173/7, zinkalawada, balanagar</t>
  </si>
  <si>
    <t>Manoj Mahto</t>
  </si>
  <si>
    <t>ANNAPUREDDY</t>
  </si>
  <si>
    <t>ARUN KUMAR REDDY</t>
  </si>
  <si>
    <t>Data Sciences</t>
  </si>
  <si>
    <t>20-06-2003</t>
  </si>
  <si>
    <t>21211A0518@bvrit.ac.in</t>
  </si>
  <si>
    <t>arunkumarreddy354@gmail.com</t>
  </si>
  <si>
    <t>H.No:701/B,2nd floor,1st phase,Allwyn colony, Kukatpally</t>
  </si>
  <si>
    <t>ANNAPUREDDY ESWAR REDDY</t>
  </si>
  <si>
    <t>ANTHAREDDY</t>
  </si>
  <si>
    <t>TANVI REDDY</t>
  </si>
  <si>
    <t>AI / ML, Data Sciences, Cyber Security, IoT, Block Chain, Python, Cloud, Big Data, UX / UI, Mobile Applications, Extended Reality (AR / VR), Web management</t>
  </si>
  <si>
    <t>24-03-2004</t>
  </si>
  <si>
    <t>21211a0519@bvrit.ac.in</t>
  </si>
  <si>
    <t>tanvireddyanthareddy@gmail.com</t>
  </si>
  <si>
    <t>Vinayak Nagar, Nizamabad</t>
  </si>
  <si>
    <t>Anthareddy Karunakar Reddy</t>
  </si>
  <si>
    <t>AREPUDI</t>
  </si>
  <si>
    <t>VINAY KUMAR</t>
  </si>
  <si>
    <t>AI / ML, Data Sciences, Python, C,C++</t>
  </si>
  <si>
    <t>27-08-2004</t>
  </si>
  <si>
    <t>21211a0520@bvrit.ac.in</t>
  </si>
  <si>
    <t>veneuday@gmail.com</t>
  </si>
  <si>
    <t>AMEENABAD VILLAGE,ANANTHAGIRI MANDAL,SURYAPET DIST,TELANGANA STATE.</t>
  </si>
  <si>
    <t>AREPUDI NAGESWARRAO</t>
  </si>
  <si>
    <t>ASOORI</t>
  </si>
  <si>
    <t>MURALI KRISHNA</t>
  </si>
  <si>
    <t>Cyber Security, Python, Cloud, Extended Reality (AR / VR), Web Development</t>
  </si>
  <si>
    <t>21211a0521@bvrit.ac.in</t>
  </si>
  <si>
    <t>muralikrishnaasoori@gmail.com</t>
  </si>
  <si>
    <t>HNo: 1-2-10/11, SHANTINAGAR, ADILABAD, TELANGANA, 504001</t>
  </si>
  <si>
    <t>ASOORI SRIKANTH</t>
  </si>
  <si>
    <t>AVNS</t>
  </si>
  <si>
    <t>KARTIK</t>
  </si>
  <si>
    <t>13-10-2003</t>
  </si>
  <si>
    <t>21211a0522@bvrit.ac.in</t>
  </si>
  <si>
    <t>kartikabbaraju@outlook.com</t>
  </si>
  <si>
    <t>FLAT NO-313M SWARAJ ARCADE HASMATPET ROAD DUBAI GATE NEAR SPENCER SUPER MARKET OLD BOWEPALLY SECUNDERABAD TELANGANA -500009</t>
  </si>
  <si>
    <t>A S RAMA KRISHNA</t>
  </si>
  <si>
    <t>AVULA</t>
  </si>
  <si>
    <t>THARUN</t>
  </si>
  <si>
    <t>AI / ML, Data Sciences, Cyber Security, IoT, Block Chain, Python, Cloud, Big Data, UX / UI, Mobile Applications, Extended Reality (AR / VR), Data structures and Java</t>
  </si>
  <si>
    <t>21-08-2004</t>
  </si>
  <si>
    <t>21211a0523@bvrit.ac.in</t>
  </si>
  <si>
    <t>avulatharun786@gmail.com</t>
  </si>
  <si>
    <t>H.no-#37-389/2/1 ,near pochamma temple,somaiah nagar,jagathgiri gutta, Hyderabad 500037</t>
  </si>
  <si>
    <t>AVULA VENKANNA</t>
  </si>
  <si>
    <t>BADAVATH</t>
  </si>
  <si>
    <t>KRISHNAVENI</t>
  </si>
  <si>
    <t>AI / ML, Block Chain, Python</t>
  </si>
  <si>
    <t>21211a0524@bvrit.ac.in</t>
  </si>
  <si>
    <t>badavathkrishnaveni5@gmail.com</t>
  </si>
  <si>
    <t>Village:Pochammaral; Mandal:Havelighanapur; Dist:Medak; H-No:4-21/2</t>
  </si>
  <si>
    <t>Mother:Mayura; Father: Gabbar singh</t>
  </si>
  <si>
    <t>BALAVARI</t>
  </si>
  <si>
    <t>VANESSA THANMAYI</t>
  </si>
  <si>
    <t>AI / ML, Data Sciences, Cyber Security, IoT, Cloud, Mobile Applications, Extended Reality (AR / VR)</t>
  </si>
  <si>
    <t>22-09-2003</t>
  </si>
  <si>
    <t>21211a0525@bvrit.ac.in</t>
  </si>
  <si>
    <t>balavarivanessathanmayi@gmail.com</t>
  </si>
  <si>
    <t>Karimnagar ,   Telangana    India</t>
  </si>
  <si>
    <t>BALAVARI JEEVAN KUMAR</t>
  </si>
  <si>
    <t>BANDANADAM</t>
  </si>
  <si>
    <t>PRANAYA</t>
  </si>
  <si>
    <t>AI / ML, Data Sciences, IoT, Block Chain, Python, Cloud, Big Data, Mobile Applications, C</t>
  </si>
  <si>
    <t>18-02-2004</t>
  </si>
  <si>
    <t>21211A0526@bvrit.ac.in</t>
  </si>
  <si>
    <t>pranayabandanadam@gmail.com</t>
  </si>
  <si>
    <t>Gajwel ,  Siddipet - dist ,  H. No : 1-185</t>
  </si>
  <si>
    <t>Bandanadam Jojappa</t>
  </si>
  <si>
    <t>BANDARI</t>
  </si>
  <si>
    <t>RAMCHARAN</t>
  </si>
  <si>
    <t>AI / ML, Cyber Security, IoT, Python, Mobile Applications, C language</t>
  </si>
  <si>
    <t>21211a0527@bvrit.ac.in</t>
  </si>
  <si>
    <t>ramcharanb93@gmail.com</t>
  </si>
  <si>
    <t>NARSAPUR, NARSAPUR, MEDHAK</t>
  </si>
  <si>
    <t>BANDARI THIRUPATHI</t>
  </si>
  <si>
    <t>SAIJYOTHI</t>
  </si>
  <si>
    <t>23-04-2003</t>
  </si>
  <si>
    <t>21211a0528@bvrit.ac.in</t>
  </si>
  <si>
    <t>saijyothibandari23@gmail.com</t>
  </si>
  <si>
    <t>B. C colony, H. No: 12-5-36/13A, yedira, Mahabubnagar</t>
  </si>
  <si>
    <t>Bandari Ramulu</t>
  </si>
  <si>
    <t>BATHULA</t>
  </si>
  <si>
    <t>VENKATA RAMANA</t>
  </si>
  <si>
    <t>AI / ML, Cyber Security, Python</t>
  </si>
  <si>
    <t>21211a0529@bvrit.ac.in</t>
  </si>
  <si>
    <t>bathula.venkataramana95425@gmail.com</t>
  </si>
  <si>
    <t>5-3-709,vidyanagar colony,kamareddy,kamareddy mandal,kamareddy district,Telangana 503111</t>
  </si>
  <si>
    <t>Bathula.Lakshman</t>
  </si>
  <si>
    <t>BAVANTHULA</t>
  </si>
  <si>
    <t>ANUDEEP REDDY</t>
  </si>
  <si>
    <t>Cyber Security, Python, Cloud, Web Development</t>
  </si>
  <si>
    <t>21211a0530@bvrit.ac.in</t>
  </si>
  <si>
    <t>anudeepreddy359@gmail.com</t>
  </si>
  <si>
    <t>26-3-264/1,unikicherla,hanamkonda</t>
  </si>
  <si>
    <t>BAVANTHULA CHANDRASHEKHAR REDDY</t>
  </si>
  <si>
    <t>BAVIRTI</t>
  </si>
  <si>
    <t>SURYA SAI KIRAN REKHA</t>
  </si>
  <si>
    <t>AI / ML, Data Sciences, Cyber Security, Python</t>
  </si>
  <si>
    <t>21211a0531@bvrit.ac.in</t>
  </si>
  <si>
    <t>rekhabavirti@gmail.com</t>
  </si>
  <si>
    <t>Plotno.9, Padma Sri nilayam, vivekanand Nagar colony, Kukatpally, Hyderabad</t>
  </si>
  <si>
    <t>Bavirti Surya Prakash</t>
  </si>
  <si>
    <t>BEGARI</t>
  </si>
  <si>
    <t>RAGHAVI</t>
  </si>
  <si>
    <t>Python, Cloud, Mobile Applications, C</t>
  </si>
  <si>
    <t>22-12-2003</t>
  </si>
  <si>
    <t>21211A0532@bvrit.ac.in</t>
  </si>
  <si>
    <t>raghavi221204@gmail.com</t>
  </si>
  <si>
    <t>H.NO:-1-31 Indra Nagar colony.rudraram</t>
  </si>
  <si>
    <t>Begari shivaramulu</t>
  </si>
  <si>
    <t>BEJUGAM</t>
  </si>
  <si>
    <t>SAI TEJA</t>
  </si>
  <si>
    <t>Data Sciences, Python, C,C++</t>
  </si>
  <si>
    <t>28-08-2003</t>
  </si>
  <si>
    <t>21211A0533@bvrit.ac.in</t>
  </si>
  <si>
    <t>saiteja12bejugam@gmail.com</t>
  </si>
  <si>
    <t>4-131, Gandhi nagar,rajapet (v),(m),yadadri bhuvanagiri</t>
  </si>
  <si>
    <t>BEJUGAM CHANDRA SHEKAR</t>
  </si>
  <si>
    <t>BETHI</t>
  </si>
  <si>
    <t>ANIRUDH REDDY</t>
  </si>
  <si>
    <t>Data Sciences, Cyber Security, IoT, Block Chain, Python, Cloud, UX / UI, Mobile Applications, Extended Reality (AR / VR)</t>
  </si>
  <si>
    <t>19-01-2003</t>
  </si>
  <si>
    <t>21211A0534@bvrit.ac.in</t>
  </si>
  <si>
    <t>anuanireddy19@gmail.com</t>
  </si>
  <si>
    <t>Incois,pragathi Nagar,hyderabad</t>
  </si>
  <si>
    <t>BETHI RAJA REDDY</t>
  </si>
  <si>
    <t>SASIKANTH REDDY</t>
  </si>
  <si>
    <t>BHIMIREDDY</t>
  </si>
  <si>
    <t>15-08-2003</t>
  </si>
  <si>
    <t>21211a0535@bvrit.ac.in</t>
  </si>
  <si>
    <t>sasikanthbhimireddy@gmail.com</t>
  </si>
  <si>
    <t>H. No 5-257,SR NAIK NAGAR, JEEDIMETLA, HYDERABAD- 500055</t>
  </si>
  <si>
    <t>SURENDRA REDDY BHIMIREDDY</t>
  </si>
  <si>
    <t>BOLIBOTHULA</t>
  </si>
  <si>
    <t>VARUN</t>
  </si>
  <si>
    <t>AI / ML, Data Sciences, Cloud, Extended Reality (AR / VR)</t>
  </si>
  <si>
    <t>21211a0536@bvrit.ac.in</t>
  </si>
  <si>
    <t>rainvarun2004@gmail.com</t>
  </si>
  <si>
    <t>Rainbow computers,pidched road,house no 7-119,gajwel,siddipet, Telangana</t>
  </si>
  <si>
    <t>Bolibothula Srinivas</t>
  </si>
  <si>
    <t>BOLLAM</t>
  </si>
  <si>
    <t>MANIDEEP</t>
  </si>
  <si>
    <t>25-06-2003</t>
  </si>
  <si>
    <t>21211a0537@bvrit.ac.in</t>
  </si>
  <si>
    <t>manideepbollam07@gmail.com</t>
  </si>
  <si>
    <t>H-NO 143-A Block Area Gangadara,Mandal: Gangadhara</t>
  </si>
  <si>
    <t>BOLLAM SRINIVAS</t>
  </si>
  <si>
    <t>Bommena</t>
  </si>
  <si>
    <t>Aravind</t>
  </si>
  <si>
    <t>AI / ML, Cloud, Extended Reality (AR / VR), Game designing</t>
  </si>
  <si>
    <t>21211a0538@bvrit.ac.in</t>
  </si>
  <si>
    <t>aravindaravind04740@gmail.com</t>
  </si>
  <si>
    <t>H-No .2-33 Chelmeda Mdl:Ramayampet Dist:Medal</t>
  </si>
  <si>
    <t>BOMMENA MALLESH</t>
  </si>
  <si>
    <t>BOMMISHETTY</t>
  </si>
  <si>
    <t>VAMSHI</t>
  </si>
  <si>
    <t>Cyber Security, Block Chain, Python, Cloud, Mobile Applications</t>
  </si>
  <si>
    <t>22-05-2002</t>
  </si>
  <si>
    <t>21211a0539@bvrit.ac.in</t>
  </si>
  <si>
    <t>bvamshivamshi22@gmail.com</t>
  </si>
  <si>
    <t>Narsapur</t>
  </si>
  <si>
    <t>BOMMISHETTY KOMARAIAH</t>
  </si>
  <si>
    <t>BOOJALA</t>
  </si>
  <si>
    <t>KIRAN REDDY</t>
  </si>
  <si>
    <t>AI / ML, Python, Cloud, Web Development</t>
  </si>
  <si>
    <t>21211a0540@bvrit.ac.in</t>
  </si>
  <si>
    <t>kiranreddy.b0408@gmail.com</t>
  </si>
  <si>
    <t>3-98/1,jain thirumalapur,gopalpet,wanaparthy,509103</t>
  </si>
  <si>
    <t>BOOJALA RAMAKRISHNA REDDY</t>
  </si>
  <si>
    <t>PRANAY</t>
  </si>
  <si>
    <t>BOOLA</t>
  </si>
  <si>
    <t>AI / ML, Data Sciences, Python, Cloud, Mobile Applications, WEB DEVELOPMENT</t>
  </si>
  <si>
    <t>29-12-2003</t>
  </si>
  <si>
    <t>21211A0541@bvrit.ac.in</t>
  </si>
  <si>
    <t>pranayboola@gmail.com</t>
  </si>
  <si>
    <t>OLD MIG 1780 ,BHEL HYDERABAD 500032</t>
  </si>
  <si>
    <t>BOOLA MOHANA PRASAD</t>
  </si>
  <si>
    <t>BOYA</t>
  </si>
  <si>
    <t>SAI RAM</t>
  </si>
  <si>
    <t>AI / ML, Cyber Security, Block Chain, Python, Mobile Applications</t>
  </si>
  <si>
    <t>21211a0542@bvrit.ac.in</t>
  </si>
  <si>
    <t>sairam89373@gmail.com</t>
  </si>
  <si>
    <t>12-4-126/A pragati nagar Kukatpally Hyderabad</t>
  </si>
  <si>
    <t>BOYA KRISHNA</t>
  </si>
  <si>
    <t>KARTHIK REDDY</t>
  </si>
  <si>
    <t>BUCHIREDDY GARI</t>
  </si>
  <si>
    <t>AI / ML, Data Sciences, Cyber Security, IoT, Python, Mobile Applications, Extended Reality (AR / VR)</t>
  </si>
  <si>
    <t>28-07-2003</t>
  </si>
  <si>
    <t>21211a0543@bvrit.ac.in</t>
  </si>
  <si>
    <t>b.karthikreddy287@gmail.com</t>
  </si>
  <si>
    <t>Plot no:70, Chanakyapuri colony, Shanthinagar, Sangareddy</t>
  </si>
  <si>
    <t>BUCHIREDDY GARI BHOOPAL REDDY</t>
  </si>
  <si>
    <t>BUSIM NAGA</t>
  </si>
  <si>
    <t>SIDDU KATHIK</t>
  </si>
  <si>
    <t>Data Sciences, Python, Cloud, UX / UI, Mobile Applications, Web Development</t>
  </si>
  <si>
    <t>21211A0544@bvrit.ac.in</t>
  </si>
  <si>
    <t>ks5043583@gmail.com</t>
  </si>
  <si>
    <t>TECH MAHINDRA &amp; LTI MINDTREE &amp; CORIZO-BDA</t>
  </si>
  <si>
    <t>D-9 road no 4 brundavan hills pragati nagar HYD</t>
  </si>
  <si>
    <t>Busim laxmi vara prasad</t>
  </si>
  <si>
    <t>BUTTAGALLA</t>
  </si>
  <si>
    <t>VINOD</t>
  </si>
  <si>
    <t>Data Sciences, Python</t>
  </si>
  <si>
    <t>21211a0545@bvrit.ac.in</t>
  </si>
  <si>
    <t>vinodbuttagalla@gmail.com</t>
  </si>
  <si>
    <t>H.no-1-14; pothireddypalli, sangareddy</t>
  </si>
  <si>
    <t>BUTTAGALLA SATHAIAH</t>
  </si>
  <si>
    <t>BYATHOL</t>
  </si>
  <si>
    <t>ANURADHA</t>
  </si>
  <si>
    <t>AI / ML, Data Sciences, IoT, Block Chain, Python, Cloud, Big Data, UX / UI, Mobile Applications</t>
  </si>
  <si>
    <t>18-03-2005</t>
  </si>
  <si>
    <t>21211a0546@bvrit.ac.in</t>
  </si>
  <si>
    <t>anuradhabyathol@gmail.com</t>
  </si>
  <si>
    <t>H.No: 5-5-14/A1, MAQDOOM NAGAR, SANGAREDDY</t>
  </si>
  <si>
    <t>BYATHOL SANJEEVA</t>
  </si>
  <si>
    <t>CHINTAKUNTA</t>
  </si>
  <si>
    <t>DURGA PRASAD REDDY</t>
  </si>
  <si>
    <t>AI / ML, Data Sciences, Cyber Security, Python, Cloud, Mobile Applications</t>
  </si>
  <si>
    <t>21211a0547@bvrit.ac.in</t>
  </si>
  <si>
    <t>durgachintakunta@gmail.com</t>
  </si>
  <si>
    <t>Villa no-9, GVMR Crown Imperial, near sanjeeva reddy gardens,bollarum,secundrabad,500010</t>
  </si>
  <si>
    <t>CHINTAKUNTA SRIDHAR REDDY</t>
  </si>
  <si>
    <t>KARTHIK</t>
  </si>
  <si>
    <t>AI / ML, Data Sciences, Python, WEB DEVELOPMENT</t>
  </si>
  <si>
    <t>21211a0548@bvrit.ac.in</t>
  </si>
  <si>
    <t>ckarthik3336@gmail.com</t>
  </si>
  <si>
    <t>NARAYANADRI HEIGHTS, ROAD NO.7C,NIZAMPET, HYDERABAD, 500090</t>
  </si>
  <si>
    <t>C RAVIPRASAD</t>
  </si>
  <si>
    <t>CHEDURUPALLY</t>
  </si>
  <si>
    <t>VENUGOPAL</t>
  </si>
  <si>
    <t>AI / ML, Data Sciences, Python, Big Data</t>
  </si>
  <si>
    <t>21211a0549@bvrit.ac.in</t>
  </si>
  <si>
    <t>phoebevenu@gmail.com</t>
  </si>
  <si>
    <t>Achampet, Nagarkarnool (Dist)</t>
  </si>
  <si>
    <t>CHEDURUPALLY BALAIAH</t>
  </si>
  <si>
    <t>CHADA</t>
  </si>
  <si>
    <t>ACHYUTH KUMAR</t>
  </si>
  <si>
    <t>AI / ML, Data Sciences, Cyber Security, IoT, Block Chain, Python, Cloud, Big Data, Mobile Applications, Extended Reality (AR / VR), Quantum computing</t>
  </si>
  <si>
    <t>21211a0550@bvrit.ac.in</t>
  </si>
  <si>
    <t>achyuthkumarchada07@gmail.com</t>
  </si>
  <si>
    <t>Flat No 502, C-Block, Jewel Gardens,
 • Miyapur, Back Side Police Station, Miyapur, K.v. Rangareddy, Telangana, 500049</t>
  </si>
  <si>
    <t>Chada Nagabhushan,</t>
  </si>
  <si>
    <t>CHAGANTI</t>
  </si>
  <si>
    <t>SANTHOSH KUMAR REDDY</t>
  </si>
  <si>
    <t>AI / ML, Data Sciences, Python, Cloud, Big Data, Mobile Applications, Web development</t>
  </si>
  <si>
    <t>21211a0551@bvrit.ac.in</t>
  </si>
  <si>
    <t>santhoshchaganti897@gmail.com</t>
  </si>
  <si>
    <t>4-3,Ramadasupeta Village,
 Garladinne Mandal,
  Ananthapur District,
 Andhra Pradesh.</t>
  </si>
  <si>
    <t>CHAGANTI SURENDRA REDDY</t>
  </si>
  <si>
    <t>CHAKALI</t>
  </si>
  <si>
    <t>VAISHNAVI</t>
  </si>
  <si>
    <t>Data Sciences, IoT, Python</t>
  </si>
  <si>
    <t>21211a0552@bvrit.ac.in</t>
  </si>
  <si>
    <t>vaishnavigopal@gmail.com</t>
  </si>
  <si>
    <t>H,no 6-185/8, shankerpally, Ranga Reddy district</t>
  </si>
  <si>
    <t>Chakali gopal</t>
  </si>
  <si>
    <t>PRANEETH</t>
  </si>
  <si>
    <t>CHANDA</t>
  </si>
  <si>
    <t>18-08-2003</t>
  </si>
  <si>
    <t>21211a0553@bvrit.ac.in</t>
  </si>
  <si>
    <t>praneeth.lucky44@gmail.com</t>
  </si>
  <si>
    <t>4-2-213/6/a/1,bhoomnagar,Peddapalli,505172</t>
  </si>
  <si>
    <t>Chanda Srinivas</t>
  </si>
  <si>
    <t>VISHWA DHANUSH</t>
  </si>
  <si>
    <t>CH</t>
  </si>
  <si>
    <t>AI / ML, Data Sciences, Python, Cloud</t>
  </si>
  <si>
    <t>21-06-2003</t>
  </si>
  <si>
    <t>21211a0554@bvrit.ac.in</t>
  </si>
  <si>
    <t>vishwadhanushch@gmail.com</t>
  </si>
  <si>
    <t>H.No. 2-37/42, Near Hanuman Temple, Ootpally Village, Shamshabad  - 501218.</t>
  </si>
  <si>
    <t>CHANDRAKNATI DHANUNJAYA</t>
  </si>
  <si>
    <t>PRUTHVIRAJ</t>
  </si>
  <si>
    <t>CHAUHAN</t>
  </si>
  <si>
    <t>AI / ML, Data Sciences, Python, C</t>
  </si>
  <si>
    <t>29-11-2003</t>
  </si>
  <si>
    <t>21211a0555@bvrit.ac.in</t>
  </si>
  <si>
    <t>prithvirajchauhan2003@gmail.com</t>
  </si>
  <si>
    <t>6-3-35/1/A, Raghavendra Nagar colony, sadasivapet</t>
  </si>
  <si>
    <t>CHANDER CHAUHAN</t>
  </si>
  <si>
    <t>CHERUKU</t>
  </si>
  <si>
    <t>ALANKRUTHA REDDY</t>
  </si>
  <si>
    <t>AI / ML, Data Sciences, Cyber Security, Cloud, Big Data</t>
  </si>
  <si>
    <t>21211a0556@bvrit.ac.in</t>
  </si>
  <si>
    <t>cherukualankruthareddy@gmail.com</t>
  </si>
  <si>
    <t>HNO:10-1-17/2/A,RAMNAGARA, KARIMNAGAR</t>
  </si>
  <si>
    <t>CHERUKU SRINIVAS REDDY</t>
  </si>
  <si>
    <t>DIVIJA</t>
  </si>
  <si>
    <t>CHIGULLAPALLY</t>
  </si>
  <si>
    <t>Python, C programming</t>
  </si>
  <si>
    <t>31-01-2003</t>
  </si>
  <si>
    <t>21211a0557@bvrit.ac.in</t>
  </si>
  <si>
    <t>chigullapallydivija@gmail.com</t>
  </si>
  <si>
    <t>Cherial, Siddipet</t>
  </si>
  <si>
    <t>Chigullapally Krishna murthy</t>
  </si>
  <si>
    <t>VISHWAS</t>
  </si>
  <si>
    <t>SHASTRY</t>
  </si>
  <si>
    <t>Data Sciences, IoT, Python, Cloud, Mobile Applications, C</t>
  </si>
  <si>
    <t>21211a0558@bvrit.ac.in</t>
  </si>
  <si>
    <t>shastryvishwas310@gmail.com</t>
  </si>
  <si>
    <t>2-5-80/1, Brahmanwada,bada talab,ashok road, adilabad, adilabad.</t>
  </si>
  <si>
    <t>Vishwas Shastry</t>
  </si>
  <si>
    <t>CHILUVERI</t>
  </si>
  <si>
    <t>RITHISH KUMAR</t>
  </si>
  <si>
    <t>Cyber Security, Python, Mobile Applications</t>
  </si>
  <si>
    <t>25-06-2002</t>
  </si>
  <si>
    <t>21211A0559@bvrit.ac.in</t>
  </si>
  <si>
    <t>rithish25062002@gmail.com</t>
  </si>
  <si>
    <t>H.no.5-3-586 Vidyanagar colony</t>
  </si>
  <si>
    <t>CHILUVERI LINGA PRASAD</t>
  </si>
  <si>
    <t>CHILUVERU</t>
  </si>
  <si>
    <t>DHEERAJ</t>
  </si>
  <si>
    <t>AI / ML, Data Sciences, Cyber Security, Python, Big Data</t>
  </si>
  <si>
    <t>21211a0560@bvrit.ac.in</t>
  </si>
  <si>
    <t>chiluverudheeraj@gmail.com</t>
  </si>
  <si>
    <t>Teachers colony phase 2 ,waddepally,hanamkonda, warangal</t>
  </si>
  <si>
    <t>CHILUVERU HARI PRASAD</t>
  </si>
  <si>
    <t>CHINDAM</t>
  </si>
  <si>
    <t>DEEPIKA</t>
  </si>
  <si>
    <t>AI / ML, Data Sciences, Python, Cloud, Big Data</t>
  </si>
  <si>
    <t>31-03-2004</t>
  </si>
  <si>
    <t>21211a0561@bvrit.ac.in</t>
  </si>
  <si>
    <t>deepikachindam2004@gmail.com</t>
  </si>
  <si>
    <t>Accenture ASE &amp; TECH MAHINDRA &amp; KPIT &amp; LTI MINDTREE &amp; REALPAGE &amp; INFOSYS1-SE</t>
  </si>
  <si>
    <t>11-29,Om Vihar Colony, Medipally,Medchal Malkajgiri dist, Telangana,500098</t>
  </si>
  <si>
    <t>CHINDAM NARSIMHA MURTHY</t>
  </si>
  <si>
    <t>CHITNENI</t>
  </si>
  <si>
    <t>Data Sciences, Python, C, java</t>
  </si>
  <si>
    <t>21211a0562@bvrit.ac.in</t>
  </si>
  <si>
    <t>Hyderabad, nizampet high tention line road, sriandal enclave</t>
  </si>
  <si>
    <t>Chitneni Anil Rao</t>
  </si>
  <si>
    <t>VENKATESH</t>
  </si>
  <si>
    <t>CHOPPADHANDI</t>
  </si>
  <si>
    <t>AI / ML, Data Sciences, Python, C language</t>
  </si>
  <si>
    <t>16-03-2003</t>
  </si>
  <si>
    <t>21211A0563@bvrit.ac.in</t>
  </si>
  <si>
    <t>venkychoppadhandi2@gmail.com</t>
  </si>
  <si>
    <t>4-1-97, Lal Khaman, Sunargally, Siddipet</t>
  </si>
  <si>
    <t>SRINIVAS CHOPPADHANDI</t>
  </si>
  <si>
    <t>DAIDA</t>
  </si>
  <si>
    <t>PRAMODH</t>
  </si>
  <si>
    <t>Python</t>
  </si>
  <si>
    <t>21211a0564@bvrit.ac.in</t>
  </si>
  <si>
    <t>pandupramodh77@gmail.com</t>
  </si>
  <si>
    <t>1-33/1 ragaboinagudem,yellandu,bhadradri kothagudem</t>
  </si>
  <si>
    <t>DAIDA SHANKAR</t>
  </si>
  <si>
    <t>KEERTHI PRADANYA</t>
  </si>
  <si>
    <t>DAKARAPU</t>
  </si>
  <si>
    <t>13-11-2003</t>
  </si>
  <si>
    <t>21211a0565@bvrit.ac.in</t>
  </si>
  <si>
    <t>keerthipradanya@gmail.com</t>
  </si>
  <si>
    <t>H NO EWS-901 BHARATH NAGAR COLONY</t>
  </si>
  <si>
    <t>D.RAMA KOTESWARA RAO</t>
  </si>
  <si>
    <t>ABHINAV</t>
  </si>
  <si>
    <t>JASTA</t>
  </si>
  <si>
    <t>Data Sciences, Block Chain, Python, Mobile Applications</t>
  </si>
  <si>
    <t>22215a0501@bvrit.ac.in</t>
  </si>
  <si>
    <t>abhinavjasta04@gmail.com</t>
  </si>
  <si>
    <t>Plot no.304,Sri Venkateswara Towers,Hills Colony,Dmart side lane, Vansthalipuram, Hyderabad,500070.</t>
  </si>
  <si>
    <t>Jasta Chinna Venkateswarlu</t>
  </si>
  <si>
    <t>JAKKULA</t>
  </si>
  <si>
    <t>AISHWARYA</t>
  </si>
  <si>
    <t>25-09-2004</t>
  </si>
  <si>
    <t>22215a0502@bvrit.ac.in</t>
  </si>
  <si>
    <t>aishwaryajakkula25@gmail.com</t>
  </si>
  <si>
    <t>10-1-86,Shivaji nagar, nizamabad</t>
  </si>
  <si>
    <t>Jakkula ravinder</t>
  </si>
  <si>
    <t>DIRRI</t>
  </si>
  <si>
    <t>AKHILA</t>
  </si>
  <si>
    <t>15-12-2000</t>
  </si>
  <si>
    <t>22215a0503@bvrit.ac.in</t>
  </si>
  <si>
    <t>akhiladirri@gmail.com</t>
  </si>
  <si>
    <t>2-12/1</t>
  </si>
  <si>
    <t>D.Chandra Shekar</t>
  </si>
  <si>
    <t>ANIRUDH</t>
  </si>
  <si>
    <t>VOLKI</t>
  </si>
  <si>
    <t>AI / ML, Data Sciences, Cyber Security, Block Chain, Python, Mobile Applications</t>
  </si>
  <si>
    <t>28-05-2004</t>
  </si>
  <si>
    <t>22215a0504@bvrit.ac.in</t>
  </si>
  <si>
    <t>anirudh.volki2004@gmail.com</t>
  </si>
  <si>
    <t>1-9-16/27 medi Bai basti, Ramnagar, Hyderabad</t>
  </si>
  <si>
    <t>VOLKI Ajay Kumar</t>
  </si>
  <si>
    <t>GUGLOTH</t>
  </si>
  <si>
    <t>ARUNA</t>
  </si>
  <si>
    <t>Python, Java,c++</t>
  </si>
  <si>
    <t>22215A0505@bvrit.ac.in</t>
  </si>
  <si>
    <t>arunagugloth7@gmail.com</t>
  </si>
  <si>
    <t>H.no 3-78, vill-pochammaral ,Mandal-Haveli Ghanpur, district-Medak, pin code -502113</t>
  </si>
  <si>
    <t>GUGLOTH VITTAL</t>
  </si>
  <si>
    <t>MAGGIDI</t>
  </si>
  <si>
    <t>ARVIND</t>
  </si>
  <si>
    <t>AI / ML, Block Chain, Python, Cloud, Mobile Applications, JAVA</t>
  </si>
  <si>
    <t>22215a0506@bvrit.ac.in</t>
  </si>
  <si>
    <t>aravindmaggidi143@gmail.com</t>
  </si>
  <si>
    <t>H. No: 3-10
 Vill: Patha Yellapur 
 Mdl: Khanapur 
 Dist: Nirmal
 Pin: 504203</t>
  </si>
  <si>
    <t>MAGGIDI VIJEYA</t>
  </si>
  <si>
    <t>NAMPELLI</t>
  </si>
  <si>
    <t>GANGOTHRI</t>
  </si>
  <si>
    <t>Python, Java</t>
  </si>
  <si>
    <t>22-08-2004</t>
  </si>
  <si>
    <t>22215A0507@bvrit.ac.in</t>
  </si>
  <si>
    <t>nampelligangothri8@gmail.com</t>
  </si>
  <si>
    <t>Vill :venkatagiri,Mdl:Ramadugu,Dist: Karimnagar</t>
  </si>
  <si>
    <t>Nampelli Rajesham</t>
  </si>
  <si>
    <t>DARAM</t>
  </si>
  <si>
    <t>SOWMYA</t>
  </si>
  <si>
    <t>21211a0566@bvrit.ac.in</t>
  </si>
  <si>
    <t>daramsowmya5@gmail.com</t>
  </si>
  <si>
    <t>6-407/1, manikyanagar,chinthal, qutupulapur, Hyderabad</t>
  </si>
  <si>
    <t>Daram srinivasulu</t>
  </si>
  <si>
    <t>DASARI SUBBAYYAGARI</t>
  </si>
  <si>
    <t>NANDHU SAGAR</t>
  </si>
  <si>
    <t>AI / ML, Cyber Security, IoT, Python, Cloud, Mobile Applications, Devops,aws</t>
  </si>
  <si>
    <t>27-10-2003</t>
  </si>
  <si>
    <t>21211a0567@bvrit.ac.in</t>
  </si>
  <si>
    <t>sagarnandhu27@gmail.com</t>
  </si>
  <si>
    <t>Plot no 49 godavari homes suchitra</t>
  </si>
  <si>
    <t>D S Satyaiah</t>
  </si>
  <si>
    <t>KOUSTHUBHA</t>
  </si>
  <si>
    <t>DEBBATA</t>
  </si>
  <si>
    <t>27-03-2004</t>
  </si>
  <si>
    <t>21211a0568@bvrit.ac.in</t>
  </si>
  <si>
    <t>koustubhad27@gmail.com</t>
  </si>
  <si>
    <t>G3, Manasa Paradise, KVR Rainbow Colony, Bachupally, Hyderabad.</t>
  </si>
  <si>
    <t>RAVI KUMAR DEBBATA</t>
  </si>
  <si>
    <t>Deepthi Priyadarshini</t>
  </si>
  <si>
    <t>.p</t>
  </si>
  <si>
    <t>21211A0569@bvrit.ac.in</t>
  </si>
  <si>
    <t>deepthipriyadarshini0310@gmail.com</t>
  </si>
  <si>
    <t>Bhanur vil. H no. (6-21)</t>
  </si>
  <si>
    <t>SRI HARI.P</t>
  </si>
  <si>
    <t>DENDI</t>
  </si>
  <si>
    <t>MOKSHITH REDDY</t>
  </si>
  <si>
    <t>21211a0570@bvrit.ac.in</t>
  </si>
  <si>
    <t>mokshithreddy2004@gmail.com</t>
  </si>
  <si>
    <t>301, Sai Ganesh Residency, friends colony,miyapur, opposite -Raos high school, Hyderabad, Telangana 500049</t>
  </si>
  <si>
    <t>Dendi Chandana</t>
  </si>
  <si>
    <t>Deshavath</t>
  </si>
  <si>
    <t>Naveen</t>
  </si>
  <si>
    <t>Data Sciences, Cyber Security, Python, Cloud, Mobile Applications</t>
  </si>
  <si>
    <t>21211a0571@bvrit.ac.in</t>
  </si>
  <si>
    <t>deshavathnaveen2020@gmail.com</t>
  </si>
  <si>
    <t>Uppununthala bo</t>
  </si>
  <si>
    <t>Deshavath shankar</t>
  </si>
  <si>
    <t>DHULIPALLA</t>
  </si>
  <si>
    <t>PARVATHI</t>
  </si>
  <si>
    <t>AI / ML, Data Sciences, Cyber Security, Python, Cloud, Big Data, UX / UI, Mobile Applications, Full stack web development</t>
  </si>
  <si>
    <t>26-04-2003</t>
  </si>
  <si>
    <t>21211A0572@bvrit.ac.in</t>
  </si>
  <si>
    <t>dparvathi1890@gmail.com</t>
  </si>
  <si>
    <t>H.NO-410, DIAMOND PALACE OPPOSITE SRI SRI HOLISTIC HOSPITAL,NIZAMPET-X-ROADS, HYDERABAD</t>
  </si>
  <si>
    <t>DHULIPALLA GIRIBABU</t>
  </si>
  <si>
    <t>HARI HARAN</t>
  </si>
  <si>
    <t>DIDDI</t>
  </si>
  <si>
    <t>AI / ML, Python, Cloud, Big Data, Mobile Applications</t>
  </si>
  <si>
    <t>21-09-2003</t>
  </si>
  <si>
    <t>21211a0573@bvrit.ac.in</t>
  </si>
  <si>
    <t>hariharandiddi@gmail.com</t>
  </si>
  <si>
    <t>BIGWORKS &amp; LTI MINDTREE &amp; COGNIZANT-GENC</t>
  </si>
  <si>
    <t>Balaji towers flat no 108, Aliabad, Shamirpet, Medchal district, Telangana state, pincode: 500078</t>
  </si>
  <si>
    <t>PRANATHI</t>
  </si>
  <si>
    <t>REDDY</t>
  </si>
  <si>
    <t>AI / ML, Data Sciences, Cyber Security, IoT, Block Chain, Python, Cloud, Big Data, UX / UI, Mobile Applications, Extended Reality (AR / VR), C</t>
  </si>
  <si>
    <t>21211a0574@bvrit.ac.in</t>
  </si>
  <si>
    <t>pranathidodle@gmail.com</t>
  </si>
  <si>
    <t>2-2-127/3/II , LAKSHMI ENCLAVE, PANCHSHEEL ROAD , MACHA BOLLARAM, ALWAL</t>
  </si>
  <si>
    <t>Dodle Bhoopal reddy</t>
  </si>
  <si>
    <t>DOMAKONDA</t>
  </si>
  <si>
    <t>NANDINI</t>
  </si>
  <si>
    <t>AI / ML, Data Sciences, Cyber Security, IoT, Python</t>
  </si>
  <si>
    <t>21211a0575@bvrit.ac.in</t>
  </si>
  <si>
    <t>nandudomakonda@gmail.com</t>
  </si>
  <si>
    <t>Village:Kothaplly, Mandal:Gambhiraopet, District:Rajanna Siricilla</t>
  </si>
  <si>
    <t>DOMAKONDA SURENDAR</t>
  </si>
  <si>
    <t>DULAM</t>
  </si>
  <si>
    <t>ABHINAV GOUD</t>
  </si>
  <si>
    <t>21211a0576@bvrit.ac.in</t>
  </si>
  <si>
    <t>abhinavgouddulam@gmail.com</t>
  </si>
  <si>
    <t>H NO 2-41, Kachireddypalli, Gangadhara Mandal, Kachireddipalle, Karimnagar ,Telangana - 505445</t>
  </si>
  <si>
    <t>DULAM MARUTHI</t>
  </si>
  <si>
    <t>KARTHIK GOUD</t>
  </si>
  <si>
    <t>DURGAM</t>
  </si>
  <si>
    <t>AI / ML, Data Sciences, Cyber Security, IoT, Block Chain, Python, Cloud, Mobile Applications</t>
  </si>
  <si>
    <t>21211a0577@bvrit.ac.in</t>
  </si>
  <si>
    <t>karthikdurgam468@gmail.com</t>
  </si>
  <si>
    <t>1-1-11, fathenagar,medak</t>
  </si>
  <si>
    <t>Durgam Ravi</t>
  </si>
  <si>
    <t>HARITHA</t>
  </si>
  <si>
    <t>18-05-2003</t>
  </si>
  <si>
    <t>21211a0578@bvrit.ac.in</t>
  </si>
  <si>
    <t>harithagoud0506@gmail.com</t>
  </si>
  <si>
    <t>1-9 veerampally mahaboob Nagar</t>
  </si>
  <si>
    <t>E.Anjilaiha Goud</t>
  </si>
  <si>
    <t>SAI PRADEEP</t>
  </si>
  <si>
    <t>EDARA</t>
  </si>
  <si>
    <t>AI / ML, Mobile Applications, Data structures</t>
  </si>
  <si>
    <t>22-07-2004</t>
  </si>
  <si>
    <t>21211a0579@bvrit.ac.in</t>
  </si>
  <si>
    <t>edarasaipradeep@gmail.com</t>
  </si>
  <si>
    <t>Satuluru,Nadendla,Guntur,Andhrapradesh</t>
  </si>
  <si>
    <t>EDARA ADIYYA</t>
  </si>
  <si>
    <t>BALAKRISHNA</t>
  </si>
  <si>
    <t>EMMADI</t>
  </si>
  <si>
    <t>15-10-2003</t>
  </si>
  <si>
    <t>21211a0580@bvrit.ac.in</t>
  </si>
  <si>
    <t>balagmastro15@gmail.com</t>
  </si>
  <si>
    <t>kasnathanda, khammam</t>
  </si>
  <si>
    <t>Nagulmeera Emmadi</t>
  </si>
  <si>
    <t>ERAGADINLA</t>
  </si>
  <si>
    <t>ACHYUT</t>
  </si>
  <si>
    <t>27-06-2003</t>
  </si>
  <si>
    <t>21211a0581@bvrit.ac.in</t>
  </si>
  <si>
    <t>achyut84658@gmail.com</t>
  </si>
  <si>
    <t>H NO 4-51-116, MAQDUM NAGAR, JAGATHGIRI GUTTA</t>
  </si>
  <si>
    <t>ERAGADINLA RAMESH</t>
  </si>
  <si>
    <t>EMMANUEL</t>
  </si>
  <si>
    <t>GABRIEL</t>
  </si>
  <si>
    <t>C,Java,SQL, HTML, CSS, Javascript</t>
  </si>
  <si>
    <t>23-02-2003</t>
  </si>
  <si>
    <t>21211a0582@bvrit.ac.in</t>
  </si>
  <si>
    <t>gemmanuel70323@gmail.com</t>
  </si>
  <si>
    <t>357/a allwyn colony phase 2 kukatpally</t>
  </si>
  <si>
    <t>Gabriel christopher</t>
  </si>
  <si>
    <t>GAJJALA LIKHITH</t>
  </si>
  <si>
    <t>21211a0583@bvrit.ac.in</t>
  </si>
  <si>
    <t>likhith1600@gmail.com</t>
  </si>
  <si>
    <t>H.no:105, Road no:4, Vemana Reddy Colony, Chandannagar, Hyderabad</t>
  </si>
  <si>
    <t>GAJJALA PARAMESWARA REDDY</t>
  </si>
  <si>
    <t>GALI</t>
  </si>
  <si>
    <t>BHAVYA</t>
  </si>
  <si>
    <t>Python, Mobile Applications, C Programming, Web Development</t>
  </si>
  <si>
    <t>21-09-2004</t>
  </si>
  <si>
    <t>21211a0584@bvrit.ac.in</t>
  </si>
  <si>
    <t>bhavyagali4@gmail.com</t>
  </si>
  <si>
    <t>J. P Colony, Patancheru, Sangareddy District</t>
  </si>
  <si>
    <t>Gali Zakaraiah</t>
  </si>
  <si>
    <t>ALEKHYA</t>
  </si>
  <si>
    <t>GANDHAM</t>
  </si>
  <si>
    <t>AI / ML, Data Sciences, Cyber Security, Python, Cloud, Big Data, UX / UI, Mobile Applications, App development,web development</t>
  </si>
  <si>
    <t>21211a0585@bvrit.ac.in</t>
  </si>
  <si>
    <t>alekhyagandham9@gmail.com</t>
  </si>
  <si>
    <t>1-2-366/199, domalguda,himayathnagar,hyderabad</t>
  </si>
  <si>
    <t>MOHAN GANDHAM</t>
  </si>
  <si>
    <t>GANDLA</t>
  </si>
  <si>
    <t>ABHILASH</t>
  </si>
  <si>
    <t>23-04-2004</t>
  </si>
  <si>
    <t>21211a0586@bvrit.ac.in</t>
  </si>
  <si>
    <t>gabhiabhilash586@gmail.com</t>
  </si>
  <si>
    <t>s/o:Gandla Basalingappa,1-11,Kota, Karankote,Vikarabad,Telangana-501158</t>
  </si>
  <si>
    <t>Gandla Basalingappa</t>
  </si>
  <si>
    <t>ARUN KUMAR</t>
  </si>
  <si>
    <t>AI / ML, Data Sciences, Cyber Security, Block Chain, Cloud</t>
  </si>
  <si>
    <t>21211a0587@bvrit.ac.in</t>
  </si>
  <si>
    <t>arunkumarsajjan.0@gmail.com</t>
  </si>
  <si>
    <t>Zaheerabad, house no: 11-72,sbh colony, district:sangareddy</t>
  </si>
  <si>
    <t>Arun Kumar</t>
  </si>
  <si>
    <t>GANGAMALLU</t>
  </si>
  <si>
    <t>MERCY MADHURIMA REDDY</t>
  </si>
  <si>
    <t>Python, Mobile Applications, C,Web applications</t>
  </si>
  <si>
    <t>15-06-2003</t>
  </si>
  <si>
    <t>21211A0588@bvrit.ac.in</t>
  </si>
  <si>
    <t>mercyreddy776@gmail.com</t>
  </si>
  <si>
    <t>Vinayaknagar,Nizamabad</t>
  </si>
  <si>
    <t>GANGAMALLU BHAGAVANTHA REDDY</t>
  </si>
  <si>
    <t>RAGHUVEER CHAITANYA</t>
  </si>
  <si>
    <t>GANGAVARAPU</t>
  </si>
  <si>
    <t>AI / ML, Data Sciences, Cyber Security, IoT, Block Chain, Python, Cloud, Big Data, UX / UI, Mobile Applications, Extended Reality (AR / VR), Deep learning</t>
  </si>
  <si>
    <t>21211a0589@bvrit.ac.in</t>
  </si>
  <si>
    <t>raghuveerchaitanya@gmail.com</t>
  </si>
  <si>
    <t>H.NO:5-6-20/4/1, Pakabanda Bazar, Khammam
 KHAMMAM, TELANGANA 507001,
 INDIA.</t>
  </si>
  <si>
    <t>GANGAVARAPU. SREEKANTH</t>
  </si>
  <si>
    <t>Sreehitha</t>
  </si>
  <si>
    <t>Gantyala</t>
  </si>
  <si>
    <t>14-04-2004</t>
  </si>
  <si>
    <t>21211a0590@bvrit.ac.in</t>
  </si>
  <si>
    <t>gantyalasreehitha@gmail.com</t>
  </si>
  <si>
    <t>KPIT &amp; BIGWORKS &amp; LTI MINDTREE &amp; INFOSYS-SE &amp; COGNIZANT-GENC</t>
  </si>
  <si>
    <t>Siddipet</t>
  </si>
  <si>
    <t>GANTYALA VENKATESHAm</t>
  </si>
  <si>
    <t>RAHUL</t>
  </si>
  <si>
    <t>GATLA</t>
  </si>
  <si>
    <t>21211a0591@bvrit.ac.in</t>
  </si>
  <si>
    <t>gatlarahul8@gmail.com</t>
  </si>
  <si>
    <t>1-5-163/18/11 Bhagyanagar Jagtial Telangana</t>
  </si>
  <si>
    <t>Gatla Kishan</t>
  </si>
  <si>
    <t>SRIJA</t>
  </si>
  <si>
    <t>GOLLAPALLY</t>
  </si>
  <si>
    <t>AI / ML, Data Sciences, Cyber Security, IoT, Python, Cloud, Big Data, Mobile Applications</t>
  </si>
  <si>
    <t>21211A0592@bvrit.ac.in</t>
  </si>
  <si>
    <t>srijagollapally01@gmail.com</t>
  </si>
  <si>
    <t>CHOPPADANDI, KARMINAGAR</t>
  </si>
  <si>
    <t>SHEKAR GOLLAPALLY</t>
  </si>
  <si>
    <t>SINDHU</t>
  </si>
  <si>
    <t>GOPAGONI</t>
  </si>
  <si>
    <t>AI / ML, Data Sciences, Cyber Security, IoT, Python, Big Data, Mobile Applications, Extended Reality (AR / VR)</t>
  </si>
  <si>
    <t>15-02-2004</t>
  </si>
  <si>
    <t>21211a0593@bvrit.ac.in</t>
  </si>
  <si>
    <t>gsindhugoud@gmail.com</t>
  </si>
  <si>
    <t>Beeramguda,Raghavendra Colony,Prasanna Plaza ,Flat no:202, Sangareddy District.</t>
  </si>
  <si>
    <t>GOPAGONI ARUNA</t>
  </si>
  <si>
    <t>KEVIN</t>
  </si>
  <si>
    <t>GOPANPALLY</t>
  </si>
  <si>
    <t>21-03-2004</t>
  </si>
  <si>
    <t>21211a0594@bvrit.ac.in</t>
  </si>
  <si>
    <t>gopanpallykevin@gmail.com</t>
  </si>
  <si>
    <t>H.No:4-81/6-20,Christian colony,Alipur,Zaheerabad</t>
  </si>
  <si>
    <t>Karun Krupa Sagar</t>
  </si>
  <si>
    <t>GOPIDI RITHIKA</t>
  </si>
  <si>
    <t>20-11-2003</t>
  </si>
  <si>
    <t>21211A0595@bvrit.ac.in</t>
  </si>
  <si>
    <t>rithikareddy00000@gmail.com</t>
  </si>
  <si>
    <t>Flat no 501, sri laxmi venkateshwara residency, opp panchasheela homes, kings club lane, gangasthan phase 1, nizamabad , telangana</t>
  </si>
  <si>
    <t>GOPIDI RAMCHANDRA REDDY</t>
  </si>
  <si>
    <t>GORLE</t>
  </si>
  <si>
    <t>DINESH NAIDU</t>
  </si>
  <si>
    <t>AI / ML, Cyber Security, IoT, Block Chain, Python, Cloud</t>
  </si>
  <si>
    <t>21211a0596@bvrit.ac.in</t>
  </si>
  <si>
    <t>dineshnaidu2003@gmail.com</t>
  </si>
  <si>
    <t>10-1859,NTR MARG,CHINNIBABU COLONY,THUMMAPALA,ANAKAPALLE,VISAKHAPATNAM,ANDHRA PRADESH-531032</t>
  </si>
  <si>
    <t>GORLE DEVIRAM</t>
  </si>
  <si>
    <t>GOSUKONDA</t>
  </si>
  <si>
    <t>ROHAN REDDY</t>
  </si>
  <si>
    <t>AI / ML, Data Sciences, Cyber Security, IoT, Block Chain, Python, Cloud, Big Data, Mobile Applications</t>
  </si>
  <si>
    <t>13-08-2003</t>
  </si>
  <si>
    <t>21211a0597@bvrit.ac.in</t>
  </si>
  <si>
    <t>rohanreddygosukonda2003@gmail.com</t>
  </si>
  <si>
    <t>Anantharam village,Gummadidala mandal.</t>
  </si>
  <si>
    <t>GOSUKONDA INDRASENA REDDY</t>
  </si>
  <si>
    <t xml:space="preserve"> </t>
  </si>
  <si>
    <t>GOTTUMUKKALA</t>
  </si>
  <si>
    <t>SRI HARSHA VARMA</t>
  </si>
  <si>
    <t>21211A0598@bvrit.ac.in</t>
  </si>
  <si>
    <t>gshv6666@gmail.com</t>
  </si>
  <si>
    <t>Near tv tower road,sri nilayam,flat no.403,asr nagar,Hyderabad</t>
  </si>
  <si>
    <t>Gottumukkala Rama Krishnam Raju</t>
  </si>
  <si>
    <t>TEJASWI</t>
  </si>
  <si>
    <t>Python, C</t>
  </si>
  <si>
    <t>16-10-2004</t>
  </si>
  <si>
    <t>21211a0599@bvrit.ac.in</t>
  </si>
  <si>
    <t>gottumukkalatejaswi204@gmail.com</t>
  </si>
  <si>
    <t>LTI MINDTREE &amp; INFOSYS-SE &amp; COGNIZANT-GENC</t>
  </si>
  <si>
    <t>Rtc colony, Medchal, Hyderabad, Telangana -401501</t>
  </si>
  <si>
    <t>Gottumukkala Satyanarayana Raju</t>
  </si>
  <si>
    <t>SHRAVYA</t>
  </si>
  <si>
    <t>VANKUDOTH</t>
  </si>
  <si>
    <t>Python, C language</t>
  </si>
  <si>
    <t>21211a05a0@bvrit.ac.in</t>
  </si>
  <si>
    <t>shravyavankudoth6@gmail.com</t>
  </si>
  <si>
    <t>H no 102, plot no 139, North East residence, HUDA COLONY, chandanagar, Hyderabad, Telangana,500050</t>
  </si>
  <si>
    <t>HANUMANTHU VANKUDOTH</t>
  </si>
  <si>
    <t>GUDIVADA</t>
  </si>
  <si>
    <t>ABHIRAM</t>
  </si>
  <si>
    <t>AI / ML, Data Sciences, IoT, Python, Mobile Applications, Web development</t>
  </si>
  <si>
    <t>21211a05a1@bvrit.ac.in</t>
  </si>
  <si>
    <t>abhiram7423@gmail.com</t>
  </si>
  <si>
    <t>BIGWORKS &amp; INFOSYS1-SE</t>
  </si>
  <si>
    <t>C-903, Mahindra Ashvita, Hafeezpet road, Medchel,Hyderabad, Telangana</t>
  </si>
  <si>
    <t>Gudivada Venkata Subramanyam Gupta</t>
  </si>
  <si>
    <t>CHANDRAKANTH</t>
  </si>
  <si>
    <t>GUMMADIVELLY</t>
  </si>
  <si>
    <t>AI / ML, Data Sciences, Cyber Security, IoT, Python, Cloud, Big Data, UX / UI, Mobile Applications</t>
  </si>
  <si>
    <t>21211a05a2@bvrit.ac.in</t>
  </si>
  <si>
    <t>gummadivellychandrakanth@gmail.com</t>
  </si>
  <si>
    <t>Accenture ASE &amp; KPIT &amp; INFOSYS1-SE</t>
  </si>
  <si>
    <t>H.No:- 1-5-496/8, Ayyappa nagar colony, surya nagar road, old alwal, Hyderabad, telangana.</t>
  </si>
  <si>
    <t>GUMMADIVELLY SRINIVASULU</t>
  </si>
  <si>
    <t>GUNDA</t>
  </si>
  <si>
    <t>SAI VIGNESH</t>
  </si>
  <si>
    <t>AI / ML, Data Sciences, Cyber Security, Block Chain, Python, Cloud, Mobile Applications, Extended Reality (AR / VR)</t>
  </si>
  <si>
    <t>30-05-2004</t>
  </si>
  <si>
    <t>21211a05a3@bvrit.ac.in</t>
  </si>
  <si>
    <t>gundasaivignesh@gmail.com</t>
  </si>
  <si>
    <t>H No 4-263/2 Gangadhara x road, Gangadhara, Karimnagar, Telengana</t>
  </si>
  <si>
    <t>GUNDA HARI PRASAD</t>
  </si>
  <si>
    <t>GUNDU</t>
  </si>
  <si>
    <t>NANDITHA</t>
  </si>
  <si>
    <t>AI / ML, Data Sciences, Cyber Security, Python, Cloud, Big Data, Mobile Applications, Full Stack Web Development</t>
  </si>
  <si>
    <t>20-08-2003</t>
  </si>
  <si>
    <t>21211a05a4@bvrit.ac.in</t>
  </si>
  <si>
    <t>gnanditha03@gmail.com</t>
  </si>
  <si>
    <t>FL no-103,Pl no -62&amp;63,Adithi Castle,Bank colony,Pothireddypally,Sangareddy</t>
  </si>
  <si>
    <t>Gundu Laxminarayana</t>
  </si>
  <si>
    <t>UDITH</t>
  </si>
  <si>
    <t>KALYAN</t>
  </si>
  <si>
    <t>AI / ML, Data Sciences, Cyber Security, Block Chain, Python, Cloud, Mobile Applications</t>
  </si>
  <si>
    <t>25-03-2004</t>
  </si>
  <si>
    <t>21211a05a5@bvrit.ac.in</t>
  </si>
  <si>
    <t>udithgunturu418@gmail.com</t>
  </si>
  <si>
    <t>H.No: 19-73,Reddy colony,Miryalaguda,NLG district</t>
  </si>
  <si>
    <t>GUNTURU SRINIVASULU</t>
  </si>
  <si>
    <t>HANAMKONDA</t>
  </si>
  <si>
    <t>SUSANNA</t>
  </si>
  <si>
    <t>21211A05A6@bvrit.ac.in</t>
  </si>
  <si>
    <t>Susannahanamkonda@gmail.com</t>
  </si>
  <si>
    <t>33-126/A ,Skanda nagar , Suraram, Jeedimetla,Hyderabad ,Telangana</t>
  </si>
  <si>
    <t>HANAMKONDA PREM KUMAR</t>
  </si>
  <si>
    <t>VADLURI</t>
  </si>
  <si>
    <t>HARISH KUMAR</t>
  </si>
  <si>
    <t>21211a05a7@bvrit.ac.in</t>
  </si>
  <si>
    <t>vadluriharish12@gmail.com</t>
  </si>
  <si>
    <t>Hyderabad,kondapur,Sri Ram nagar colony</t>
  </si>
  <si>
    <t>Vadluri.Satyanarayana</t>
  </si>
  <si>
    <t>HATWAL</t>
  </si>
  <si>
    <t>MAHADEV</t>
  </si>
  <si>
    <t>Cyber Security, Python, C language, java</t>
  </si>
  <si>
    <t>21-10-2004</t>
  </si>
  <si>
    <t>21211a05a8@bvrit.ac.in</t>
  </si>
  <si>
    <t>mahadevsonu584@gmail.com</t>
  </si>
  <si>
    <t>Bollaram,dovten bazar ,secunderabad</t>
  </si>
  <si>
    <t>HATWAL JAYA PRAKASH</t>
  </si>
  <si>
    <t>INDUKURI</t>
  </si>
  <si>
    <t>G. V. Ramesh varma</t>
  </si>
  <si>
    <t>Java</t>
  </si>
  <si>
    <t>21211a05a9@bvrit.ac.in</t>
  </si>
  <si>
    <t>indukurirameshvarma77@gmail.com</t>
  </si>
  <si>
    <t>Pippara ganapavaram mandal</t>
  </si>
  <si>
    <t>Indukuri pullam raju</t>
  </si>
  <si>
    <t>TEJASHWI</t>
  </si>
  <si>
    <t>JAINA</t>
  </si>
  <si>
    <t>AI / ML, Block Chain, Python, Cloud, Big Data, Mobile Applications</t>
  </si>
  <si>
    <t>21211a05b0@bvrit.ac.in</t>
  </si>
  <si>
    <t>jainatejashwi451@gmail.com</t>
  </si>
  <si>
    <t>H No 7-4/44/45/301/A/1, Atharva ayaan apts,bandlaguda jagir,near kk convention, rajendra nagar, kv rangareddy Telangana 500086</t>
  </si>
  <si>
    <t>J.Hanmanth Reddy</t>
  </si>
  <si>
    <t>SRIKANTH</t>
  </si>
  <si>
    <t>JADA</t>
  </si>
  <si>
    <t>AI / ML, Data Sciences, Block Chain, Python, Cloud, Mobile Applications</t>
  </si>
  <si>
    <t>25-12-2003</t>
  </si>
  <si>
    <t>21211a05b1@bvrit.ac.in</t>
  </si>
  <si>
    <t>srikanthjada0019@gmail.com</t>
  </si>
  <si>
    <t>VENKATESWARLU JADA</t>
  </si>
  <si>
    <t>JAGU</t>
  </si>
  <si>
    <t>Cyber Security, Python</t>
  </si>
  <si>
    <t>30-06-2003</t>
  </si>
  <si>
    <t>21211A05B2@bvrit.ac.in</t>
  </si>
  <si>
    <t>vickykoti2@gmail.com</t>
  </si>
  <si>
    <t>Address. 3-6-12/19/C.Flat No 101. Manjula Nilayam. Vivekanadha Nagar. Kukatpally. Hyderabad . Pin. 500072</t>
  </si>
  <si>
    <t>Jagu vajra Sekhar reddy</t>
  </si>
  <si>
    <t>SREEJA</t>
  </si>
  <si>
    <t>AI / ML, Data Sciences, Block Chain, Python, Cloud</t>
  </si>
  <si>
    <t>21211a05b3@bvrit.ac.in</t>
  </si>
  <si>
    <t>sreejapatel.2003@gmail.com</t>
  </si>
  <si>
    <t>Nirmal</t>
  </si>
  <si>
    <t>JAKKULA RAVI KUMAR</t>
  </si>
  <si>
    <t>Tharun</t>
  </si>
  <si>
    <t>K</t>
  </si>
  <si>
    <t>14-08-2002</t>
  </si>
  <si>
    <t>21211a05b4@bvrit.ac.in</t>
  </si>
  <si>
    <t>tharunkonyala07@gmail.com</t>
  </si>
  <si>
    <t>Doultabad, Sangareddy, telangana</t>
  </si>
  <si>
    <t>K Narsimulu</t>
  </si>
  <si>
    <t>SUMANTH</t>
  </si>
  <si>
    <t>KALAGARA</t>
  </si>
  <si>
    <t>AI / ML, Data Sciences, Block Chain, Python, Big Data, Extended Reality (AR / VR)</t>
  </si>
  <si>
    <t>21211a05b5@bvrit.ac.in</t>
  </si>
  <si>
    <t>kalagarasumanth@gmail.com</t>
  </si>
  <si>
    <t>KPHB Colony</t>
  </si>
  <si>
    <t>KALAGARA GOPALA KRISHNA</t>
  </si>
  <si>
    <t>KALALI VISHNU</t>
  </si>
  <si>
    <t>VARDHAN GOUD</t>
  </si>
  <si>
    <t>28-10-2003</t>
  </si>
  <si>
    <t>21211a05b6@bvrit.ac.in</t>
  </si>
  <si>
    <t>vishnuvardhan35251@gmail.com</t>
  </si>
  <si>
    <t>15-10/3 Sai Nagar colony PR pally Sangareddy</t>
  </si>
  <si>
    <t>KALALI NARSIMHA GOUD</t>
  </si>
  <si>
    <t>KAMMARI</t>
  </si>
  <si>
    <t>KRISHNA PRASAD</t>
  </si>
  <si>
    <t>26-05-2002</t>
  </si>
  <si>
    <t>21211a05b7@bvrit.ac.in</t>
  </si>
  <si>
    <t>kammarikrishna80@gmail.com</t>
  </si>
  <si>
    <t>H NO 1-22 IMAMPUR tupran MEDAK TELENGANA 502334</t>
  </si>
  <si>
    <t>Narahari chary</t>
  </si>
  <si>
    <t>KAMUGANTI</t>
  </si>
  <si>
    <t>AKSHITHA</t>
  </si>
  <si>
    <t>AI / ML, Data Sciences, Cyber Security, Python, Cloud, Big Data, Mobile Applications, Full Stack Development</t>
  </si>
  <si>
    <t>21211a05b8@bvrit.ac.in</t>
  </si>
  <si>
    <t>1618021akshitha@gmail.com</t>
  </si>
  <si>
    <t>4-12-96, Gangaram (Hanuman mandir), Vikarabad, Vikarabad District</t>
  </si>
  <si>
    <t>KAMUGANTI ANANTH</t>
  </si>
  <si>
    <t>KANDUNURI</t>
  </si>
  <si>
    <t>AI / ML, Data Sciences, Python, Cloud, Mobile Applications</t>
  </si>
  <si>
    <t>19-05-2003</t>
  </si>
  <si>
    <t>21211a05b9@bvrit.ac.in</t>
  </si>
  <si>
    <t>tejukandu2003@gmail.com</t>
  </si>
  <si>
    <t>Sulthanabad, Peddapalli, Karimnagar</t>
  </si>
  <si>
    <t>Kandunuri Gattaiah</t>
  </si>
  <si>
    <t>ANISHWAR</t>
  </si>
  <si>
    <t>KANKANALA</t>
  </si>
  <si>
    <t>21211a05c0@bvrit.ac.in</t>
  </si>
  <si>
    <t>anishwarkankanala@gmail.com</t>
  </si>
  <si>
    <t>Kamareddy</t>
  </si>
  <si>
    <t>Kankanala Narender</t>
  </si>
  <si>
    <t>GOWTHAM</t>
  </si>
  <si>
    <t>Cyber Security</t>
  </si>
  <si>
    <t>23-01-2003</t>
  </si>
  <si>
    <t>21211a05c1@bvrit.ac.in</t>
  </si>
  <si>
    <t>kankipatigowthamvarma@gmail.com</t>
  </si>
  <si>
    <t>19-100/3 St No 7 Gautam Nagar Malkajgiri Hyderabad 500047</t>
  </si>
  <si>
    <t>K Sri Krishna</t>
  </si>
  <si>
    <t>BHARATH KUMAR</t>
  </si>
  <si>
    <t>KAPARTHI</t>
  </si>
  <si>
    <t>AI / ML, Data Sciences, Block Chain, Python, Big Data</t>
  </si>
  <si>
    <t>21211a05c2@bvrit.ac.in</t>
  </si>
  <si>
    <t>kaparthibharath222@gmail.com</t>
  </si>
  <si>
    <t>Yellareddy, kamareddy dist</t>
  </si>
  <si>
    <t>Kaparthi bhagya laxmi</t>
  </si>
  <si>
    <t>KAPARTHI MANOJ</t>
  </si>
  <si>
    <t>KUMAR</t>
  </si>
  <si>
    <t>AI / ML, Data Sciences, Cyber Security, IoT, Python, Mobile Applications, Developers</t>
  </si>
  <si>
    <t>21211a05c3@bvrit.ac.in</t>
  </si>
  <si>
    <t>manojkumarkaparthi9876@gmail.com</t>
  </si>
  <si>
    <t>Komuravelly,siddipet(dist),Near mallana temple H NO:9-100,pincode:506355</t>
  </si>
  <si>
    <t>K.Mallikarjun</t>
  </si>
  <si>
    <t>KARRA</t>
  </si>
  <si>
    <t>NIKHIL</t>
  </si>
  <si>
    <t>17-04-2004</t>
  </si>
  <si>
    <t>21211a05c4@bvrit.ac.in</t>
  </si>
  <si>
    <t>karranikhil55@gmail.com</t>
  </si>
  <si>
    <t>H.No:8-3A
 Vill: Palugu thanda,Ryakal
 MDL: Narayankhed
 Dist: Sangareddy
 State: Telangana</t>
  </si>
  <si>
    <t>Karra Narsing Nayak</t>
  </si>
  <si>
    <t>KASARAPU</t>
  </si>
  <si>
    <t>SAHAJA</t>
  </si>
  <si>
    <t>Python, Mobile Applications, Web development and C</t>
  </si>
  <si>
    <t>21211A05C5@bvrit.ac.in</t>
  </si>
  <si>
    <t>kasarapusahaja07@gmail.com</t>
  </si>
  <si>
    <t>Jammikunta,Karimnagar</t>
  </si>
  <si>
    <t>Kasarapu Thirupathi</t>
  </si>
  <si>
    <t>GOURAV</t>
  </si>
  <si>
    <t>Data Sciences, Python, Mobile Applications, Web development and Java</t>
  </si>
  <si>
    <t>23-01-2004</t>
  </si>
  <si>
    <t>21211a05c6@bvrit.ac.in</t>
  </si>
  <si>
    <t>gourav4058@gmail.com</t>
  </si>
  <si>
    <t>Gangasthan-phase-1, VISHNAVI residence flat no 401, Balaji nagar, Nizamabad</t>
  </si>
  <si>
    <t>KATPALLY Krishna reddy</t>
  </si>
  <si>
    <t>KAUSHIK VARMA</t>
  </si>
  <si>
    <t>DATLA</t>
  </si>
  <si>
    <t>AI / ML, Cyber Security, IoT, Python, Cloud, Mobile Applications, Web development</t>
  </si>
  <si>
    <t>22-08-2003</t>
  </si>
  <si>
    <t>21211a05c7@bvrit.ac.in</t>
  </si>
  <si>
    <t>kaushik.datla@gmail.com</t>
  </si>
  <si>
    <t>Block no:15 , Flat no:706 Malaysian Township, Rain tree park near forum mall,KPHB,kukatpally,Hyderabad</t>
  </si>
  <si>
    <t>Ravi Varma Datla</t>
  </si>
  <si>
    <t>K N</t>
  </si>
  <si>
    <t>BHAVYA SREE</t>
  </si>
  <si>
    <t>Python, UX / UI, C language</t>
  </si>
  <si>
    <t>31-10-2003</t>
  </si>
  <si>
    <t>21211a05c8@bvrit.ac.in</t>
  </si>
  <si>
    <t>knbhavyasreebhavyasree@gmail.com</t>
  </si>
  <si>
    <t>P No. 8-179/403 , Prasoona nagar , Chintal, Hyderabad, Telangana.</t>
  </si>
  <si>
    <t>KONDURU GANGAIAH</t>
  </si>
  <si>
    <t>PRADEEP</t>
  </si>
  <si>
    <t>KOLUSU</t>
  </si>
  <si>
    <t>AI / ML, Cyber Security, IoT, Python, Cloud, Mobile Applications, Extended Reality (AR / VR)</t>
  </si>
  <si>
    <t>21211A05C9@bvrit.ac.in</t>
  </si>
  <si>
    <t>chaitu200620@gmail.com</t>
  </si>
  <si>
    <t>1-49/2/A-75,shenkar nagar phase -2,Ashok nagar ,Hyderabad</t>
  </si>
  <si>
    <t>KOLUSU Siva Rama Krishna</t>
  </si>
  <si>
    <t>BINDHU SRI</t>
  </si>
  <si>
    <t>KOMMULA</t>
  </si>
  <si>
    <t>AI / ML, Python, Java , Data structures</t>
  </si>
  <si>
    <t>21211a05d0@bvrit.ac.in</t>
  </si>
  <si>
    <t>kommulabindhusri@gmail.com</t>
  </si>
  <si>
    <t>H.no.: 2-87/1/9/B ,Reddy's colony ,kammarpally, Nizamabad</t>
  </si>
  <si>
    <t>Kommula Srinivas</t>
  </si>
  <si>
    <t>MOHAMMAD GHOUSE</t>
  </si>
  <si>
    <t>PASHA</t>
  </si>
  <si>
    <t>22-06-2004</t>
  </si>
  <si>
    <t>22215a0508@bvrit.ac.in</t>
  </si>
  <si>
    <t>mdghousepasha2203@gmail.com</t>
  </si>
  <si>
    <t>Pregnapur</t>
  </si>
  <si>
    <t>Mohammad Akbar</t>
  </si>
  <si>
    <t>YELLANKI</t>
  </si>
  <si>
    <t>HARSHA VARDHAN</t>
  </si>
  <si>
    <t>AI / ML, Data Sciences, Cyber Security, IoT, Block Chain, Python, UX / UI, Extended Reality (AR / VR)</t>
  </si>
  <si>
    <t>22215a0509@bvrit.ac.in</t>
  </si>
  <si>
    <t>harshavardhanyellanki5@gmail.com</t>
  </si>
  <si>
    <t>Plot no: 40/p, Bhoomi Reddy Colony, Quthbullapur, Quthbullapur, medchal - malkajgiri</t>
  </si>
  <si>
    <t>YELLANKI GOUREESWARARAO</t>
  </si>
  <si>
    <t>GUNDU KEERTHI</t>
  </si>
  <si>
    <t>PRIYA</t>
  </si>
  <si>
    <t>AI / ML, Python</t>
  </si>
  <si>
    <t>22215a0510@bvrit.ac.in</t>
  </si>
  <si>
    <t>gundukeerthipriya528@gmail.com</t>
  </si>
  <si>
    <t>Pudur,kodimial,jagityal</t>
  </si>
  <si>
    <t>GUNDU KÀNTHAIAH</t>
  </si>
  <si>
    <t>NEELI</t>
  </si>
  <si>
    <t>LIKITHA</t>
  </si>
  <si>
    <t>Cloud, Java, c language ,c++</t>
  </si>
  <si>
    <t>14-04-2003</t>
  </si>
  <si>
    <t>22215a0511@bvrit.ac.in</t>
  </si>
  <si>
    <t>neelilikitha@gmail.com</t>
  </si>
  <si>
    <t>2-85, Nizampet(vill), Narayankhed (MDL), sangareddy</t>
  </si>
  <si>
    <t>NEELI AMBADAS</t>
  </si>
  <si>
    <t>KAIRAMKONDA</t>
  </si>
  <si>
    <t>MANIKANTA</t>
  </si>
  <si>
    <t>AI / ML, Cyber Security, Python, Cloud, Mobile Applications, Extended Reality (AR / VR), C,Java</t>
  </si>
  <si>
    <t>22215A0512@bvrit.ac.in</t>
  </si>
  <si>
    <t>kairamkondamanikanta@gmail.com</t>
  </si>
  <si>
    <t>Suchitra Hyderabad</t>
  </si>
  <si>
    <t>RAMAVATH</t>
  </si>
  <si>
    <t>NIKITHA</t>
  </si>
  <si>
    <t>Data Sciences, Python, Cloud, Mobile Applications</t>
  </si>
  <si>
    <t>22215a0513@bvrit.ac.in</t>
  </si>
  <si>
    <t>ramavathmohan817@gmail.com</t>
  </si>
  <si>
    <t>Kowdipally</t>
  </si>
  <si>
    <t>Ramavath Mohan</t>
  </si>
  <si>
    <t>BODDU</t>
  </si>
  <si>
    <t>POOJA</t>
  </si>
  <si>
    <t>19-06-2004</t>
  </si>
  <si>
    <t>22215a0514@bvrit.ac.in</t>
  </si>
  <si>
    <t>boddupooja823@gmail.com</t>
  </si>
  <si>
    <t>SIRPUR,MUGPAL,NIZAMABAD</t>
  </si>
  <si>
    <t>BODDU KRISHNA</t>
  </si>
  <si>
    <t>JAIDEEPTEJA</t>
  </si>
  <si>
    <t>VALLURU</t>
  </si>
  <si>
    <t>AI / ML, Cyber Security, Python, Mobile Applications</t>
  </si>
  <si>
    <t>28-08-2004</t>
  </si>
  <si>
    <t>21211A05D1@bvrit.ac.in</t>
  </si>
  <si>
    <t>jaid44082@gmail.com</t>
  </si>
  <si>
    <t>Flat no.104,green view towers,poojitha enclave,Bachupally,Nizampet, Hyderabad</t>
  </si>
  <si>
    <t>VALLURU POTHU RAJU</t>
  </si>
  <si>
    <t>KOMMAREDDY</t>
  </si>
  <si>
    <t>KARTHIKEYAN REDDY</t>
  </si>
  <si>
    <t>AI / ML, Data Sciences, Cyber Security, IoT, Block Chain, Python, Cloud, Mobile Applications, Extended Reality (AR / VR)</t>
  </si>
  <si>
    <t>22-01-2004</t>
  </si>
  <si>
    <t>21211a05d2@bvrit.ac.in</t>
  </si>
  <si>
    <t>karthikeyanreddy88@gmail.com</t>
  </si>
  <si>
    <t>Hno:5-193,NEAR 1ST OM JANDA,SURARAM COLONY,JEEDIMETLA,HYDERABAD-500055</t>
  </si>
  <si>
    <t>KOMMAREDDY ARUNDHA REDDY</t>
  </si>
  <si>
    <t>KOMPELLI</t>
  </si>
  <si>
    <t>22-04-2002</t>
  </si>
  <si>
    <t>21211a05d3@bvrit.ac.in</t>
  </si>
  <si>
    <t>Kotha Ram Reddy colony jagadevpur</t>
  </si>
  <si>
    <t>KOMPELLI SRINIVAS</t>
  </si>
  <si>
    <t>KONDA</t>
  </si>
  <si>
    <t>CHAITHANYA KRISHNA  KONDA</t>
  </si>
  <si>
    <t>28-01-2004</t>
  </si>
  <si>
    <t>21211a05d4@bvrit.ac.in</t>
  </si>
  <si>
    <t>chaithanyakrishna4112@gmail.com</t>
  </si>
  <si>
    <t>2-8, 
 Kolthur,
 Muduchintalapalli mandal
 Medchal-Malkajgiri district
 Telangana</t>
  </si>
  <si>
    <t>RAVI</t>
  </si>
  <si>
    <t>SRAVAN KUMAR</t>
  </si>
  <si>
    <t>21211a05d5@bvrit.ac.in</t>
  </si>
  <si>
    <t>sravan452003@gmail.com</t>
  </si>
  <si>
    <t>1-69 KOTHLAPUR</t>
  </si>
  <si>
    <t>KONDA ANAND</t>
  </si>
  <si>
    <t>JAYANTH DURGA SRINIVAS</t>
  </si>
  <si>
    <t>KOPPULA</t>
  </si>
  <si>
    <t>AI / ML, Cyber Security, IoT, Block Chain, Cloud</t>
  </si>
  <si>
    <t>21211a05d6@bvrit.ac.in</t>
  </si>
  <si>
    <t>2014jayanth@gmail.com</t>
  </si>
  <si>
    <t>D.No:41-20/1-13,Gunturi vari veedhi,Krishnalanka,Vijayawada-520013</t>
  </si>
  <si>
    <t>KOPPULA JAYA LAKSHMI NARAYANA RAO</t>
  </si>
  <si>
    <t>SHIVA SAI SANKEERTH</t>
  </si>
  <si>
    <t>KORABOINA</t>
  </si>
  <si>
    <t>Data Sciences, IoT, Block Chain, Python, Cloud, UX / UI, Mobile Applications</t>
  </si>
  <si>
    <t>21211a05d7@bvrit.ac.in</t>
  </si>
  <si>
    <t>koraboinasankeerth07@gmail.com</t>
  </si>
  <si>
    <t>BLOCK NO 26,ROOM NO 19,RAJIV GRUHA KALPA,SURARAM,QUTHBULLAPAR,MEDCHAL</t>
  </si>
  <si>
    <t>KORABOINA JAGADISH</t>
  </si>
  <si>
    <t>KOTA</t>
  </si>
  <si>
    <t>RUCHITHA</t>
  </si>
  <si>
    <t>21211A05D8@bvrit.ac.in</t>
  </si>
  <si>
    <t>kotaruchitha716@gmail.com</t>
  </si>
  <si>
    <t>Venkat sai nilayam,venkat ramana colony, gokul plots ,9th phase,kphb colony,hyderabad</t>
  </si>
  <si>
    <t>Kota simhachalam</t>
  </si>
  <si>
    <t>KOTAGIRI</t>
  </si>
  <si>
    <t>CHAITHANYA</t>
  </si>
  <si>
    <t>21211a05d9@bvrit.ac.in</t>
  </si>
  <si>
    <t>chaithanyakotagiri06@gmail.com</t>
  </si>
  <si>
    <t>DBS &amp; VIAPLUS &amp; AMAZON-SDE INTERN</t>
  </si>
  <si>
    <t>Vivekananda Colony, Kamareddy(503111), Telangana.</t>
  </si>
  <si>
    <t>KOTAGIRI SURENDER</t>
  </si>
  <si>
    <t>KUNTI</t>
  </si>
  <si>
    <t>PAVANSAI</t>
  </si>
  <si>
    <t>21211a05e0@bvrit.ac.in</t>
  </si>
  <si>
    <t>kuntipavan89@gmail.com</t>
  </si>
  <si>
    <t>Narsapur,medak dist</t>
  </si>
  <si>
    <t>KUNTIASHOK</t>
  </si>
  <si>
    <t>KUSI</t>
  </si>
  <si>
    <t>SHYAM</t>
  </si>
  <si>
    <t>21211A05E1@bvrit.ac.in</t>
  </si>
  <si>
    <t>shyamkusi123@gmail.com</t>
  </si>
  <si>
    <t>HNo:41/3, RGK, SURARAM, SURARAM COLONY</t>
  </si>
  <si>
    <t>KUSI NAGESHWAR RAO</t>
  </si>
  <si>
    <t>L</t>
  </si>
  <si>
    <t>MAHESH</t>
  </si>
  <si>
    <t>21211A05E2@bvrit.ac.in</t>
  </si>
  <si>
    <t>maheshmahi53318@gmail.com</t>
  </si>
  <si>
    <t>6-5-77,babul Reddy Nagar,near solitaire global school, rajendranagar,kattedan le</t>
  </si>
  <si>
    <t>L SHANKARAPPA</t>
  </si>
  <si>
    <t>LAAMU</t>
  </si>
  <si>
    <t>SAJAN</t>
  </si>
  <si>
    <t>14-05-2004</t>
  </si>
  <si>
    <t>21211a05e3@bvrit.ac.in</t>
  </si>
  <si>
    <t>laamusajan2@gmail.com</t>
  </si>
  <si>
    <t>H.no:3-465,Suraram colony,IDA Jeedimetla</t>
  </si>
  <si>
    <t>LAAMU MOHAN RAO(Late)</t>
  </si>
  <si>
    <t>MUKESH</t>
  </si>
  <si>
    <t>LAKKAM</t>
  </si>
  <si>
    <t>Cyber Security, Block Chain, Python, Cloud, UX / UI, Mobile Applications, Extended Reality (AR / VR)</t>
  </si>
  <si>
    <t>21211a05e4@bvrit.ac.in</t>
  </si>
  <si>
    <t>mukesh.lakkam.8@gmail.com</t>
  </si>
  <si>
    <t>Plot no 17B/part, Sriramnagar colony, kistareddy pet, beeramguda</t>
  </si>
  <si>
    <t>Bhavani Adepu</t>
  </si>
  <si>
    <t>LEBAKA</t>
  </si>
  <si>
    <t>NAVYA</t>
  </si>
  <si>
    <t>Python, Mobile Applications, Java</t>
  </si>
  <si>
    <t>16-08-2003</t>
  </si>
  <si>
    <t>21211a05e5@bvrit.ac.in</t>
  </si>
  <si>
    <t>lebakanavyareddy3@gmail.com</t>
  </si>
  <si>
    <t>7/3
 CNR palli
 Vallur
 Kadapa</t>
  </si>
  <si>
    <t>L.Rama Krishna Reddy</t>
  </si>
  <si>
    <t>LENKEWAR</t>
  </si>
  <si>
    <t>AI / ML, Data Sciences, Cyber Security, Python, UX / UI, Mobile Applications</t>
  </si>
  <si>
    <t>21211a05e6@bvrit.ac.in</t>
  </si>
  <si>
    <t>lenkewarnikhil104@gmail.com</t>
  </si>
  <si>
    <t>H.no:1-123,KHATGAON(vill), Bichkunda (MDL),kamareddy(dist)-503306</t>
  </si>
  <si>
    <t>LENKEWAR SIDDIRAM</t>
  </si>
  <si>
    <t>M</t>
  </si>
  <si>
    <t>HARSHAVARDHAN</t>
  </si>
  <si>
    <t>AI / ML, Cloud, JAVA</t>
  </si>
  <si>
    <t>21211a05e8@bvrit.ac.in</t>
  </si>
  <si>
    <t>402 H&amp;M Sai Estates Sai Baba colony Kukatpally Hyderabad 500072</t>
  </si>
  <si>
    <t>Madugu Subramanyam</t>
  </si>
  <si>
    <t>MALLEPALLY LOKESHWAR</t>
  </si>
  <si>
    <t>21211a05e9@bvrit.ac.in</t>
  </si>
  <si>
    <t>lokeshwar777@gmail.com</t>
  </si>
  <si>
    <t>Accenture ASE &amp; TECH MAHINDRA &amp; REALPAGE</t>
  </si>
  <si>
    <t>4/5, P No-211,
 Avanthi Nagar
 , Mothinagar
 , Balanagar
 , K.v. Rangareddy, Telangana - 500018</t>
  </si>
  <si>
    <t>M VENKAT REDDY</t>
  </si>
  <si>
    <t>MALLULA PEDDIRAJU</t>
  </si>
  <si>
    <t>TEJA</t>
  </si>
  <si>
    <t>AI / ML, Data Sciences, Block Chain, Python, Mobile Applications, Extended Reality (AR / VR)</t>
  </si>
  <si>
    <t>21211A05f0@bvrit.ac.in</t>
  </si>
  <si>
    <t>teja8125951248@gmail.com</t>
  </si>
  <si>
    <t>Pantancheru,road no 8,Chaitanya nagar colony</t>
  </si>
  <si>
    <t>M.Srinivas</t>
  </si>
  <si>
    <t>IoT, Block Chain, Python, Mobile Applications, Web Applications</t>
  </si>
  <si>
    <t>25-07-2002</t>
  </si>
  <si>
    <t>21211A05F1@bvrit.ac.in</t>
  </si>
  <si>
    <t>vamshimpc1@gmail.com</t>
  </si>
  <si>
    <t>1-51,Vattipally,Telkapally,Nagar kurnool,Telangana-509412</t>
  </si>
  <si>
    <t>M SAIBABU</t>
  </si>
  <si>
    <t>MADA</t>
  </si>
  <si>
    <t>MANITEJ REDDY</t>
  </si>
  <si>
    <t>21211a05f2@bvrit.ac.in</t>
  </si>
  <si>
    <t>manitejreddy0301@gmail.com</t>
  </si>
  <si>
    <t>TECH MAHINDRA &amp; LTI MINDTREE &amp; INFOSYS1-SE</t>
  </si>
  <si>
    <t>8-3-207/1/b/1, bhagat nagar karimnagar</t>
  </si>
  <si>
    <t>MADA SRINIVAS REDDY</t>
  </si>
  <si>
    <t>MADAMSHETTI</t>
  </si>
  <si>
    <t>RISHANKA</t>
  </si>
  <si>
    <t>AI / ML, Data Sciences, IoT, Block Chain, Python</t>
  </si>
  <si>
    <t>21211a05f3@bvrit.ac.in</t>
  </si>
  <si>
    <t>rishankam123@gmail.com</t>
  </si>
  <si>
    <t>H.no- 5-6-377/2 ,roadno 1,NGOs colony Kamareddy,Opposite International hotel near new bustand ,Kamareddy</t>
  </si>
  <si>
    <t>MADAMSHETTI ANJANEYULU</t>
  </si>
  <si>
    <t>SANDEEP</t>
  </si>
  <si>
    <t>MADDINENI</t>
  </si>
  <si>
    <t>21211a05f4@bvrit.ac.in</t>
  </si>
  <si>
    <t>sandeep4321sm@gmail.com</t>
  </si>
  <si>
    <t>FLAT:103 , AUROS PRIDE , ROAD NO :2 , K.T.R COLONY , NIZAMPET , HYDERABAD , 500090</t>
  </si>
  <si>
    <t>MADDINENI HANUMANTHARAO</t>
  </si>
  <si>
    <t>NAVYA SRI</t>
  </si>
  <si>
    <t>MADDIPUDI</t>
  </si>
  <si>
    <t>21211a05f5@bvrit.ac.in</t>
  </si>
  <si>
    <t>navyamaddipudii@gmail.com</t>
  </si>
  <si>
    <t>Varni, Nizamabad</t>
  </si>
  <si>
    <t>Sathish</t>
  </si>
  <si>
    <t>MADDURI NAGA VENKATA</t>
  </si>
  <si>
    <t>SATYA PAVAN KUMAR</t>
  </si>
  <si>
    <t>21211A05F6@bvrit.ac.in</t>
  </si>
  <si>
    <t>satyapavan004@gmail.com</t>
  </si>
  <si>
    <t>12-228/1/102,flat 102 1st floor Jaya towers, adrash nagar ,balanagar,opp IDPL, Hyderabad.</t>
  </si>
  <si>
    <t>MADDURI NAGA VENKATA SIVA RAMA KRISHNA SASTRY</t>
  </si>
  <si>
    <t>MADHADI KOUSHIK</t>
  </si>
  <si>
    <t>21211A05F7@bvrit.ac.in</t>
  </si>
  <si>
    <t>koushikmadhadi@gmail.com</t>
  </si>
  <si>
    <t>Hno.1-24-518 maruthi nagar road no.3 lothukunka, trimulgherry</t>
  </si>
  <si>
    <t>M MADHUKAR</t>
  </si>
  <si>
    <t>MADIPALLI</t>
  </si>
  <si>
    <t>JAGADEESH</t>
  </si>
  <si>
    <t>Data Sciences, Python, Cloud, UX / UI, Mobile Applications</t>
  </si>
  <si>
    <t>17-06-2003</t>
  </si>
  <si>
    <t>21211a05f8@bvrit.ac.in</t>
  </si>
  <si>
    <t>madipallijagadeesh7@gmail.com</t>
  </si>
  <si>
    <t>Aadharsh nagar 
 Gajularamaram 
 Quthbullapur</t>
  </si>
  <si>
    <t>M sr ch Nagabushanam</t>
  </si>
  <si>
    <t>MADUPU</t>
  </si>
  <si>
    <t>MADUPU RUTHIKA</t>
  </si>
  <si>
    <t>AI / ML, Data Sciences, Python, Java</t>
  </si>
  <si>
    <t>23-09-2003</t>
  </si>
  <si>
    <t>21211a05f9@bvrit.ac.in</t>
  </si>
  <si>
    <t>madupuruthika@gmail.com</t>
  </si>
  <si>
    <t>MIG-235, Balajinagar colony, Kukatpally, Hyderabad, Telangana</t>
  </si>
  <si>
    <t>Madupu Ashok Reddy</t>
  </si>
  <si>
    <t>SHASHANK</t>
  </si>
  <si>
    <t>AI / ML, Data Sciences, Cyber Security, IoT, Python, Cloud, Mobile Applications</t>
  </si>
  <si>
    <t>30-04-2004</t>
  </si>
  <si>
    <t>21211a05g0@bvrit.ac.in</t>
  </si>
  <si>
    <t>96523837q@gmail.com</t>
  </si>
  <si>
    <t>H-no:5-80 Kompally medchal Hyderabad Telangana</t>
  </si>
  <si>
    <t>M Mahipal Reddy</t>
  </si>
  <si>
    <t>MANDAPATI</t>
  </si>
  <si>
    <t>ANIRUDH VARMA</t>
  </si>
  <si>
    <t>Data Sciences, Cyber Security, Block Chain, Python, Cloud, Mobile Applications</t>
  </si>
  <si>
    <t>25-04-2004</t>
  </si>
  <si>
    <t>21211a05g1@bvrit.ac.in</t>
  </si>
  <si>
    <t>anirudh.mandapati@gmail.com</t>
  </si>
  <si>
    <t>Plot no-44,Flat no-1E,Swetha Residency,Patwari Enclave,Qutubullapur,Near Sandhya hospital,balanagar township,Telangana-500037</t>
  </si>
  <si>
    <t>MANDAPATI KRISHNAM RAJU</t>
  </si>
  <si>
    <t>MANNE</t>
  </si>
  <si>
    <t>MITHILESH REDDY</t>
  </si>
  <si>
    <t>21211a05g2@bvrit.ac.in</t>
  </si>
  <si>
    <t>mithileshreddy0177@gmail.com</t>
  </si>
  <si>
    <t>Chandanagar</t>
  </si>
  <si>
    <t>Manne ram reddy</t>
  </si>
  <si>
    <t>MANOJ RISHI</t>
  </si>
  <si>
    <t>NULU</t>
  </si>
  <si>
    <t>AI / ML, Data Sciences, IoT, Python, Cloud</t>
  </si>
  <si>
    <t>14-12-2003</t>
  </si>
  <si>
    <t>21211a05g3@bvrit.ac.in</t>
  </si>
  <si>
    <t>manojrishi777@gmail.com</t>
  </si>
  <si>
    <t>D.No:3-269/3, Devisetti street , Sarpavaram, Kakinada , Andhra Pradesh</t>
  </si>
  <si>
    <t>KRISHNA MOHANA RAO NULU</t>
  </si>
  <si>
    <t>MANTADA</t>
  </si>
  <si>
    <t>MANTADA HARSHAVARDHAN</t>
  </si>
  <si>
    <t>21211a05g4@bvrit.ac.in</t>
  </si>
  <si>
    <t>mharshavardhan013@gmail.com</t>
  </si>
  <si>
    <t>H no. 5-69 suraram colony</t>
  </si>
  <si>
    <t>Mantada Samba Siva rao</t>
  </si>
  <si>
    <t>MANTHRI</t>
  </si>
  <si>
    <t>YASHASHWINI</t>
  </si>
  <si>
    <t>29-01-2003</t>
  </si>
  <si>
    <t>21211a05g5@bvrit.ac.in</t>
  </si>
  <si>
    <t>manthriyashashwini29@gmail.com</t>
  </si>
  <si>
    <t>Mallepalli kondapur mandal</t>
  </si>
  <si>
    <t>Manthri Rajender</t>
  </si>
  <si>
    <t>NAVA</t>
  </si>
  <si>
    <t>AI / ML, Data Sciences, Cyber Security, Block Chain, Python, UX / UI, Mobile Applications, Extended Reality (AR / VR)</t>
  </si>
  <si>
    <t>22-05-2004</t>
  </si>
  <si>
    <t>21211A05g6@bvrit.ac.in</t>
  </si>
  <si>
    <t>navatejaofficial@gmail.com</t>
  </si>
  <si>
    <t>Flat 103, jawahar colony road no 05, chandanagar Hyderabad</t>
  </si>
  <si>
    <t>M.Hayagreeva chary</t>
  </si>
  <si>
    <t>MATAM</t>
  </si>
  <si>
    <t>SURYA TEJA</t>
  </si>
  <si>
    <t>Cyber Security, IoT, Python, Cloud</t>
  </si>
  <si>
    <t>19-08-2003</t>
  </si>
  <si>
    <t>21211a05g7@bvrit.ac.in</t>
  </si>
  <si>
    <t>matamsuryateja25@gmail.com</t>
  </si>
  <si>
    <t>NTR MARG ,PRIYADARSHININAGAR,NIRMAL</t>
  </si>
  <si>
    <t>MATAM PARAMESHWER</t>
  </si>
  <si>
    <t>MANJUNATH</t>
  </si>
  <si>
    <t>GOUD</t>
  </si>
  <si>
    <t>21211a05g8@bvrit.ac.in</t>
  </si>
  <si>
    <t>manjunathgoud0209@gmail.com</t>
  </si>
  <si>
    <t>Lig 27/4 3rd phase kphb colony</t>
  </si>
  <si>
    <t>M Veeresh Goud</t>
  </si>
  <si>
    <t>FARHAN</t>
  </si>
  <si>
    <t>ALI</t>
  </si>
  <si>
    <t>21211a05g9@bvrit.ac.in</t>
  </si>
  <si>
    <t>farhanalimd81@gmail.com</t>
  </si>
  <si>
    <t>H. No 22-103, near Gandhi park, kuthalwadi colony, Nagarkurnool.</t>
  </si>
  <si>
    <t>Md Rafee</t>
  </si>
  <si>
    <t>MEGHANA</t>
  </si>
  <si>
    <t>ANNU</t>
  </si>
  <si>
    <t>19-11-2003</t>
  </si>
  <si>
    <t>21211a05h0@bvrit.ac.in</t>
  </si>
  <si>
    <t>meghanaannu19@gmail.com</t>
  </si>
  <si>
    <t>Flno:303,Sri balaji residency,vandanapuri colony,Beeramguda</t>
  </si>
  <si>
    <t>Lakshmi Narayana Annu</t>
  </si>
  <si>
    <t>MERUGU</t>
  </si>
  <si>
    <t>SUSANNA SUCHARITHA</t>
  </si>
  <si>
    <t>18-09-2004</t>
  </si>
  <si>
    <t>21211a05h1@bvrit.ac.in</t>
  </si>
  <si>
    <t>mssusanna1809@gmail.com</t>
  </si>
  <si>
    <t>H. No. 6-401/2, Plot No. 13NP, Road No. 6, Laxmareddy Palem, Pedda Amberpet, Abdullapurmet Mandal, Ranga reddy dist., Telangana, 501505.</t>
  </si>
  <si>
    <t>Merugu Venkanna</t>
  </si>
  <si>
    <t>ABHI</t>
  </si>
  <si>
    <t>SREE</t>
  </si>
  <si>
    <t>30-05-2003</t>
  </si>
  <si>
    <t>21211a05h2@bvrit.ac.in</t>
  </si>
  <si>
    <t>abhisreeminkoori@gmail.com</t>
  </si>
  <si>
    <t>3-5-40/A sumitra nagar kukutpally</t>
  </si>
  <si>
    <t>Minkoori Vijay Kumar</t>
  </si>
  <si>
    <t>MOHAMMAD</t>
  </si>
  <si>
    <t>APSAR</t>
  </si>
  <si>
    <t>Android development, App development</t>
  </si>
  <si>
    <t>21211a05h3@bvrit.ac.in</t>
  </si>
  <si>
    <t>apsarmd152003@gmail.com</t>
  </si>
  <si>
    <t>Mittagudem, Bhadradri kothagudem</t>
  </si>
  <si>
    <t>MOHAMMAD KOWSAR</t>
  </si>
  <si>
    <t>MOHAMMED</t>
  </si>
  <si>
    <t>SAMEER</t>
  </si>
  <si>
    <t>AI / ML, Data Sciences, Cyber Security, Block Chain, Python, Mobile Applications, Web Development</t>
  </si>
  <si>
    <t>17-06-2002</t>
  </si>
  <si>
    <t>21211a05h4@bvrit.ac.in</t>
  </si>
  <si>
    <t>mohd.sameer1726@gmail.com</t>
  </si>
  <si>
    <t>LTI MINDTREE &amp; REALPAGE</t>
  </si>
  <si>
    <t>1-45/A Ramchandrapur,koheda, Siddipet</t>
  </si>
  <si>
    <t>MOHAMMED BASHEER</t>
  </si>
  <si>
    <t>MOHAMMED SHAKIR</t>
  </si>
  <si>
    <t>AHMED</t>
  </si>
  <si>
    <t>18-10-2003</t>
  </si>
  <si>
    <t>21211A05H5@bvrit.ac.in</t>
  </si>
  <si>
    <t>shakir4236@gmail.com</t>
  </si>
  <si>
    <t>1-73/1 Ranjole Zaheerabad Sangareddy Telangana</t>
  </si>
  <si>
    <t>Mohammed Iqbal Ahmed</t>
  </si>
  <si>
    <t>MOTURI</t>
  </si>
  <si>
    <t>LAKHSMI JHANAVI</t>
  </si>
  <si>
    <t>27-03-2003</t>
  </si>
  <si>
    <t>21211a05h6@bvrit.ac.in</t>
  </si>
  <si>
    <t>lakshmijhanavi3@gmail.com</t>
  </si>
  <si>
    <t>302,plot no 1307,1308, Charan Nivas Apartment, Road No 5, Mithilanagar Arch, Pragathinagar, HYDERABAD, TELANGANA 500090 India</t>
  </si>
  <si>
    <t>PRAMOD</t>
  </si>
  <si>
    <t>MUKTEVI</t>
  </si>
  <si>
    <t>Cyber Security, Block Chain, Python, Cloud, UX / UI, Mobile Applications, Extended Reality (AR / VR), C Language.</t>
  </si>
  <si>
    <t>22-02-2004</t>
  </si>
  <si>
    <t>21211a05h7@bvrit.ac.in</t>
  </si>
  <si>
    <t>krishnapramod580@gmail.com</t>
  </si>
  <si>
    <t>Flat No.615, Block C, Dollfine Durga County, Madinaguda, Hyderabad.</t>
  </si>
  <si>
    <t>MUKTEVI SAIRAM</t>
  </si>
  <si>
    <t>VIVEK</t>
  </si>
  <si>
    <t>MULLA</t>
  </si>
  <si>
    <t>Data Sciences, IoT, Python, Cloud, Mobile Applications</t>
  </si>
  <si>
    <t>14-01-2004</t>
  </si>
  <si>
    <t>21211a05h8@bvrit.ac.in</t>
  </si>
  <si>
    <t>vivekabhi372@gmail.com</t>
  </si>
  <si>
    <t>6-98/37/6,new town colony, muthangi, patancheruvu,502300</t>
  </si>
  <si>
    <t>Mulla ramesh</t>
  </si>
  <si>
    <t>HEMANTH</t>
  </si>
  <si>
    <t>SAI</t>
  </si>
  <si>
    <t>AI / ML, Python, Mobile Applications</t>
  </si>
  <si>
    <t>21211a05h9@bvrit.ac.in</t>
  </si>
  <si>
    <t>hemanthsaiyadav2004@gmail.com</t>
  </si>
  <si>
    <t>Kompally</t>
  </si>
  <si>
    <t>M.Nagaraju yadav</t>
  </si>
  <si>
    <t>YAMINI</t>
  </si>
  <si>
    <t>MUSUNURU</t>
  </si>
  <si>
    <t>AI / ML, Python, UX / UI, Web technologies - html, css, javascript</t>
  </si>
  <si>
    <t>21211a05j0@bvrit.ac.in</t>
  </si>
  <si>
    <t>yaminimusunuru07@gmail.com</t>
  </si>
  <si>
    <t>SREE SAI TOWERS, SS COLONY, HYDERNAGAR, HYDERABAD</t>
  </si>
  <si>
    <t>M SRINIVASA RAO</t>
  </si>
  <si>
    <t>JESSICA</t>
  </si>
  <si>
    <t>SHULAMITE</t>
  </si>
  <si>
    <t>21211a05j1@bvrit.ac.in</t>
  </si>
  <si>
    <t>jessicashulamite821@gmail.com</t>
  </si>
  <si>
    <t>Thodelgudem, Sangareddy</t>
  </si>
  <si>
    <t>Sunder raj</t>
  </si>
  <si>
    <t>NAKKA</t>
  </si>
  <si>
    <t>LAKSHMI DEEPIKA</t>
  </si>
  <si>
    <t>21211a05j2@bvrit.ac.in</t>
  </si>
  <si>
    <t>ndeepika2706@gmail.com</t>
  </si>
  <si>
    <t>Plot no 250, dattatreya colony yellamabanda, Kukatpally, Hyderabad</t>
  </si>
  <si>
    <t>NAKKA RAVI KUMAR</t>
  </si>
  <si>
    <t>NALLAMOTHU</t>
  </si>
  <si>
    <t>SRI CHARAN</t>
  </si>
  <si>
    <t>16-11-2003</t>
  </si>
  <si>
    <t>21211a05j3@bvrit.ac.in</t>
  </si>
  <si>
    <t>charanchowdary6688@gmail.com</t>
  </si>
  <si>
    <t>KHANAPURAM HAVELI KHAMMAM</t>
  </si>
  <si>
    <t>NALLAMOTHU VENKATESWARLU</t>
  </si>
  <si>
    <t>NAREN VENKAT</t>
  </si>
  <si>
    <t>PANCHAKARLA</t>
  </si>
  <si>
    <t>21211a05j4@bvrit.ac.in</t>
  </si>
  <si>
    <t>narenpanchakarla1@gmail.com</t>
  </si>
  <si>
    <t>Villa number 23 Magadha village , Kokapet ,Hyderabad , Telangana</t>
  </si>
  <si>
    <t>Raghu Panchakarla</t>
  </si>
  <si>
    <t>NARSINGAM</t>
  </si>
  <si>
    <t>AI / ML, Data Sciences, Cyber Security, Python, Mobile Applications, Data structures and alogorithms,java,c</t>
  </si>
  <si>
    <t>21211a05j5@bvrit.ac.in</t>
  </si>
  <si>
    <t>vinayy0309@gmail.com</t>
  </si>
  <si>
    <t>11-331,Sanjay gandhi nagar,Shapur nagar, IDA Jeedimetla</t>
  </si>
  <si>
    <t>Narsingam Arun Kumar</t>
  </si>
  <si>
    <t>.</t>
  </si>
  <si>
    <t>AI / ML, Data Sciences, IoT, Cloud, Big Data, Mobile Applications</t>
  </si>
  <si>
    <t>21-08-2002</t>
  </si>
  <si>
    <t>21211a05j6@bvrit.ac.in</t>
  </si>
  <si>
    <t>neha172921@gmail.com</t>
  </si>
  <si>
    <t>Shankerpally, crystal township</t>
  </si>
  <si>
    <t>Md. Rukmoddin</t>
  </si>
  <si>
    <t>CIRGIR</t>
  </si>
  <si>
    <t>26-03-2004</t>
  </si>
  <si>
    <t>21211a05j7@bvrit.ac.in</t>
  </si>
  <si>
    <t>Nehacirgirr@gmail.com</t>
  </si>
  <si>
    <t>502 Saipriya Enclave, Taranagar, Serilingampally, Hyderabad, Telangana</t>
  </si>
  <si>
    <t>GANAPATHI CIRGIR</t>
  </si>
  <si>
    <t>VATHSAVAYI</t>
  </si>
  <si>
    <t>Cyber Security, Python, Cloud</t>
  </si>
  <si>
    <t>21211A05J8@bvrit.ac.in</t>
  </si>
  <si>
    <t>nehavathsavayi@gmail.com</t>
  </si>
  <si>
    <t>B-4 Vikrampuri Colony Behind Bata Showroom Secunderabad 500009</t>
  </si>
  <si>
    <t>Vathsavayi Satyanarayana Varma</t>
  </si>
  <si>
    <t>NEMANI</t>
  </si>
  <si>
    <t>SRINITYA</t>
  </si>
  <si>
    <t>AI / ML, Data Sciences, Python, Cloud, Big Data, UX / UI, Mobile Applications</t>
  </si>
  <si>
    <t>21211a05j9@bvrit.ac.in</t>
  </si>
  <si>
    <t>nityanemani1106@gmail.com</t>
  </si>
  <si>
    <t>No7,Royal Meadows,Kompally,Telangana,500014</t>
  </si>
  <si>
    <t>Nemani Srinivasa Rao</t>
  </si>
  <si>
    <t>NENAVATH</t>
  </si>
  <si>
    <t>VASANTH</t>
  </si>
  <si>
    <t>AI / ML, Data Sciences, Cyber Security, IoT, Block Chain, Python, Cloud</t>
  </si>
  <si>
    <t>21211a05k0@bvrit.ac.in</t>
  </si>
  <si>
    <t>nenavathvasanth9@gmail.com</t>
  </si>
  <si>
    <t>Medak</t>
  </si>
  <si>
    <t>NENAVATH MOTHILAL</t>
  </si>
  <si>
    <t>SAIPRANEETH</t>
  </si>
  <si>
    <t>NETHENURI</t>
  </si>
  <si>
    <t>21211A05K1@bvrit.ac.in</t>
  </si>
  <si>
    <t>nsaipraneeth12@gmail.com</t>
  </si>
  <si>
    <t>Vasavi nagar 4/4 road miryalaguda</t>
  </si>
  <si>
    <t>Sreenivas Nethenuri</t>
  </si>
  <si>
    <t>NIZAMPURAM</t>
  </si>
  <si>
    <t>SRICHARITHA</t>
  </si>
  <si>
    <t>21211a05k2@bvrit.ac.in</t>
  </si>
  <si>
    <t>nizampuramsricharitha@gmail.com</t>
  </si>
  <si>
    <t>house no. 8-5-56/1/38
 Flat no.101
 DJR nilayam,swarnadhama nagar,opp.military dairy farm road, Bowenpally,sec-bad,500011 Telangana.</t>
  </si>
  <si>
    <t>Nizampuram Ramesh</t>
  </si>
  <si>
    <t>NOUSHEEN</t>
  </si>
  <si>
    <t>BEGUM</t>
  </si>
  <si>
    <t>AI / ML, Python, Cloud, UX / UI, Mobile Applications, Front end development</t>
  </si>
  <si>
    <t>21211a05k3@bvrit.ac.in</t>
  </si>
  <si>
    <t>imailnousheenb@gmail.com</t>
  </si>
  <si>
    <t>Shanthi nagar , Sangareddy</t>
  </si>
  <si>
    <t>Mohd.Shakeel</t>
  </si>
  <si>
    <t>Sai</t>
  </si>
  <si>
    <t>Teja</t>
  </si>
  <si>
    <t>21211a05k4@bvrit.ac.in</t>
  </si>
  <si>
    <t>saitejanune4@gmail.com</t>
  </si>
  <si>
    <t>5-377, jawaharnagar,bhupalpally</t>
  </si>
  <si>
    <t>Nune Raju</t>
  </si>
  <si>
    <t>BATTU</t>
  </si>
  <si>
    <t>YASHWANTH SAI KUMAR</t>
  </si>
  <si>
    <t>IoT, Python, C</t>
  </si>
  <si>
    <t>17-05-2003</t>
  </si>
  <si>
    <t>21211a05k5@bvrit.ac.in</t>
  </si>
  <si>
    <t>battuyashwanth1705@gmail.com</t>
  </si>
  <si>
    <t>Flat.No-104, H-No:5-302, Rajvamsi Heights,
 S.R.Naik Nagar, IDA Jeedimetla,
 Medchal District, Hyderabad,
 Telangana-500055.</t>
  </si>
  <si>
    <t>Battu Siva Durga Prasad</t>
  </si>
  <si>
    <t>BURRAGONI</t>
  </si>
  <si>
    <t>Cloud, Java,c,c++</t>
  </si>
  <si>
    <t>18-07-2003</t>
  </si>
  <si>
    <t>22215a0515@bvrit.ac.in</t>
  </si>
  <si>
    <t>burragonipoojitha8@gmail.com</t>
  </si>
  <si>
    <t>H.No:10-84/2A , vegetable market ,dist: sangareddy, mandal: Andole.</t>
  </si>
  <si>
    <t>Burragoni Mallesham</t>
  </si>
  <si>
    <t>RAJ VARUN</t>
  </si>
  <si>
    <t>AI / ML, Data Sciences, Cyber Security, IoT, Block Chain, Python, Cloud, UX / UI, Mobile Applications, Extended Reality (AR / VR)</t>
  </si>
  <si>
    <t>19-10-2004</t>
  </si>
  <si>
    <t>22215a0516@bvrit.ac.in</t>
  </si>
  <si>
    <t>grajvarun@gmail.com</t>
  </si>
  <si>
    <t>1-135, Srinivasa Nagar Road No. 1, Mubarak Nagar, Nizamabad</t>
  </si>
  <si>
    <t>GUNDU RAJA VINOD</t>
  </si>
  <si>
    <t>RAKESH</t>
  </si>
  <si>
    <t>PARLAPELLI</t>
  </si>
  <si>
    <t>IoT, Cloud, Mobile Applications, Java</t>
  </si>
  <si>
    <t>21-06-2001</t>
  </si>
  <si>
    <t>22215a0517@bvrit.ac.in</t>
  </si>
  <si>
    <t>rakeshroyal54321@gmail.com</t>
  </si>
  <si>
    <t>Jagitial,kodimial 505501, indhra nagar colony</t>
  </si>
  <si>
    <t>Mahender</t>
  </si>
  <si>
    <t>RAVINDER REDDY</t>
  </si>
  <si>
    <t>MOPALA</t>
  </si>
  <si>
    <t>23-07-2002</t>
  </si>
  <si>
    <t>22215a0518@bvrit.ac.in</t>
  </si>
  <si>
    <t>mravinderreddy2002@gmail.com</t>
  </si>
  <si>
    <t>6-119/3,singampally,badsi,mdl:-mugpal,dist:-nizamabad 503230.</t>
  </si>
  <si>
    <t>MOPALA EMMA REDDY</t>
  </si>
  <si>
    <t>SACHIN KUMAR</t>
  </si>
  <si>
    <t>RAY</t>
  </si>
  <si>
    <t>AI / ML, Data Sciences, Cyber Security, Python, Cloud, UX / UI, Mobile Applications</t>
  </si>
  <si>
    <t>22215a0519@bvrit.ac.in</t>
  </si>
  <si>
    <t>sachinkumarray4283@gmail.com</t>
  </si>
  <si>
    <t>12-14-7/1,Janatha nagar,Hyderabad</t>
  </si>
  <si>
    <t>Umal kumar ray</t>
  </si>
  <si>
    <t>GANDE</t>
  </si>
  <si>
    <t>SAHASRA</t>
  </si>
  <si>
    <t>Cloud, Java,c language,c++</t>
  </si>
  <si>
    <t>13-04-2003</t>
  </si>
  <si>
    <t>22215a0520@bvrit.ac.in</t>
  </si>
  <si>
    <t>Sahasrashetty3@gmail.com</t>
  </si>
  <si>
    <t>7-111,Bibipet,kamareddy</t>
  </si>
  <si>
    <t>Gande Sathyanarayana</t>
  </si>
  <si>
    <t>TRINATH</t>
  </si>
  <si>
    <t>DASARI</t>
  </si>
  <si>
    <t>16/11/2003</t>
  </si>
  <si>
    <t>21uj1a0557@bvrit.ac.in</t>
  </si>
  <si>
    <t>dasaritrinath2003@gmail.com</t>
  </si>
  <si>
    <t>Gurunagar colony,sadasivpet, sangareddy</t>
  </si>
  <si>
    <t>Dasari Venkata Ramarao</t>
  </si>
  <si>
    <t>KRISHNA CHANDRA</t>
  </si>
  <si>
    <t>ODUGU</t>
  </si>
  <si>
    <t>Python, UX / UI, Mobile Applications, Extended Reality (AR / VR), Web development</t>
  </si>
  <si>
    <t>16-10-2003</t>
  </si>
  <si>
    <t>21211a05k6@bvrit.ac.in</t>
  </si>
  <si>
    <t>krishnaodugu4@gmail.com</t>
  </si>
  <si>
    <t>INFOSYS-SE &amp; LTI MINDTREE &amp; COGNIZANT-GENC</t>
  </si>
  <si>
    <t>Plot no.56, annapurna enclave, chandanagar, hyderabad</t>
  </si>
  <si>
    <t>Odugu Siva Rama Prasad</t>
  </si>
  <si>
    <t>LAKSHMI SAI SINDHUJA</t>
  </si>
  <si>
    <t>PENDYALA</t>
  </si>
  <si>
    <t>Data Sciences, Cyber Security, Python, Cloud, UX / UI, Mobile Applications</t>
  </si>
  <si>
    <t>21211a05k7@bvrit.ac.in</t>
  </si>
  <si>
    <t>sindhupendyala17@gmail.com</t>
  </si>
  <si>
    <t>Ushodaya colony, Gajularamaram, Hyderabad</t>
  </si>
  <si>
    <t>Pendyala Asha</t>
  </si>
  <si>
    <t>PRANAV</t>
  </si>
  <si>
    <t>PATHAKOTA</t>
  </si>
  <si>
    <t>Python, UX / UI, Mobile Applications</t>
  </si>
  <si>
    <t>21211a05k8@bvrit.ac.in</t>
  </si>
  <si>
    <t>pranavmcj@gmail.com</t>
  </si>
  <si>
    <t>Plot-40,Puppalaguda, manikonda, Hyderabad</t>
  </si>
  <si>
    <t>Pathakota murali Krishna</t>
  </si>
  <si>
    <t>P TEJESWARA</t>
  </si>
  <si>
    <t>VARMA</t>
  </si>
  <si>
    <t>23-11-2003</t>
  </si>
  <si>
    <t>21211a05k9@bvrit.ac.in</t>
  </si>
  <si>
    <t>tejaswarav@gmail.com</t>
  </si>
  <si>
    <t>Chintal, Hyderabad</t>
  </si>
  <si>
    <t>P V S S SUBRAHMANYAM RAJU</t>
  </si>
  <si>
    <t>Padakanti</t>
  </si>
  <si>
    <t>Eshwar</t>
  </si>
  <si>
    <t>19-10-2003</t>
  </si>
  <si>
    <t>21211a05l0@bvrit.ac.in</t>
  </si>
  <si>
    <t>eshwarpadakanti729@gmail.com</t>
  </si>
  <si>
    <t>Toopran</t>
  </si>
  <si>
    <t>Padakanti veskatesh</t>
  </si>
  <si>
    <t>Pallavi</t>
  </si>
  <si>
    <t>Pola</t>
  </si>
  <si>
    <t>17-03-2003</t>
  </si>
  <si>
    <t>21211a05l1@bvrit.ac.in</t>
  </si>
  <si>
    <t>polapallavi6@gmail.com</t>
  </si>
  <si>
    <t>plot no:4-32-15, hno:B-383,phase-1,allwyn colony ,kukatpally,hyderabad,500072</t>
  </si>
  <si>
    <t>Pola Balakrishna</t>
  </si>
  <si>
    <t>Palleboina</t>
  </si>
  <si>
    <t>Gurusai</t>
  </si>
  <si>
    <t>AI / ML, Data Sciences, Cyber Security, Block Chain, Python, Cloud, Big Data, Mobile Applications, Extended Reality (AR / VR)</t>
  </si>
  <si>
    <t>21211a05l2@bvrit.ac.in</t>
  </si>
  <si>
    <t>gurusaiyadav291@gmail.com</t>
  </si>
  <si>
    <t>1-303-a-159-b7, power office, tarlupadu road, markapur, prakasham, ap</t>
  </si>
  <si>
    <t>Palleboina guruvaiah</t>
  </si>
  <si>
    <t>PALTHYA</t>
  </si>
  <si>
    <t>SONALIKA</t>
  </si>
  <si>
    <t>21211a05l3@bvrit.ac.in</t>
  </si>
  <si>
    <t>sonalikapalthya@gmail.com</t>
  </si>
  <si>
    <t>Miyapur, Hyderabad</t>
  </si>
  <si>
    <t>PALTHYA MANIKYAM</t>
  </si>
  <si>
    <t>Pamulaparthy Bharath</t>
  </si>
  <si>
    <t>Reddy</t>
  </si>
  <si>
    <t>AI / ML, Data Sciences, Cyber Security, IoT, Python, Cloud, Mobile Applications, Extended Reality (AR / VR)</t>
  </si>
  <si>
    <t>21211a05l4@bvrit.ac.in</t>
  </si>
  <si>
    <t>bharathreddy9652848600@gmail.com</t>
  </si>
  <si>
    <t>Sangareddy</t>
  </si>
  <si>
    <t>PAMULAPARTHY KONDAL REDDY</t>
  </si>
  <si>
    <t>GAYATHRI SRAVYA</t>
  </si>
  <si>
    <t>PAMURU</t>
  </si>
  <si>
    <t>21211a05l5@bvrit.ac.in</t>
  </si>
  <si>
    <t>pgsravya2018@gmail.com</t>
  </si>
  <si>
    <t>H-No:6-C-33,Apuroopa Colony,IDA Jeedimetla,Hyderabad</t>
  </si>
  <si>
    <t>PAMURU RAMU</t>
  </si>
  <si>
    <t>SRIDEVI</t>
  </si>
  <si>
    <t>PANAKANTI</t>
  </si>
  <si>
    <t>14-02-2004</t>
  </si>
  <si>
    <t>21211a05l6@bvrit.ac.in</t>
  </si>
  <si>
    <t>srideviraopanakanti@gmail.com</t>
  </si>
  <si>
    <t>HOUSE NO:9-4-629/3,SAPTHAGIRI COLONY, KARIMNAGAR,TELANGANA</t>
  </si>
  <si>
    <t>PANAKANTI SHANTHAN RAO</t>
  </si>
  <si>
    <t>PANASA</t>
  </si>
  <si>
    <t>AI / ML, Python, Mobile Applications, Java</t>
  </si>
  <si>
    <t>21211a05l7@bvrit.ac.in</t>
  </si>
  <si>
    <t>panasadeepika310@gmail.com</t>
  </si>
  <si>
    <t>Address 2-4-97/2,Basweshwar Nagar sangareddy 502001</t>
  </si>
  <si>
    <t>P. Chandra Shekar</t>
  </si>
  <si>
    <t>PANUGANTI VENKATA SAI</t>
  </si>
  <si>
    <t>PRATHEEK</t>
  </si>
  <si>
    <t>21211a05l8@bvrit.ac.in</t>
  </si>
  <si>
    <t>pratheeksai111@gmail.com</t>
  </si>
  <si>
    <t>Plot number 5B,Road number 1,opposite krishna residency, east anand bagh malkajgiri hyderabad</t>
  </si>
  <si>
    <t>P.DEVENDER</t>
  </si>
  <si>
    <t>PAPAGARI</t>
  </si>
  <si>
    <t>DATTA REDDY</t>
  </si>
  <si>
    <t>21211a05l9@bvrit.ac.in</t>
  </si>
  <si>
    <t>dattareddy100@gmail.com</t>
  </si>
  <si>
    <t>Perur village,medak mdl,medak dist</t>
  </si>
  <si>
    <t>PAPAGARI MADHU SUDHAN REDDY</t>
  </si>
  <si>
    <t>PALLAVI</t>
  </si>
  <si>
    <t>PARIDE</t>
  </si>
  <si>
    <t>21211a05m0@bvrit.ac.in</t>
  </si>
  <si>
    <t>pallaviparide@gmail.com</t>
  </si>
  <si>
    <t>7-53,csi colony, thogarpally,kondapur, sangareddy</t>
  </si>
  <si>
    <t>PARIDE SUNDAR RAO</t>
  </si>
  <si>
    <t>PARSI</t>
  </si>
  <si>
    <t>SNEHAJA</t>
  </si>
  <si>
    <t>21-04-2004</t>
  </si>
  <si>
    <t>21211a05m1@bvrit.ac.in</t>
  </si>
  <si>
    <t>snehajaparsi@gmail.com</t>
  </si>
  <si>
    <t>3-1-112, weekly market, Kamareddy, kamareddy, kamareddy</t>
  </si>
  <si>
    <t>PARSI SRINIVAS</t>
  </si>
  <si>
    <t>SHRAVNTHI</t>
  </si>
  <si>
    <t>PASAGADUGULA</t>
  </si>
  <si>
    <t>Python, UX / UI</t>
  </si>
  <si>
    <t>21211a05m2@bvrit.ac.in</t>
  </si>
  <si>
    <t>shravanthispeaks@gmail.com</t>
  </si>
  <si>
    <t>13-D, ooty block, hill county, nizampet 500090</t>
  </si>
  <si>
    <t>Aravind babu pasagadugula</t>
  </si>
  <si>
    <t>VARSHIKA</t>
  </si>
  <si>
    <t>23-12-2003</t>
  </si>
  <si>
    <t>21211a05m3@bvrit.ac.in</t>
  </si>
  <si>
    <t>varshareddy1223@gmail.com</t>
  </si>
  <si>
    <t>H.No.:1-66, Ryalamadugu, Narayankhed, Sangareddy, Telangana</t>
  </si>
  <si>
    <t>Pasham Vittal Reddy</t>
  </si>
  <si>
    <t>ROHITH</t>
  </si>
  <si>
    <t>PASHIPALA</t>
  </si>
  <si>
    <t>Cyber Security, IoT, Python, Mobile Applications</t>
  </si>
  <si>
    <t>18-11-2003</t>
  </si>
  <si>
    <t>21211a05m4@bvrit.ac.in</t>
  </si>
  <si>
    <t>ramaswamyrohith@gmail.com</t>
  </si>
  <si>
    <t>Gandimaismma</t>
  </si>
  <si>
    <t>Ramaswmy Pashipala</t>
  </si>
  <si>
    <t>PATANCHERU</t>
  </si>
  <si>
    <t>AI / ML, Data Sciences, Cyber Security, IoT, Block Chain, Cloud</t>
  </si>
  <si>
    <t>21211a05m5@bvrit.ac.in</t>
  </si>
  <si>
    <t>navyareddi95@gmail.com</t>
  </si>
  <si>
    <t>CORIZO-BDA &amp; VIDYANTH</t>
  </si>
  <si>
    <t>H.no:1-31, Nandigama Village, Patancheru Mandal, Sangareddy District</t>
  </si>
  <si>
    <t>Patancher Mahipal Reddy</t>
  </si>
  <si>
    <t>PATLOLA</t>
  </si>
  <si>
    <t>SHIVA CHANDRA PRASAD</t>
  </si>
  <si>
    <t>28-06-2003</t>
  </si>
  <si>
    <t>21211A05M6@bvrit.ac.in</t>
  </si>
  <si>
    <t>patlolashivachandraprasad@gmail.com</t>
  </si>
  <si>
    <t>H-NO:14-41,LIG-224, SANGAREDDY</t>
  </si>
  <si>
    <t>PATLOLA CHANDRA SHEKAR</t>
  </si>
  <si>
    <t>P.JAYAKRISHNA</t>
  </si>
  <si>
    <t>Python, Mobile Applications</t>
  </si>
  <si>
    <t>30-08-2002</t>
  </si>
  <si>
    <t>21211A05M7@bvrit.ac.in</t>
  </si>
  <si>
    <t>jayakrishna@4884gmail.com</t>
  </si>
  <si>
    <t>Village (Inole),Mandal(Patancheru),District (Sangareddy)</t>
  </si>
  <si>
    <t>P.HanmanthReddy</t>
  </si>
  <si>
    <t>PATLOLLA SATHVIKA</t>
  </si>
  <si>
    <t>AI / ML, Python, C , java</t>
  </si>
  <si>
    <t>17-09-2003</t>
  </si>
  <si>
    <t>21211A05M8@bvrit.ac.in</t>
  </si>
  <si>
    <t>sathvikareddypatlolla8790@gmail.com</t>
  </si>
  <si>
    <t>9-94/4 sangareddy vidhya nagar</t>
  </si>
  <si>
    <t>PATLOLLA SUDERSHAN REDDY</t>
  </si>
  <si>
    <t>PATLOORI</t>
  </si>
  <si>
    <t>SAI KIRAN</t>
  </si>
  <si>
    <t>Data Sciences, Python, Mobile Applications</t>
  </si>
  <si>
    <t>21211A05M9@bvrit.ac.in</t>
  </si>
  <si>
    <t>kannapatloori@gmail.com</t>
  </si>
  <si>
    <t>Toopran , Medak dist ,Sai nagar colony</t>
  </si>
  <si>
    <t>Patloori Laxman</t>
  </si>
  <si>
    <t>PECHETTI</t>
  </si>
  <si>
    <t>RISHIKESH</t>
  </si>
  <si>
    <t>AI / ML, Python, UX / UI, Mobile Applications</t>
  </si>
  <si>
    <t>24-08-2004</t>
  </si>
  <si>
    <t>21211a05n0@bvrit.ac.in</t>
  </si>
  <si>
    <t>rishipechetti@gmail.com</t>
  </si>
  <si>
    <t>Hyderabad</t>
  </si>
  <si>
    <t>P.A.V.Prasad</t>
  </si>
  <si>
    <t>BHARATH</t>
  </si>
  <si>
    <t>PEDDI</t>
  </si>
  <si>
    <t>AI / ML, Data Sciences, IoT, Python, Big Data, UX / UI, Mobile Applications</t>
  </si>
  <si>
    <t>21211a05n1@bvrit.ac.in</t>
  </si>
  <si>
    <t>bharathpeddi1@gmail.com</t>
  </si>
  <si>
    <t>H.no 6-10-117/5/1/c Vinayak nagar, Balanagar, Hyderabad - 500042</t>
  </si>
  <si>
    <t>PEDDI SRINIVAS</t>
  </si>
  <si>
    <t>PREETHAM</t>
  </si>
  <si>
    <t>21211a05n2@bvrit.ac.in</t>
  </si>
  <si>
    <t>pendyalapreetham23@gmail.com</t>
  </si>
  <si>
    <t>4-10-603, ABBASIYA COLONY,DVK ROAD, NALGONDA</t>
  </si>
  <si>
    <t>PENDYALA NARSIMHA RAO</t>
  </si>
  <si>
    <t>PERALA</t>
  </si>
  <si>
    <t>VENKATA AKANKSHA</t>
  </si>
  <si>
    <t>AI / ML, Data Sciences, Cyber Security, Python, Cloud</t>
  </si>
  <si>
    <t>21211a05n3@bvrit.ac.in</t>
  </si>
  <si>
    <t>akankshaperala2003@gmail.com</t>
  </si>
  <si>
    <t>House No:13-1-181/2/2 ,Plot No:88, Snehapuri Colony, Mothinagar, Hyderabad</t>
  </si>
  <si>
    <t>Perala Venkata Ramaiah</t>
  </si>
  <si>
    <t>PERAMANA</t>
  </si>
  <si>
    <t>SRIKAR</t>
  </si>
  <si>
    <t>IoT, Python, Cloud, Businesses</t>
  </si>
  <si>
    <t>21211A05N4@bvrit.ac.in</t>
  </si>
  <si>
    <t>srikishp@gmail.com</t>
  </si>
  <si>
    <t>8-3-318/6/3/33/A&amp;b
 yellareddyguda
 near sbi bank</t>
  </si>
  <si>
    <t>PERAMANA RAMESH</t>
  </si>
  <si>
    <t>PERIKA</t>
  </si>
  <si>
    <t>MEENAKSHI</t>
  </si>
  <si>
    <t>AI / ML, Python, C ,Java,SQL</t>
  </si>
  <si>
    <t>21211a05n5@bvrit.ac.in</t>
  </si>
  <si>
    <t>perikameenakshi06@gmail.com</t>
  </si>
  <si>
    <t>SKILL DUNIYA &amp; VIDYANTH</t>
  </si>
  <si>
    <t>3_119 dabilpur village,Medchal</t>
  </si>
  <si>
    <t>PERIKA RAMESH</t>
  </si>
  <si>
    <t>PICHIGUNTLA</t>
  </si>
  <si>
    <t>YUGANDHAR</t>
  </si>
  <si>
    <t>Python, web development</t>
  </si>
  <si>
    <t>21-04-2003</t>
  </si>
  <si>
    <t>21211A05N6@bvrit.ac.in</t>
  </si>
  <si>
    <t>pyugandar69@gmail.com</t>
  </si>
  <si>
    <t>thirumalayapally villege,madanapuram mandal,wanaparthy district</t>
  </si>
  <si>
    <t>PICHIGUNTLA LAXMANNA</t>
  </si>
  <si>
    <t>PILLELLA</t>
  </si>
  <si>
    <t>JASWANTH</t>
  </si>
  <si>
    <t>21211a05n7@bvrit.ac.in</t>
  </si>
  <si>
    <t>jaswanthpillella@gmail.com</t>
  </si>
  <si>
    <t>H-No 5-94/125, Road-No:4, Srujana Lakshmi Nagar, Phase-2,Patelguda.</t>
  </si>
  <si>
    <t>Pillella Chandrappa</t>
  </si>
  <si>
    <t>POLOJU</t>
  </si>
  <si>
    <t>AKSHAYA</t>
  </si>
  <si>
    <t>27-01-2004</t>
  </si>
  <si>
    <t>21211a05n8@bvrit.ac.in</t>
  </si>
  <si>
    <t>polojuakshaya@gmail.com</t>
  </si>
  <si>
    <t>H. No. 3-112, 
 Indira nagar, 
 Prashanth nagar, Siddipet.</t>
  </si>
  <si>
    <t>Poloju Nagendram</t>
  </si>
  <si>
    <t>SAI VARDHAN</t>
  </si>
  <si>
    <t>PONDURU</t>
  </si>
  <si>
    <t>Python, Mobile Applications, JAVA</t>
  </si>
  <si>
    <t>21211a05n9@bvrit.ac.in</t>
  </si>
  <si>
    <t>saivardhan2435@gmail.com</t>
  </si>
  <si>
    <t>SRI SAIRAM AUTOMOBILES,4-100/11,KODAD ROAD,MUDIGONDA,507158.</t>
  </si>
  <si>
    <t>SRINIVASA RAO PONDURU</t>
  </si>
  <si>
    <t>GANAPAVARAPU</t>
  </si>
  <si>
    <t>AI / ML, Python, Mobile Applications, Extended Reality (AR / VR)</t>
  </si>
  <si>
    <t>19-08-2004</t>
  </si>
  <si>
    <t>21211A05P0@bvrit.ac.in</t>
  </si>
  <si>
    <t>poojithalg2016@gmail.com</t>
  </si>
  <si>
    <t>Villa #45,praneeth pranav leaf,mallampet Hyderabad</t>
  </si>
  <si>
    <t>G S N MURTHY</t>
  </si>
  <si>
    <t>SAI PAVAN ABHIRAM</t>
  </si>
  <si>
    <t>POPPOPPU</t>
  </si>
  <si>
    <t>AI / ML, Data Sciences, Cyber Security, Python, Cloud, Mobile Applications, Web development</t>
  </si>
  <si>
    <t>21211a05p1@bvrit.ac.in</t>
  </si>
  <si>
    <t>pavanabhiram08@gmail.com</t>
  </si>
  <si>
    <t>2-63,B Block 204,Nizampet Gram Panchayet office,Secundrabad,Hyderabad, Telangana</t>
  </si>
  <si>
    <t>Poppoppu Venkata ratnam</t>
  </si>
  <si>
    <t>Charan Chandu</t>
  </si>
  <si>
    <t>Potla</t>
  </si>
  <si>
    <t>Python, Java, HTML, CSS, JAVASCRIPT</t>
  </si>
  <si>
    <t>17-10-2003</t>
  </si>
  <si>
    <t>21211A05P2@bvrit.ac.in</t>
  </si>
  <si>
    <t>charanchandupotla@gmail.com</t>
  </si>
  <si>
    <t>18-8-505, kalyani road, Guntur</t>
  </si>
  <si>
    <t>Potla. Mallikarjuna Rao</t>
  </si>
  <si>
    <t>JOSEPH</t>
  </si>
  <si>
    <t>RAJ POTPALLY</t>
  </si>
  <si>
    <t>AI / ML, Data Sciences, Cyber Security, IoT, Block Chain, Python, Cloud, Big Data, UX / UI, Mobile Applications, Extended Reality (AR / VR), 5G Network</t>
  </si>
  <si>
    <t>21211a05p3@bvrit.ac.in</t>
  </si>
  <si>
    <t>josephraj165@gmail.com</t>
  </si>
  <si>
    <t>Sangareddy, Bypass road, vasanth Nagar colony, road no.4, h.no.4-7-24/n/4/55</t>
  </si>
  <si>
    <t>A.Shashikala</t>
  </si>
  <si>
    <t>POTTI</t>
  </si>
  <si>
    <t>PRAGNYA</t>
  </si>
  <si>
    <t>21211a05p4@bvrit.ac.in</t>
  </si>
  <si>
    <t>pottipragnya@gmail.com</t>
  </si>
  <si>
    <t>Monoharabad</t>
  </si>
  <si>
    <t>POTTI VARALAXMI</t>
  </si>
  <si>
    <t>PRALAYAKAVERI</t>
  </si>
  <si>
    <t>NIYATI</t>
  </si>
  <si>
    <t>AI / ML, Data Sciences, IoT, Python, Cloud, Mobile Applications</t>
  </si>
  <si>
    <t>21211A05P5@bvrit.ac.in</t>
  </si>
  <si>
    <t>niyatipralayakaveri@gmail.com</t>
  </si>
  <si>
    <t>Flat no. 409, block 7 , Vaddepally Enclave, Kukatpally, Hyderabad</t>
  </si>
  <si>
    <t>PRALAYAKAVERI RAMESH</t>
  </si>
  <si>
    <t>ADLA</t>
  </si>
  <si>
    <t>21211a05p6@bvrit.ac.in</t>
  </si>
  <si>
    <t>pranathiadla2004@gmail.com</t>
  </si>
  <si>
    <t>Q.No A-21, BDL Township, Bhanur, Patancheru</t>
  </si>
  <si>
    <t>ADLA SURENDAR REDDY</t>
  </si>
  <si>
    <t>PRATIBHA</t>
  </si>
  <si>
    <t>VUTUKURU</t>
  </si>
  <si>
    <t>21211A05P7@bvrit.ac.in</t>
  </si>
  <si>
    <t>pratibhareddy963@gmail.com</t>
  </si>
  <si>
    <t>B 507 Doplin Durha County Madinaguda</t>
  </si>
  <si>
    <t>Vutukuru Ramalingeswara Reddy</t>
  </si>
  <si>
    <t>PULABOYINA</t>
  </si>
  <si>
    <t>GANESH</t>
  </si>
  <si>
    <t>28-10-2002</t>
  </si>
  <si>
    <t>21211a05p8@bvrit.ac.in</t>
  </si>
  <si>
    <t>pulaboyinaganesh4893@gmail.com</t>
  </si>
  <si>
    <t>Vill:kothapally(P.N),Mdl:Thimmapur,
 Dist:Karimnagar</t>
  </si>
  <si>
    <t>Pulaboyina Veeraiah</t>
  </si>
  <si>
    <t>SRINIVAS</t>
  </si>
  <si>
    <t>PULLABOINA</t>
  </si>
  <si>
    <t>21211a05p9@bvrit.ac.in</t>
  </si>
  <si>
    <t>srinivaspullaboina3@gmail.com</t>
  </si>
  <si>
    <t>20-32, badraiah kunta, domakonda, kamareddy</t>
  </si>
  <si>
    <t>SHANKAR PULLABOINA</t>
  </si>
  <si>
    <t>PULLELA</t>
  </si>
  <si>
    <t>AI / ML, Data Sciences, Python, Cloud, Big Data, Mobile Applications</t>
  </si>
  <si>
    <t>21211a05q0@bvrit.ac.in</t>
  </si>
  <si>
    <t>saikiranpullela03@gmail.com</t>
  </si>
  <si>
    <t>E-1409,Bhavyas Tulasi Vanam, KPHB, Hyderabad, 500072</t>
  </si>
  <si>
    <t>Pullela Narasimha Sekhar</t>
  </si>
  <si>
    <t>HARSHITHA</t>
  </si>
  <si>
    <t>PUNDRU</t>
  </si>
  <si>
    <t>AI / ML, Data Sciences, Cyber Security, IoT, Python, Cloud</t>
  </si>
  <si>
    <t>13-12-2003</t>
  </si>
  <si>
    <t>21211A05Q1@bvrit.ac.in</t>
  </si>
  <si>
    <t>pundru.harshita@gmail.com</t>
  </si>
  <si>
    <t>FLAT NO: 505, SAI VAMSI RESIDENCY, POWER NAGAR COLONY, MOOSAPET, HYDERABAD-500018</t>
  </si>
  <si>
    <t>PUNDRU SRINIVASA</t>
  </si>
  <si>
    <t>PUTTA</t>
  </si>
  <si>
    <t>16-10-2002</t>
  </si>
  <si>
    <t>21211a05q2@bvrit.ac.in</t>
  </si>
  <si>
    <t>puttaganesh7386@gmail.com</t>
  </si>
  <si>
    <t>Ambedkar nagar,chintal</t>
  </si>
  <si>
    <t>PUTTA LAXMAIAH</t>
  </si>
  <si>
    <t>PUTTI</t>
  </si>
  <si>
    <t>CHETHANA</t>
  </si>
  <si>
    <t>14-02-2005</t>
  </si>
  <si>
    <t>21211a05q3@bvrit.ac.in</t>
  </si>
  <si>
    <t>chethanachinni099@gmail.com</t>
  </si>
  <si>
    <t>Accenture ASE &amp; EPAM &amp;</t>
  </si>
  <si>
    <t>Plot-8 , SY-152/P , Laxminagar , Suraram village , Quthbullapur , Hyderabad</t>
  </si>
  <si>
    <t>PUTTI LINGAIAH</t>
  </si>
  <si>
    <t>RAAVI</t>
  </si>
  <si>
    <t>AI / ML, Data Sciences, Cyber Security, IoT, Cloud, Big Data, Mobile Applications</t>
  </si>
  <si>
    <t>21211a05q4@bvrit.ac.in</t>
  </si>
  <si>
    <t>abhiram.raavi123@gmail.com</t>
  </si>
  <si>
    <t>Flat no 405,Block 66/p MSM ARCADE , Elephant circle, pragati Nagar, OPP JNTU , Hyderabad</t>
  </si>
  <si>
    <t>RAAVI NAGAMALLESWAR RAO</t>
  </si>
  <si>
    <t>RAJIPETA UDAY</t>
  </si>
  <si>
    <t>13-03-2003</t>
  </si>
  <si>
    <t>21211A05q5@bvrit.ac.in</t>
  </si>
  <si>
    <t>rajipetaudaykumar@gmail.com</t>
  </si>
  <si>
    <t>Vijay Kumar</t>
  </si>
  <si>
    <t>PREM SINGH</t>
  </si>
  <si>
    <t>21211A05Q6@bvrit.ac.in</t>
  </si>
  <si>
    <t>ramavathprem10@gmail.com</t>
  </si>
  <si>
    <t>5-95/6769, BHEL METRO ENCLAVE, PATELGUDA, KISTAREDDYPET, AMEENPUR, SANGAREDDY, TELANGANA -502319</t>
  </si>
  <si>
    <t>RAMAVATH HARI SINGH</t>
  </si>
  <si>
    <t>SATNAM SINGH</t>
  </si>
  <si>
    <t>21211a05q7@bvrit.ac.in</t>
  </si>
  <si>
    <t>satnamsinghramavath9320@gmail.com</t>
  </si>
  <si>
    <t>KOMATPALLY, RAMAYAMPET, MEDAK</t>
  </si>
  <si>
    <t>RAMAVATH SUNDER SINGH</t>
  </si>
  <si>
    <t>VIHAASITH</t>
  </si>
  <si>
    <t>RAVULA</t>
  </si>
  <si>
    <t>Cloud, UX / UI, Web development</t>
  </si>
  <si>
    <t>21211a05q8@bvrit.ac.in</t>
  </si>
  <si>
    <t>vihaasithravula@gmail.com</t>
  </si>
  <si>
    <t>Waddepalli, hanamkonda</t>
  </si>
  <si>
    <t>Madhu Ravula</t>
  </si>
  <si>
    <t>RAYAKANTI</t>
  </si>
  <si>
    <t>MANASWINI</t>
  </si>
  <si>
    <t>AI / ML, Data Sciences, Cyber Security, IoT, Python, Cloud, Big Data, Mobile Applications, Extended Reality (AR / VR)</t>
  </si>
  <si>
    <t>21211a05q9@bvrit.ac.in</t>
  </si>
  <si>
    <t>rayakantimanaswini@gmail.com</t>
  </si>
  <si>
    <t>Vasavi Nagar Colony,Medak</t>
  </si>
  <si>
    <t>Rayakanti Srinivas</t>
  </si>
  <si>
    <t>KAVYA REDDY</t>
  </si>
  <si>
    <t>21211a05r0@bvrit.ac.in</t>
  </si>
  <si>
    <t>kavyareddyr06@gmail.com</t>
  </si>
  <si>
    <t>P.no 401 BJs dhanvi apt jonnabanda alwal-50010</t>
  </si>
  <si>
    <t>REDDY BAPU REDDY</t>
  </si>
  <si>
    <t>AI / ML, Data Sciences, Cyber Security, Python, Cloud, UX / UI, Mobile Applications, Web development</t>
  </si>
  <si>
    <t>21211a05r1@bvrit.ac.in</t>
  </si>
  <si>
    <t>ruksar2221@gmail.com</t>
  </si>
  <si>
    <t>HNO: 27-59 Gandhinagar near Gandhi statue HMT road Quthbullapur mandal 500054 Hyderabad</t>
  </si>
  <si>
    <t>Raheemuddin</t>
  </si>
  <si>
    <t>SADDI</t>
  </si>
  <si>
    <t>21211A05R2@bvrit.ac.in</t>
  </si>
  <si>
    <t>saddipoojitha042003@gmail.com</t>
  </si>
  <si>
    <t>SRIRANGAVARAM VILLAGE,MEDCHAL</t>
  </si>
  <si>
    <t>SADDI RAJASHEKAR REDDY</t>
  </si>
  <si>
    <t>SHREYA</t>
  </si>
  <si>
    <t>SADHULA</t>
  </si>
  <si>
    <t>AI / ML, Data Sciences, Cyber Security, IoT, Python, Mobile Applications</t>
  </si>
  <si>
    <t>21211a05r3@bvrit.ac.in</t>
  </si>
  <si>
    <t>shreyareddysadhula7@gmail.com</t>
  </si>
  <si>
    <t>Plot No.45 Shantiniketan enclave Bollarum secunderabad</t>
  </si>
  <si>
    <t>SADHULA SAI REDDY</t>
  </si>
  <si>
    <t>SADIYA</t>
  </si>
  <si>
    <t>TABASSUM</t>
  </si>
  <si>
    <t>AI / ML, Data Sciences, Cyber Security, Python, Cloud, Big Data, UX / UI, Mobile Applications</t>
  </si>
  <si>
    <t>17-07-2003</t>
  </si>
  <si>
    <t>21211a05r4@bvrit.ac.in</t>
  </si>
  <si>
    <t>tabassumsadiya1773@gmail.com</t>
  </si>
  <si>
    <t>H.no.2-34/6 narsapur,sangareddy</t>
  </si>
  <si>
    <t>Khaja Hafeez Uddin</t>
  </si>
  <si>
    <t>SAI REDDY</t>
  </si>
  <si>
    <t>PRANAVI</t>
  </si>
  <si>
    <t>29-05-2004</t>
  </si>
  <si>
    <t>21211A05R5@bvrit.ac.in</t>
  </si>
  <si>
    <t>Pranavi0529@gmail.com</t>
  </si>
  <si>
    <t>5-1-32/8/4/2, Sai Nagar, Sangareddy.</t>
  </si>
  <si>
    <t>Sai Reddy Vanaja</t>
  </si>
  <si>
    <t>SAI SATHWIK</t>
  </si>
  <si>
    <t>KOSURU</t>
  </si>
  <si>
    <t>21211A05R6@bvrit.ac.in</t>
  </si>
  <si>
    <t>SaiSathwik363@gmail.com</t>
  </si>
  <si>
    <t>Flat Number 414, Block D, Paradise Homes, Hayathnagar_Khalsa, Hyderabad-501505</t>
  </si>
  <si>
    <t>Srinivasa Rao Kosuru</t>
  </si>
  <si>
    <t>JAMPANI</t>
  </si>
  <si>
    <t>AI / ML, Cyber Security, Python, Cloud</t>
  </si>
  <si>
    <t>21211a05r8@bvrit.ac.in</t>
  </si>
  <si>
    <t>saitejajampani7@gmail.com</t>
  </si>
  <si>
    <t>Pragathi Nagar</t>
  </si>
  <si>
    <t>JAMPANI APPA RAO</t>
  </si>
  <si>
    <t>SALAGRAM</t>
  </si>
  <si>
    <t>AI / ML, Cyber Security, IoT, Python, Mobile Applications</t>
  </si>
  <si>
    <t>15-01-2004</t>
  </si>
  <si>
    <t>21211a05r9@bvrit.ac.in</t>
  </si>
  <si>
    <t>salagramsadhwik@gmail.com</t>
  </si>
  <si>
    <t>15-104/3, ameenpur,beeramguda, Hyderabad</t>
  </si>
  <si>
    <t>Salagram madhu Sudan Singh</t>
  </si>
  <si>
    <t>SANGANI</t>
  </si>
  <si>
    <t>ADITHYA OM</t>
  </si>
  <si>
    <t>21211A05T0@bvrit.ac.in</t>
  </si>
  <si>
    <t>sanganiadithyaom@gmail.com</t>
  </si>
  <si>
    <t>Plot no 402 , PNR Residency , Sri Balaji Layout , Gajularamaram , Hyderabad 500055</t>
  </si>
  <si>
    <t>Sangani Srinivasa Rao</t>
  </si>
  <si>
    <t>GANDHARI</t>
  </si>
  <si>
    <t>SAI PRIYA</t>
  </si>
  <si>
    <t>AI / ML, Python, Cloud, Big Data</t>
  </si>
  <si>
    <t>22215a0521@bvrit.ac.in</t>
  </si>
  <si>
    <t>saipriyagandhari@gmail.com</t>
  </si>
  <si>
    <t>Khunipur (v),Varni(m), nizamabad (d)</t>
  </si>
  <si>
    <t>GANDHARI SAYA GOUD</t>
  </si>
  <si>
    <t>BALLA</t>
  </si>
  <si>
    <t>SAI SUMANTH</t>
  </si>
  <si>
    <t>22215a0522@bvrit.ac.in</t>
  </si>
  <si>
    <t>sumanth99211@gmail.com</t>
  </si>
  <si>
    <t>H No: 10-80/1,Balajinagar,Ramachandrapuram Mandal,Bandlaguda,Patancheru</t>
  </si>
  <si>
    <t>BALLA CHINA SUBBARAO</t>
  </si>
  <si>
    <t>BAINDLA</t>
  </si>
  <si>
    <t>SANDHYA</t>
  </si>
  <si>
    <t>22215a0523@bvrit.ac.in</t>
  </si>
  <si>
    <t>sandhyabaindla01@gmail.com</t>
  </si>
  <si>
    <t>Aksanally,andole ,sangareddy</t>
  </si>
  <si>
    <t>BAINDLA BALRAJ</t>
  </si>
  <si>
    <t>SATHWIKA</t>
  </si>
  <si>
    <t>PEDDA REDDY GARI</t>
  </si>
  <si>
    <t>AI / ML, Cyber Security, Python, .Net</t>
  </si>
  <si>
    <t>22215a0524@bvrit.ac.in</t>
  </si>
  <si>
    <t>peddareddysathwika021@gmail.com</t>
  </si>
  <si>
    <t>Yousufpet(v) papanapet(m) medak(Dist)</t>
  </si>
  <si>
    <t>P.Shashidhar Reddy</t>
  </si>
  <si>
    <t>CHANDANA SHAMSHITA</t>
  </si>
  <si>
    <t>VOLETI</t>
  </si>
  <si>
    <t>AI / ML, Cyber Security, Python, UX / UI</t>
  </si>
  <si>
    <t>24-11-2003</t>
  </si>
  <si>
    <t>22215A0525@bvrit.ac.in</t>
  </si>
  <si>
    <t>shamshita2411@gmail.com</t>
  </si>
  <si>
    <t>Hno. C1-22, BDL Township, Bhanur(V), Patancheru (M), Sangareddy(D), 502305</t>
  </si>
  <si>
    <t>Aruna Voleti</t>
  </si>
  <si>
    <t>SHIVA</t>
  </si>
  <si>
    <t>23-09-2001</t>
  </si>
  <si>
    <t>22215a0526@bvrit.ac.in</t>
  </si>
  <si>
    <t>shivakumar23092001@gmail.com</t>
  </si>
  <si>
    <t>Gundla machunoor Hathnoora Sangareddy</t>
  </si>
  <si>
    <t>ANKAMPALLY BIKSHAPATHI</t>
  </si>
  <si>
    <t>SUNKARI</t>
  </si>
  <si>
    <t>JYOTHI</t>
  </si>
  <si>
    <t>21841a05l7@bvrit.ac.in</t>
  </si>
  <si>
    <t>sunkarijyothi136@gmail.com</t>
  </si>
  <si>
    <t>Shanthinagar, Patancheru</t>
  </si>
  <si>
    <t>Sunkari Ramakrishna</t>
  </si>
  <si>
    <t>SANIYA</t>
  </si>
  <si>
    <t>FATHIMA</t>
  </si>
  <si>
    <t>AI / ML, Data Sciences, Python, Cloud, Web development</t>
  </si>
  <si>
    <t>21211a05t1@bvrit.ac.in</t>
  </si>
  <si>
    <t>saniyaf976@gmail.com</t>
  </si>
  <si>
    <t>12-2/2,vasavi nagar, Jogipet,Andole(M),dist.srd</t>
  </si>
  <si>
    <t>Md.Ayub ali</t>
  </si>
  <si>
    <t>SANKA</t>
  </si>
  <si>
    <t>RAGA DIVYA</t>
  </si>
  <si>
    <t>28-09-2003</t>
  </si>
  <si>
    <t>21211a05t2@bvrit.ac.in</t>
  </si>
  <si>
    <t>ragadivya27@gmail.com</t>
  </si>
  <si>
    <t>Flat no:5b, Haritha plaza apt,Krishna Nagar,Guntur,Andhra Pradesh,522006</t>
  </si>
  <si>
    <t>SANKA KRISHNA MURTHY</t>
  </si>
  <si>
    <t>SANKURTHI</t>
  </si>
  <si>
    <t>DEEPAK</t>
  </si>
  <si>
    <t>14-08-2003</t>
  </si>
  <si>
    <t>21211a05t3@bvrit.ac.in</t>
  </si>
  <si>
    <t>deepaksankurthi@gmail.com</t>
  </si>
  <si>
    <t>Flat no 105 sai chaitanya residency
 Chaitanya Puri
 Karimnagar
 505001</t>
  </si>
  <si>
    <t>Sankurthi Rakesh</t>
  </si>
  <si>
    <t>SRI VARDHAN</t>
  </si>
  <si>
    <t>21211a05t4@bvrit.ac.in</t>
  </si>
  <si>
    <t>srivardhanvarma999@gmail.com</t>
  </si>
  <si>
    <t>Maisammaguda</t>
  </si>
  <si>
    <t>Sara srinivas</t>
  </si>
  <si>
    <t>SAYABUGARI</t>
  </si>
  <si>
    <t>VARSHITHA</t>
  </si>
  <si>
    <t>21211a05t5@bvrit.ac.in</t>
  </si>
  <si>
    <t>varshithasayabugari@gmail.com</t>
  </si>
  <si>
    <t>1-5-699/1/508,Golden Residency,Old Alwal</t>
  </si>
  <si>
    <t>Devadas Goud</t>
  </si>
  <si>
    <t>SEETHAGARI</t>
  </si>
  <si>
    <t>HARSHAVARDHAN REDDY</t>
  </si>
  <si>
    <t>AI / ML, Data Sciences, Python, Cloud, UX / UI</t>
  </si>
  <si>
    <t>21211a05t6@bvrit.ac.in</t>
  </si>
  <si>
    <t>ssr.somesh1@gmail.com</t>
  </si>
  <si>
    <t>Star homes Lakshmi residency, Flat no. 305, 4th floor, Srinivasa housing society, Road no. 1
 Nizampet -500090, Hyderabad.</t>
  </si>
  <si>
    <t>SOMESHWAR REDDY SEETHAGARI</t>
  </si>
  <si>
    <t>SHAIK</t>
  </si>
  <si>
    <t>MOIN</t>
  </si>
  <si>
    <t>AI / ML</t>
  </si>
  <si>
    <t>21-09-2002</t>
  </si>
  <si>
    <t>21211A05T7@bvrit.ac.in</t>
  </si>
  <si>
    <t>shaikmoin1431@gmail.com</t>
  </si>
  <si>
    <t>hno.5-5-384/4a,bonakal road no : 8,pakabanda bazaar khammam, khammam dist.</t>
  </si>
  <si>
    <t>shaik ismail</t>
  </si>
  <si>
    <t>SHEGURI</t>
  </si>
  <si>
    <t>ANUSHA</t>
  </si>
  <si>
    <t>AI / ML, Data Sciences, IoT, Python, Cloud, Web development</t>
  </si>
  <si>
    <t>21211a05t8@bvrit.ac.in</t>
  </si>
  <si>
    <t>shegurianusha91@gmail.com</t>
  </si>
  <si>
    <t>Village:Gollapally
 Mandal:Kondapur
 District:Sangareddy
 House No:3-77/1
 Telangana</t>
  </si>
  <si>
    <t>SHEGURI PRABHAVATHI</t>
  </si>
  <si>
    <t>YARMALLI</t>
  </si>
  <si>
    <t>21211a05t9@bvrit.ac.in</t>
  </si>
  <si>
    <t>yarmallyshivdeep@gmail.com</t>
  </si>
  <si>
    <t>Behind axis bank BVB college road Bidar</t>
  </si>
  <si>
    <t>Vishwanath</t>
  </si>
  <si>
    <t>SIKHA</t>
  </si>
  <si>
    <t>AKSHARA</t>
  </si>
  <si>
    <t>18-12-2002</t>
  </si>
  <si>
    <t>21211a05u0@bvrit.ac.in</t>
  </si>
  <si>
    <t>sikhaakshara9@gmail.com</t>
  </si>
  <si>
    <t>8-3-44/1,NIZAMPETA,KHAMMAM(Urban),KHAMMAM(district),TELANGANA</t>
  </si>
  <si>
    <t>SIKHA RAVI BABU</t>
  </si>
  <si>
    <t>SILLA</t>
  </si>
  <si>
    <t>16-06-2004</t>
  </si>
  <si>
    <t>21211a05u1@bvrit.ac.in</t>
  </si>
  <si>
    <t>sillavivek1@gmail.com</t>
  </si>
  <si>
    <t>house no.:-4-78, opposite OLD SBI ATM ,college road,kotturu,kotturu(mandal),srikakulam,andhra pradesh</t>
  </si>
  <si>
    <t>SILLA NARAYANA RAO</t>
  </si>
  <si>
    <t>SIVAPURAM</t>
  </si>
  <si>
    <t>VENKATA PRATHAM</t>
  </si>
  <si>
    <t>AI / ML, IoT, Python, UX / UI, Mobile Applications</t>
  </si>
  <si>
    <t>21211a05u2@bvrit.ac.in</t>
  </si>
  <si>
    <t>s.v.pratham2003@gmail.com</t>
  </si>
  <si>
    <t>H:no-10-2-70,Flat no:101, netaji colony, fathenagar , Hyderabad,500018</t>
  </si>
  <si>
    <t>SIVAPURAM VENKATA SHRAVAN KUMAR</t>
  </si>
  <si>
    <t>SOHAM</t>
  </si>
  <si>
    <t>SINHA CHOUDHURY</t>
  </si>
  <si>
    <t>AI / ML, Data Sciences, Block Chain, Python, Cloud, Big Data</t>
  </si>
  <si>
    <t>21211A05U3@bvrit.ac.in</t>
  </si>
  <si>
    <t>sochoudhary0501@gmail.com</t>
  </si>
  <si>
    <t>A-103, VIJAYA RAGHAVA TOWNSHIP, SERILINGAMPALLY, HYDERABAD-500019</t>
  </si>
  <si>
    <t>ANIRUDDHA SINHA CHOUDHURY</t>
  </si>
  <si>
    <t>SOLE</t>
  </si>
  <si>
    <t>ABHISHEK</t>
  </si>
  <si>
    <t>AI / ML, Data Sciences, IoT, Python, UX / UI, Mobile Applications, Web development</t>
  </si>
  <si>
    <t>30-07-2003</t>
  </si>
  <si>
    <t>21211a05u4@bvrit.ac.in</t>
  </si>
  <si>
    <t>abhisheksole1817@gmail.com</t>
  </si>
  <si>
    <t>633 , Near United Christ Church , Pragathi Nagar , Kukatpally , Hyderabad , Telangana</t>
  </si>
  <si>
    <t>SOLE RAVINDRA BABU</t>
  </si>
  <si>
    <t>PUNDARI SAI</t>
  </si>
  <si>
    <t>SOMAVARAPU</t>
  </si>
  <si>
    <t>AI / ML, Data Sciences, Cyber Security, Python, Cloud, Big Data, UX / UI, Mobile Applications, Game development and App development</t>
  </si>
  <si>
    <t>21211a05u5@bvrit.ac.in</t>
  </si>
  <si>
    <t>spsai2004@gmail.com</t>
  </si>
  <si>
    <t>H.NO : 2 -135/1
 Bodrai bazar/maszid center
 Chinthalapalem village and mandal Suryapet district,
 Telangana
 508246</t>
  </si>
  <si>
    <t>SOMAVARAPU VEERA NARESH</t>
  </si>
  <si>
    <t>SOULLA</t>
  </si>
  <si>
    <t>15-11-2002</t>
  </si>
  <si>
    <t>21211a05u6@bvrit.ac.in</t>
  </si>
  <si>
    <t>rahul.soulla7@gmail.com</t>
  </si>
  <si>
    <t>38-15/71/2 vinobha nagar, neredmet</t>
  </si>
  <si>
    <t>SOULLA MADHUKARGOUD</t>
  </si>
  <si>
    <t>SOUNDARYA LAHARI</t>
  </si>
  <si>
    <t>VEMURI</t>
  </si>
  <si>
    <t>AI / ML, Data Sciences, IoT, Python, Cloud, UX / UI</t>
  </si>
  <si>
    <t>21211a05u7@bvrit.ac.in</t>
  </si>
  <si>
    <t>soundaryalahari.vemuri@gmail.com</t>
  </si>
  <si>
    <t>Hno -264,LIG colony,near ESI Hospital, Ramachandrapuram,502032</t>
  </si>
  <si>
    <t>VENKATA RAVI KUMAR VEMURI</t>
  </si>
  <si>
    <t>SRIGIRI</t>
  </si>
  <si>
    <t>SAMHITHA</t>
  </si>
  <si>
    <t>AI / ML, Data Sciences, Cyber Security, Python, Cloud, Mobile Applications, Extended Reality (AR / VR)</t>
  </si>
  <si>
    <t>21211a05u8@bvrit.ac.in</t>
  </si>
  <si>
    <t>samhithasrigiri21@gmail.com</t>
  </si>
  <si>
    <t>Plot No. G-8, Flat No.1B, S.V.Heights
 HAL Raghavendra Colony, Opp. SBI Bank, Quthubullapur
 Suchitra
 Telangana
 500067</t>
  </si>
  <si>
    <t>SRIGIRI SRINIVAS</t>
  </si>
  <si>
    <t>SRIHARI PRASAD</t>
  </si>
  <si>
    <t>REDDY MARUKANTI</t>
  </si>
  <si>
    <t>Cyber Security, IoT, Block Chain, Cloud, UX / UI, Mobile Applications, Extended Reality (AR / VR)</t>
  </si>
  <si>
    <t>21211a05u9@bvrit.ac.in</t>
  </si>
  <si>
    <t>sriharim091103@gmail.com</t>
  </si>
  <si>
    <t>H.NO 6045, MAC SOCIETY, BHEL, RAMACHANDRA PURAM, SANGAREDDY, TELANGANA-502032</t>
  </si>
  <si>
    <t>MARUKANTI RAMACHANDRA REDDY</t>
  </si>
  <si>
    <t>SRIRAMOJU</t>
  </si>
  <si>
    <t>RUSHI KUMAR</t>
  </si>
  <si>
    <t>AI/ML , Data Science And Python</t>
  </si>
  <si>
    <t>21211a05v0@bvrit.ac.in</t>
  </si>
  <si>
    <t>rishikalyan9553187166@gmail.com</t>
  </si>
  <si>
    <t>2-6-114/30/3, Jangaon , Srinagar Colony</t>
  </si>
  <si>
    <t>SRIRAMOJU VENU GOPAL</t>
  </si>
  <si>
    <t>SUDHAGONI</t>
  </si>
  <si>
    <t>AI / ML, Block Chain, Python, Cloud, Extended Reality (AR / VR)</t>
  </si>
  <si>
    <t>21211a05v1@bvrit.ac.in</t>
  </si>
  <si>
    <t>abhiramsudhagoni20243100@gmail.com</t>
  </si>
  <si>
    <t>Hno:8-1-592/A/1; jayashankar colony;kattarampur; karimnagar</t>
  </si>
  <si>
    <t>SUDHAGONI SAMPATH KUMAR</t>
  </si>
  <si>
    <t>SULIGE</t>
  </si>
  <si>
    <t>21211a05v2@bvrit.ac.in</t>
  </si>
  <si>
    <t>s.shivayadav445@gmail.com</t>
  </si>
  <si>
    <t>Sulthanbad, peddapalli, telangana</t>
  </si>
  <si>
    <t>SULIGE GATTAIAH</t>
  </si>
  <si>
    <t>SWAPNIKA</t>
  </si>
  <si>
    <t>KUBIREDDY</t>
  </si>
  <si>
    <t>27-11-2003</t>
  </si>
  <si>
    <t>21211a05v3@bvrit.ac.in</t>
  </si>
  <si>
    <t>kubireddyswapnikareddy@gmail.com</t>
  </si>
  <si>
    <t>Qno.:518 BDL TOWNSHIP ,bhanur , patancheru</t>
  </si>
  <si>
    <t>SRIDEVI MEDASANI</t>
  </si>
  <si>
    <t>SYED</t>
  </si>
  <si>
    <t>ARIF HASSAIN</t>
  </si>
  <si>
    <t>29-02-2004</t>
  </si>
  <si>
    <t>21211a05v4@bvrit.ac.in</t>
  </si>
  <si>
    <t>syedarif1678@gmail.com</t>
  </si>
  <si>
    <t>H.no 3-181 Gowtham nagar patancheru</t>
  </si>
  <si>
    <t>Syed bari</t>
  </si>
  <si>
    <t>TADIKIMALLA</t>
  </si>
  <si>
    <t>PRAVEENMAHAN</t>
  </si>
  <si>
    <t>AI / ML, Data Sciences, Cyber Security, IoT, Block Chain, Python, Cloud, Extended Reality (AR / VR)</t>
  </si>
  <si>
    <t>19-02-2004</t>
  </si>
  <si>
    <t>21211a05v5@bvrit.ac.in</t>
  </si>
  <si>
    <t>praveenmahan2004@gmail.com</t>
  </si>
  <si>
    <t>20-1006, papireddy colony, chandanagar, sari lingampally mandal , rangareddy district, hyderbad ,telangana,500019</t>
  </si>
  <si>
    <t>TADIKIMALLA VENKATESHWAR RAO</t>
  </si>
  <si>
    <t>TEKALE</t>
  </si>
  <si>
    <t>SRUJAN</t>
  </si>
  <si>
    <t>21211a05v6@bvrit.ac.in</t>
  </si>
  <si>
    <t>tsrujan777@gmail.com</t>
  </si>
  <si>
    <t>Accenture ASE &amp; TECH MAHINDRA &amp; LTI MINDTREE &amp; COGNIZANT-GENC &amp; SKILL DUNIYA</t>
  </si>
  <si>
    <t>Opposite bus depo,bodhan, nizamabad</t>
  </si>
  <si>
    <t>TEKALE SUBHASH</t>
  </si>
  <si>
    <t>THATIPALLY</t>
  </si>
  <si>
    <t>ARUN</t>
  </si>
  <si>
    <t>29-03-2003</t>
  </si>
  <si>
    <t>21211a05v7@bvrit.ac.in</t>
  </si>
  <si>
    <t>arunthatipally6@gmail.com</t>
  </si>
  <si>
    <t>H.N0:3-23/5Sri veerabadra selections narspur .</t>
  </si>
  <si>
    <t>THATIPALLY NARENDER</t>
  </si>
  <si>
    <t>THATIPAMULA</t>
  </si>
  <si>
    <t>KIRITI</t>
  </si>
  <si>
    <t>21211a05v8@bvrit.ac.in</t>
  </si>
  <si>
    <t>kiriti.thatipamula@gmail.com</t>
  </si>
  <si>
    <t>DIST:Peddapalli VILL: kannala</t>
  </si>
  <si>
    <t>THATIPAMULA KISHAN</t>
  </si>
  <si>
    <t>THONDAPU</t>
  </si>
  <si>
    <t>PAVAN KUMAR</t>
  </si>
  <si>
    <t>26-07-2003</t>
  </si>
  <si>
    <t>21211a05v9@bvrit.ac.in</t>
  </si>
  <si>
    <t>tpavankumar158@gmail.com</t>
  </si>
  <si>
    <t>Plot no:-9,Nizampet, Kukatpally, Hyderabad</t>
  </si>
  <si>
    <t>THONDAPU MOULESWARAO</t>
  </si>
  <si>
    <t>THOTAKURA</t>
  </si>
  <si>
    <t>VIJAY KUMAR VARMA</t>
  </si>
  <si>
    <t>AI / ML, Data Sciences, Python, Extended Reality (AR / VR)</t>
  </si>
  <si>
    <t>27-02-2003</t>
  </si>
  <si>
    <t>21211a05w0@bvrit.ac.in</t>
  </si>
  <si>
    <t>thotakuravijay27@gmail.com</t>
  </si>
  <si>
    <t>2-135/382,Sri Durga recidency,ushodaya colony,back side UMCC,gajularamaram, Hyderabad,500055</t>
  </si>
  <si>
    <t>THOTAKURA SUBBA RAJU</t>
  </si>
  <si>
    <t>THUMMALA</t>
  </si>
  <si>
    <t>MANOGNA</t>
  </si>
  <si>
    <t>Python, C LANGUAGE</t>
  </si>
  <si>
    <t>21211A05W1@bvrit.ac.in</t>
  </si>
  <si>
    <t>manognathummala01@gmail.com</t>
  </si>
  <si>
    <t>H-NO:9-4-55/A,Srinagar colony ,Road No:3,Karimnagar,PIN:505001</t>
  </si>
  <si>
    <t>THUMMALA EASHWAR REDDY</t>
  </si>
  <si>
    <t>HARISH</t>
  </si>
  <si>
    <t>UPENDRAM</t>
  </si>
  <si>
    <t>27-04-2004</t>
  </si>
  <si>
    <t>21211a05w2@bvrit.ac.in</t>
  </si>
  <si>
    <t>upendramharish837@gmail.com</t>
  </si>
  <si>
    <t>Accenture ASE &amp; TECH MAHINDRA &amp; LTI MINDTREE &amp; COGNIZANT-GENC &amp; REALPAGE</t>
  </si>
  <si>
    <t>1129 old MIG , BHEL , serilingampalli , hyderabad</t>
  </si>
  <si>
    <t>upendram raghunandan</t>
  </si>
  <si>
    <t>UTTARAVILLI</t>
  </si>
  <si>
    <t>KAVYA SREE</t>
  </si>
  <si>
    <t>AI / ML, Python, Mobile Applications, Web development</t>
  </si>
  <si>
    <t>21211a05w3@bvrit.ac.in</t>
  </si>
  <si>
    <t>uttaravillikavyasree03@gmail.com</t>
  </si>
  <si>
    <t>Beside Rtc complex,Ramabadhrapuram,vijayanagaram</t>
  </si>
  <si>
    <t>UTTARAVILLI NAGABHUSHANA RAO</t>
  </si>
  <si>
    <t>V</t>
  </si>
  <si>
    <t>MRUDULA</t>
  </si>
  <si>
    <t>24-09-2003</t>
  </si>
  <si>
    <t>21211a05w4@bvrit.ac.in</t>
  </si>
  <si>
    <t>vmrudula2005@gmail.com</t>
  </si>
  <si>
    <t>1-5-1117/333/6 ALWAL HILL ROAD NO 12 OLD ALWAL</t>
  </si>
  <si>
    <t>VEERA SWAMY</t>
  </si>
  <si>
    <t>VADDI VENKATA</t>
  </si>
  <si>
    <t>21211a05w5@bvrit.ac.in</t>
  </si>
  <si>
    <t>Akshaya6355@gmail.com</t>
  </si>
  <si>
    <t>Asr nagar colony nizampet road number 2 , ktr colony , nizampet village hyd :500090</t>
  </si>
  <si>
    <t>Vaddi venkateswar rao</t>
  </si>
  <si>
    <t>VADLAMUDI</t>
  </si>
  <si>
    <t>BHAVAN</t>
  </si>
  <si>
    <t>Cyber Security, IoT, Cloud, UX / UI, Mobile Applications</t>
  </si>
  <si>
    <t>21211a05w6@bvrit.ac.in</t>
  </si>
  <si>
    <t>vadlamudibhavannaidu@gmail.com</t>
  </si>
  <si>
    <t>C/988,allwyn colony, Kukatpally near:- jalakanya hotel, 1st phase , Kukatpally, Hyderabad</t>
  </si>
  <si>
    <t>VADLAMUDI SRINIVAS</t>
  </si>
  <si>
    <t>VADRANAPU</t>
  </si>
  <si>
    <t>21211a05w7@bvrit.ac.in</t>
  </si>
  <si>
    <t>hemanthvadranapu@gmail.com</t>
  </si>
  <si>
    <t>Srisricircle,Khammam</t>
  </si>
  <si>
    <t>VADRANAPU RAMBABU</t>
  </si>
  <si>
    <t>VALAVALA VENKATA</t>
  </si>
  <si>
    <t>KARTHIKESHWAR</t>
  </si>
  <si>
    <t>25-07-2003</t>
  </si>
  <si>
    <t>21211a05w8@bvrit.ac.in</t>
  </si>
  <si>
    <t>karthikeshwarvenkata@gmail.com</t>
  </si>
  <si>
    <t>House no-3/5/359, plot no-48, Lakshminagar colony, Kukatpally, Hyderabad, 500072.</t>
  </si>
  <si>
    <t>VALAVALA KUMARA SWAMY</t>
  </si>
  <si>
    <t>21211A05W9</t>
  </si>
  <si>
    <t>VALLEPU SAI</t>
  </si>
  <si>
    <t>24-04-2002</t>
  </si>
  <si>
    <t>21211a05w9@bvrit.ac.in</t>
  </si>
  <si>
    <t>saia37592@gmail.com</t>
  </si>
  <si>
    <t>42-560/5 Maisammanagar
 Near jagathgiri Gutta police station</t>
  </si>
  <si>
    <t>VALLEPU SAMBAIAH</t>
  </si>
  <si>
    <t>VANAM</t>
  </si>
  <si>
    <t>ANIL</t>
  </si>
  <si>
    <t>14-11-2002</t>
  </si>
  <si>
    <t>21211a05x0@bvrit.ac.in</t>
  </si>
  <si>
    <t>vanamanilyad.910@gmail.com</t>
  </si>
  <si>
    <t>Baswapur (village), jagadevpur (mandal), siddipet (district), Telangana (state), House no:2-62</t>
  </si>
  <si>
    <t>Vanam sattaiah</t>
  </si>
  <si>
    <t>VANGALA</t>
  </si>
  <si>
    <t>ASHWANTHI</t>
  </si>
  <si>
    <t>21211a05x1@bvrit.ac.in</t>
  </si>
  <si>
    <t>vangalaashwanthi123@gmail.com</t>
  </si>
  <si>
    <t>9-1573,Y.S.R colony, BOLLARAM,JINNARAM,SANGA REDDY, TELANGANA</t>
  </si>
  <si>
    <t>VANGALA SHANKAR REDDY</t>
  </si>
  <si>
    <t>VANGALA SAI</t>
  </si>
  <si>
    <t>21211a05x2@bvrit.ac.in</t>
  </si>
  <si>
    <t>saitejavangala1103@gmail.com</t>
  </si>
  <si>
    <t>11-312, Sanjay Gandhi Nagar, Shapur nagar, Medchal malkajigiri</t>
  </si>
  <si>
    <t>VANGALA SOMAIAH</t>
  </si>
  <si>
    <t>VENKATA SIVA KAMAL</t>
  </si>
  <si>
    <t>GUDDANTI</t>
  </si>
  <si>
    <t>21211a05x3@bvrit.ac.in</t>
  </si>
  <si>
    <t>kamalguddanti@gmail.com</t>
  </si>
  <si>
    <t>Flat G4; Block 5; SR Estates; Miyapur; Hyderabad</t>
  </si>
  <si>
    <t>Guddanti Suresh Kumar</t>
  </si>
  <si>
    <t>VARALA</t>
  </si>
  <si>
    <t>LAXMI AISHWARYA</t>
  </si>
  <si>
    <t>21-05-2004</t>
  </si>
  <si>
    <t>21211a05x4@bvrit.ac.in</t>
  </si>
  <si>
    <t>laxmiaishwarya2105@gmail.com</t>
  </si>
  <si>
    <t>Plot no 196, road no 04, Vidhyanagar,Pothireddypalli,Sangareddy</t>
  </si>
  <si>
    <t>VARALA VENKATA NARSIMHULU</t>
  </si>
  <si>
    <t>SARIKA</t>
  </si>
  <si>
    <t>AI / ML, Data Sciences, Python, Mobile Applications, web development ,android development, app development</t>
  </si>
  <si>
    <t>21211a05x5@bvrit.ac.in</t>
  </si>
  <si>
    <t>varalasarika@gmail.com</t>
  </si>
  <si>
    <t>H NO-1-33/B ,Village-Gollapally, Mandal- Jagadevpur District- Siddipet</t>
  </si>
  <si>
    <t>VARALA RAVINDER</t>
  </si>
  <si>
    <t>VASIREDDY</t>
  </si>
  <si>
    <t>SNEHA</t>
  </si>
  <si>
    <t>AI / ML, Data Sciences, Python, Mobile Applications, Android development, Web development, app development</t>
  </si>
  <si>
    <t>21211A05X6@bvrit.ac.in</t>
  </si>
  <si>
    <t>snehavasi2120@gmail.com</t>
  </si>
  <si>
    <t>2-35/3 , Dharmaram-B, Dichapally mandal, Nizamabad, Telanagana-503230</t>
  </si>
  <si>
    <t>Vasireddy Vijay Kumar</t>
  </si>
  <si>
    <t>VATTIKUTI</t>
  </si>
  <si>
    <t>HARINI SRI RAMYA</t>
  </si>
  <si>
    <t>AI / ML, Data Sciences, Cyber Security, Python, Cloud, UX / UI</t>
  </si>
  <si>
    <t>21211A05X7@bvrit.ac.in</t>
  </si>
  <si>
    <t>harinivattikuti1416@gmail.com</t>
  </si>
  <si>
    <t>INFOSYS-1 &amp; RNTBCI &amp; FLIPKART(SDE ROLE)</t>
  </si>
  <si>
    <t>3-131/B, Ramalayam street ,Dommeru savaram, kovvur mandalam ,west godavari -534350</t>
  </si>
  <si>
    <t>TATAJI VATTIKUTI</t>
  </si>
  <si>
    <t>VEDANTHAM</t>
  </si>
  <si>
    <t>SATHVIKA</t>
  </si>
  <si>
    <t>AI / ML, Data Sciences, Cyber Security, Python, Cloud, App development,web development, Android development</t>
  </si>
  <si>
    <t>21211a05x8@bvrit.ac.in</t>
  </si>
  <si>
    <t>sathvikavedantham@gmail.com</t>
  </si>
  <si>
    <t>H.no: 1-61/1 Gandhi street,Wargal,dist:siddipet</t>
  </si>
  <si>
    <t>Vedantham Muralidhara Charyulu</t>
  </si>
  <si>
    <t>VEERAVALLI</t>
  </si>
  <si>
    <t>JAYADEEP</t>
  </si>
  <si>
    <t>21211a05x9@bvrit.ac.in</t>
  </si>
  <si>
    <t>jayadeepveeravalli27@gmail.com</t>
  </si>
  <si>
    <t>H.no:5-178, CHANDRA NAGAR, CHINTAL, HYDERABAD, TELANGANA,INDIA.</t>
  </si>
  <si>
    <t>VEERAVALLI SRINIVASA RAO</t>
  </si>
  <si>
    <t>VEERBHADRAPOLLA</t>
  </si>
  <si>
    <t>SAIKIRAN</t>
  </si>
  <si>
    <t>AI / ML, Python, Cloud, Web development</t>
  </si>
  <si>
    <t>21211a05y0@bvrit.ac.in</t>
  </si>
  <si>
    <t>saikiranveerbhadrappasai@gmail.com</t>
  </si>
  <si>
    <t>1-48,yousfpur village,raikode mandal, sangareddy district,502257</t>
  </si>
  <si>
    <t>VEERBHADRAPOLLA VEERSHETTY</t>
  </si>
  <si>
    <t>MAHEEDHAR VARMA</t>
  </si>
  <si>
    <t>21211a05y1@bvrit.ac.in</t>
  </si>
  <si>
    <t>maheevegesna@gmail.com</t>
  </si>
  <si>
    <t>4-59/1, RAJULAVEEDHI, SIVADEVUNI CHIKKALA, PALAKOLLU, WEST GODAVARI, ANDHRA PRADESH 534245</t>
  </si>
  <si>
    <t>VEGESNA JANAKIRAMA RAJU</t>
  </si>
  <si>
    <t>SAI KAUSHIK</t>
  </si>
  <si>
    <t>15-03-2004</t>
  </si>
  <si>
    <t>21211a05y2@bvrit.ac.in</t>
  </si>
  <si>
    <t>kaushikvs2004@gmail.com</t>
  </si>
  <si>
    <t>Flat No-401,JJs Royal Residency,plot no-857,858 and 859,Matrusri nagar, Miyapur, Hyderabad</t>
  </si>
  <si>
    <t>VEGESNA SREE RAMA RAJU</t>
  </si>
  <si>
    <t>VELAGA</t>
  </si>
  <si>
    <t>SRAVANI</t>
  </si>
  <si>
    <t>AI / ML, Data Sciences, Cyber Security, Python, Cloud, Mobile Applications, App development,web development , Android development</t>
  </si>
  <si>
    <t>21211a05y3@bvrit.ac.in</t>
  </si>
  <si>
    <t>sravani.velaga2004@gmail.com</t>
  </si>
  <si>
    <t>Hyderabad, Ranga Reddy, gajulramaram</t>
  </si>
  <si>
    <t>Velaga pavani</t>
  </si>
  <si>
    <t>CHARAN</t>
  </si>
  <si>
    <t>AI / ML, Python, Cloud, Mobile Applications, Extended Reality (AR / VR)</t>
  </si>
  <si>
    <t>21-07-2003</t>
  </si>
  <si>
    <t>21211A05Y4@bvrit.ac.in</t>
  </si>
  <si>
    <t>vemulasai20@gmail.com</t>
  </si>
  <si>
    <t>PLOT NO-55,SHIVA LALITHA NILAYAM,VENKATESHWARA COLONY,SUCHITRA,HYDERABAD</t>
  </si>
  <si>
    <t>VEMULA SATYANARAYANA</t>
  </si>
  <si>
    <t>VENKATA SATYASAI DEEPAK</t>
  </si>
  <si>
    <t>NAVULURI</t>
  </si>
  <si>
    <t>21211A05y5@bvrit.ac.in</t>
  </si>
  <si>
    <t>deepak.nvss@gmail.com</t>
  </si>
  <si>
    <t>VILLA NO.4,PRANEETH PRANAV VALLEY,KRCR COLONY,BACHUPALLY,MEDCHAL MALKAJGIRI,TELANGANA STATE-500090</t>
  </si>
  <si>
    <t>NAVULURI RAVI SANKAR</t>
  </si>
  <si>
    <t>VENTRAPATI</t>
  </si>
  <si>
    <t>LIKHITHA</t>
  </si>
  <si>
    <t>AI / ML, Data Sciences, Cyber Security, IoT, Python, Cloud, UX / UI, Mobile Applications, Extended Reality (AR / VR)</t>
  </si>
  <si>
    <t>21211a05y6@bvrit.ac.in</t>
  </si>
  <si>
    <t>ventrapatilikhitha123@gmail.com</t>
  </si>
  <si>
    <t>H.no: 5-333, plotno.203 ,Sri nilaya apartments, S.R.Naik nagar, IDA Jeedimetla, Hyderabad.</t>
  </si>
  <si>
    <t>V.RAMESH BABU</t>
  </si>
  <si>
    <t>VUPPALA</t>
  </si>
  <si>
    <t>VENKATA KALYAN</t>
  </si>
  <si>
    <t>AI / ML, Python, Cloud, UX / UI, Mobile Applications</t>
  </si>
  <si>
    <t>21211A05Y7@bvrit.ac.in</t>
  </si>
  <si>
    <t>kalyan.vuppala2003@gmail.com</t>
  </si>
  <si>
    <t>Plot no:492, Vikram Reddy Hill Park Apartment, Flat no:204, Gayatri Nagar, Borabanda, Hyderabad-500018</t>
  </si>
  <si>
    <t>VUPPALA SHANKARIAH NAGESH KUMAR</t>
  </si>
  <si>
    <t>VENKATA SHIVAMANI</t>
  </si>
  <si>
    <t>AI / ML, Data Sciences, Cyber Security, IoT, Python, Cloud, UX / UI, Mobile Applications</t>
  </si>
  <si>
    <t>21211a05y8@bvrit.ac.in</t>
  </si>
  <si>
    <t>vuppalavenkatashivamani@gmail.com</t>
  </si>
  <si>
    <t>Hno-16-4-1109,Sri Vasavi lane,Shivanagar, Warangal</t>
  </si>
  <si>
    <t>VUPPALA SRINIVASULU</t>
  </si>
  <si>
    <t>21211a05y9@bvrit.ac.in</t>
  </si>
  <si>
    <t>ananyareddy434@gmail.com</t>
  </si>
  <si>
    <t>Gangasthan phase:2 road num:11 produturi landmark flat num:108</t>
  </si>
  <si>
    <t>Vutukuri Sampath Reddy</t>
  </si>
  <si>
    <t>YANALA</t>
  </si>
  <si>
    <t>ASHRITA</t>
  </si>
  <si>
    <t>23-05-2004</t>
  </si>
  <si>
    <t>21211A05Z0@bvrit.ac.in</t>
  </si>
  <si>
    <t>ashritayanala23@gmail.com</t>
  </si>
  <si>
    <t>Jakkepalli Village,kusumanchi Mandal,Khammam</t>
  </si>
  <si>
    <t>YANALA SAIDI REDDY</t>
  </si>
  <si>
    <t>YASAM</t>
  </si>
  <si>
    <t>SARTHIK KUMAR</t>
  </si>
  <si>
    <t>17-02-2003</t>
  </si>
  <si>
    <t>21211a05z1@bvrit.ac.in</t>
  </si>
  <si>
    <t>sarthikchinna@gmail.com</t>
  </si>
  <si>
    <t>Kamareddy district,vidyanagarcolony, kamareddy,near old sai bab temple H.no-5-3-610/E</t>
  </si>
  <si>
    <t>YASAM RAMESH</t>
  </si>
  <si>
    <t>SRIVALLI</t>
  </si>
  <si>
    <t>YEDDU</t>
  </si>
  <si>
    <t>21211a05z2@bvrit.ac.in</t>
  </si>
  <si>
    <t>srivalliyeddu@gmail.com</t>
  </si>
  <si>
    <t>Patancheru</t>
  </si>
  <si>
    <t>YEDDU RAMANAIAH</t>
  </si>
  <si>
    <t>YERRA</t>
  </si>
  <si>
    <t>HARSHINI</t>
  </si>
  <si>
    <t>21211A05Z3@bvrit.ac.in</t>
  </si>
  <si>
    <t>yerraharshini28@gmail.com</t>
  </si>
  <si>
    <t>Flat no 310,Sierra heights,kompally,hyderabad,500100</t>
  </si>
  <si>
    <t>Y ROJA GANDHI</t>
  </si>
  <si>
    <t>PAVAN</t>
  </si>
  <si>
    <t>RAM VARMA</t>
  </si>
  <si>
    <t>21211a05z4@bvrit.ac.in</t>
  </si>
  <si>
    <t>pavanramvarma1@gmail.com</t>
  </si>
  <si>
    <t>Flat no-405,sundaram apartments,ramaraja nagar colony,near russh hospital,suchitra circle,hyderabad,500067</t>
  </si>
  <si>
    <t>Vijay babu Uppalapati</t>
  </si>
  <si>
    <t>SHIVABHANU</t>
  </si>
  <si>
    <t>PATLOLLA</t>
  </si>
  <si>
    <t>27-01-2003</t>
  </si>
  <si>
    <t>22215a0527@bvrit.ac.in</t>
  </si>
  <si>
    <t>p.shivabhanupatel@gmail.com</t>
  </si>
  <si>
    <t>V :- Medapally ,Mandal:- Jharasangam , Dist:-Sangareddy, Pincode:-502321</t>
  </si>
  <si>
    <t>PATLOLLA SRINIVAS</t>
  </si>
  <si>
    <t>ADUNURI</t>
  </si>
  <si>
    <t>22215a0528@bvrit.ac.in</t>
  </si>
  <si>
    <t>adunurisrinivas3@gmail.com</t>
  </si>
  <si>
    <t>V:- Ramavaram, M:- Akkannapet, 
D:- Siddipet</t>
  </si>
  <si>
    <t>ADUNURI RAMASWAMY</t>
  </si>
  <si>
    <t>ALLOJU</t>
  </si>
  <si>
    <t>AI / ML, Cyber Security, Python, Cloud, UX / UI, Mobile Applications</t>
  </si>
  <si>
    <t>22215a0529@bvrit.ac.in</t>
  </si>
  <si>
    <t>allojuvaishnavi003@gmail.com</t>
  </si>
  <si>
    <t>3-8-61/1, rangaraj street ,medak.</t>
  </si>
  <si>
    <t>ALLOJU.SRINIVAS CHARY</t>
  </si>
  <si>
    <t>KONAMPET</t>
  </si>
  <si>
    <t>22215a0530@bvrit.ac.in</t>
  </si>
  <si>
    <t>vaishnavikonampet@gmail.com</t>
  </si>
  <si>
    <t>Turkal khanapur (village), sangareddy (district) , hathnoora (mandal), 502296</t>
  </si>
  <si>
    <t>VEERESHAM KONAMPET</t>
  </si>
  <si>
    <t>METTU</t>
  </si>
  <si>
    <t>15-05-2004</t>
  </si>
  <si>
    <t>22215a0531@bvrit.ac.in</t>
  </si>
  <si>
    <t>mettuvaishnavi939@gmail.com</t>
  </si>
  <si>
    <t>1-12-26/1/13, Tarakarama Nagar, Housing Board Colony, Medak.</t>
  </si>
  <si>
    <t>Mettu.Mallesham</t>
  </si>
  <si>
    <t>VENU KUMAR</t>
  </si>
  <si>
    <t>BANOTH</t>
  </si>
  <si>
    <t>25-11-2002</t>
  </si>
  <si>
    <t>22215a0532@bvrit.ac.in</t>
  </si>
  <si>
    <t>kumarven881@gmail.com</t>
  </si>
  <si>
    <t>15-40, mittapally, rompaid, yellandu, bhadradri kothagudem, telengana.</t>
  </si>
  <si>
    <t>BANOTH KOTI</t>
  </si>
  <si>
    <t>ENUGU VISHNU VARDHAN</t>
  </si>
  <si>
    <t>22215a0533@bvrit.ac.in</t>
  </si>
  <si>
    <t>vishnu1472003@gmail.com</t>
  </si>
  <si>
    <t>Sikindlapur village, shivampet mandal, medak district</t>
  </si>
  <si>
    <t>Enugu Prabhakar Reddy</t>
  </si>
  <si>
    <t>Faculty</t>
  </si>
  <si>
    <t>Counsellor</t>
  </si>
  <si>
    <t>Active Backlogs (IV-I)</t>
  </si>
  <si>
    <t>offers1</t>
  </si>
  <si>
    <t>MS</t>
  </si>
  <si>
    <t>PL</t>
  </si>
  <si>
    <t>AI / ML, Python, C ,Data Structures and Algorithms,Java</t>
  </si>
  <si>
    <t>PD</t>
  </si>
  <si>
    <t>MB</t>
  </si>
  <si>
    <t>CORIZO-BDA &amp; SEOAK</t>
  </si>
  <si>
    <t>DK</t>
  </si>
  <si>
    <t>DR</t>
  </si>
  <si>
    <t>CORIZO-BDA &amp; MOVATE1-DIS</t>
  </si>
  <si>
    <t>`</t>
  </si>
  <si>
    <t>MM</t>
  </si>
  <si>
    <t>CS</t>
  </si>
  <si>
    <t>SR</t>
  </si>
  <si>
    <t>BU</t>
  </si>
  <si>
    <t>NV</t>
  </si>
  <si>
    <t>LK</t>
  </si>
  <si>
    <t>ND</t>
  </si>
  <si>
    <t>PG</t>
  </si>
  <si>
    <t>PR</t>
  </si>
  <si>
    <t>VIDYANTH &amp; SEOAK</t>
  </si>
  <si>
    <t>PS</t>
  </si>
  <si>
    <t>MH</t>
  </si>
  <si>
    <t>GV</t>
  </si>
  <si>
    <t>21211a0515</t>
  </si>
  <si>
    <t>21211a0520</t>
  </si>
  <si>
    <t>21211a0529</t>
  </si>
  <si>
    <t>21211a0537</t>
  </si>
  <si>
    <t>21211a0564</t>
  </si>
  <si>
    <t>21211a05a0</t>
  </si>
  <si>
    <t>21211a05a6</t>
  </si>
  <si>
    <t>21211a05f2</t>
  </si>
  <si>
    <t>21211a05h4</t>
  </si>
  <si>
    <t>21211a05l3</t>
  </si>
  <si>
    <t>21211a05n7</t>
  </si>
  <si>
    <t>21211a05p8</t>
  </si>
  <si>
    <t>21211a05q8</t>
  </si>
  <si>
    <t>21211a05v6</t>
  </si>
  <si>
    <t>SKILL DUNIYA &amp; OPENTEXT</t>
  </si>
  <si>
    <t>21211A05v8</t>
  </si>
  <si>
    <t>21211A1202</t>
  </si>
  <si>
    <t>ADNAN</t>
  </si>
  <si>
    <t>HUSSAIN</t>
  </si>
  <si>
    <t>ADNAN HUSSAIN</t>
  </si>
  <si>
    <t>Data Sciences, Cyber Security, Python, Mobile Applications</t>
  </si>
  <si>
    <t>IT</t>
  </si>
  <si>
    <t>21211A1202@bvrit.ac.in</t>
  </si>
  <si>
    <t>adnanaddu12345@gmail.com</t>
  </si>
  <si>
    <t>ATHARVO-OFF CAMPUS &amp; SKILL DUNIYA</t>
  </si>
  <si>
    <t>21211a1203</t>
  </si>
  <si>
    <t>AJAY</t>
  </si>
  <si>
    <t>NAGUNURI</t>
  </si>
  <si>
    <t>AJAY NAGUNURI</t>
  </si>
  <si>
    <t>AI / ML, IoT, Block Chain, Python, Mobile Applications</t>
  </si>
  <si>
    <t>21211a1203@bvrit.ac.in</t>
  </si>
  <si>
    <t>nagunuriajaykumar@gmail.com</t>
  </si>
  <si>
    <t>ATHARVO-OFF CAMPUS</t>
  </si>
  <si>
    <t>21211A1206</t>
  </si>
  <si>
    <t>ALLADI</t>
  </si>
  <si>
    <t>VARSHITH</t>
  </si>
  <si>
    <t>ALLADI VARSHITH</t>
  </si>
  <si>
    <t>21211A1206@bvrit.ac.in</t>
  </si>
  <si>
    <t>alladivarshith1953@gmail.com</t>
  </si>
  <si>
    <t>21211a1212</t>
  </si>
  <si>
    <t>B. SANDEEP</t>
  </si>
  <si>
    <t>Data Sciences, Cyber Security, IoT, Python</t>
  </si>
  <si>
    <t>31-05-2003</t>
  </si>
  <si>
    <t>21211a1212@bvrit.ac.in</t>
  </si>
  <si>
    <t>sandeepkumar.billakanti@gmail.com</t>
  </si>
  <si>
    <t>21211A1234</t>
  </si>
  <si>
    <t>DUDDALA</t>
  </si>
  <si>
    <t>SANGEETHA</t>
  </si>
  <si>
    <t>DUDDALA SANGEETHA</t>
  </si>
  <si>
    <t>21211a1234@bvrit.ac.in</t>
  </si>
  <si>
    <t>duddalasangeetha@gmail.com</t>
  </si>
  <si>
    <t>21211A1244</t>
  </si>
  <si>
    <t>GULZAR</t>
  </si>
  <si>
    <t>FIRDOUSE</t>
  </si>
  <si>
    <t>GULZAR FIRDOUSE</t>
  </si>
  <si>
    <t>21211a1244@bvrit.ac.in</t>
  </si>
  <si>
    <t>gulzarfirdouse21@gmail.com</t>
  </si>
  <si>
    <t>21211a1246</t>
  </si>
  <si>
    <t>GUNTI</t>
  </si>
  <si>
    <t>PRADEEPTHI</t>
  </si>
  <si>
    <t>Python, C programm</t>
  </si>
  <si>
    <t>21211A1246@bvrit.ac.in</t>
  </si>
  <si>
    <t>pradeepthisagar@gmail.com</t>
  </si>
  <si>
    <t>DBS &amp; MOVATE1-DIS</t>
  </si>
  <si>
    <t>21211A1259</t>
  </si>
  <si>
    <t>KOTHAGATTU</t>
  </si>
  <si>
    <t>HIMAANSH</t>
  </si>
  <si>
    <t>KOTHAGATTU HIMAANSH</t>
  </si>
  <si>
    <t>AI / ML, IoT, Python, Cloud, Mobile Applications, java, html</t>
  </si>
  <si>
    <t>30/10/2003</t>
  </si>
  <si>
    <t>21211a1259@bvrit.ac.in</t>
  </si>
  <si>
    <t>himaanshricky19s@gmail.com</t>
  </si>
  <si>
    <t>21211a1265</t>
  </si>
  <si>
    <t>KURA</t>
  </si>
  <si>
    <t>SUDHESHNA</t>
  </si>
  <si>
    <t>KURA SUDHESHNA</t>
  </si>
  <si>
    <t>5601 4795 07</t>
  </si>
  <si>
    <t>21211a1265@bvrit.ac.in</t>
  </si>
  <si>
    <t>sudheshna1919@gmail.com</t>
  </si>
  <si>
    <t>21211A1271</t>
  </si>
  <si>
    <t>M D V S</t>
  </si>
  <si>
    <t>KRISHNA TEJA</t>
  </si>
  <si>
    <t>MARISETTY D V S KRISHNA TEJA</t>
  </si>
  <si>
    <t>29-04-2004</t>
  </si>
  <si>
    <t>21211A1271@bvrit.ac.in</t>
  </si>
  <si>
    <t>krishnatejamarisetty1@gmail.com</t>
  </si>
  <si>
    <t>BIGWIG-OFF CAMPUS</t>
  </si>
  <si>
    <t>21211A1276</t>
  </si>
  <si>
    <t>SAI VENNELA</t>
  </si>
  <si>
    <t>MUDHUGANTI</t>
  </si>
  <si>
    <t>SAI VENNELA MUDHUGANTI</t>
  </si>
  <si>
    <t>14-07-2004</t>
  </si>
  <si>
    <t>21211a1276@bvrit.ac.in</t>
  </si>
  <si>
    <t>saivennelareddymudhuganti@gmail.com</t>
  </si>
  <si>
    <t>21211a1278</t>
  </si>
  <si>
    <t>MUKKERA</t>
  </si>
  <si>
    <t>VINAY</t>
  </si>
  <si>
    <t>MUKKERA VINAY</t>
  </si>
  <si>
    <t>25-07-2004</t>
  </si>
  <si>
    <t>21211a1278@bvrit.ac.in</t>
  </si>
  <si>
    <t>mukkeravinay96@gmail.com</t>
  </si>
  <si>
    <t>21211A1283</t>
  </si>
  <si>
    <t>NITHISH</t>
  </si>
  <si>
    <t>18-09-2002</t>
  </si>
  <si>
    <t>21211a1283@bvrit.ac.in</t>
  </si>
  <si>
    <t>nenavathnithish@gmail.com</t>
  </si>
  <si>
    <t>ATHARVO-OFF CAMPUS &amp; SEOAK</t>
  </si>
  <si>
    <t>21211A1293</t>
  </si>
  <si>
    <t>SRAVANTHI</t>
  </si>
  <si>
    <t>PATLOORI SRAVANTHI</t>
  </si>
  <si>
    <t>16-01-2003</t>
  </si>
  <si>
    <t>21211a1293@bvrit.ac.in</t>
  </si>
  <si>
    <t>patloorisravanthi58@gmail.com</t>
  </si>
  <si>
    <t>H NO 2-46/2
 NAWABPET
 HATNOORA
 SANGAREDDY
 502296</t>
  </si>
  <si>
    <t>ANWAR HUSSAIN</t>
  </si>
  <si>
    <t>21211A12A5</t>
  </si>
  <si>
    <t>SANGANABHATLA</t>
  </si>
  <si>
    <t>SAIVARDHAN</t>
  </si>
  <si>
    <t>SAIVARDHAN SANGANABHATLA</t>
  </si>
  <si>
    <t>Cyber Security, ETHICAL HACKING</t>
  </si>
  <si>
    <t>30-10-2003</t>
  </si>
  <si>
    <t>21211A12A5@bvrit.ac.in</t>
  </si>
  <si>
    <t>saivardhansanganabhatla@gmail.com</t>
  </si>
  <si>
    <t>Sultanabad</t>
  </si>
  <si>
    <t>Nagunuri Thirupathi</t>
  </si>
  <si>
    <t>21211A12B1</t>
  </si>
  <si>
    <t>RAFI</t>
  </si>
  <si>
    <t>SHAIK RAFI</t>
  </si>
  <si>
    <t>AI / ML, Data Sciences, IoT, Python, Cloud, Big Data, Mobile Applications</t>
  </si>
  <si>
    <t>21211a12b1@bvrit.ac.in</t>
  </si>
  <si>
    <t>rafi37230@gmail.com</t>
  </si>
  <si>
    <t>2-86,KATRIAL; MANDAL: RAMAYAMPET; DISTRICT:MEDAK</t>
  </si>
  <si>
    <t>ALLADI VENKATESHAM</t>
  </si>
  <si>
    <t>21211a12b7</t>
  </si>
  <si>
    <t>TALLURI</t>
  </si>
  <si>
    <t>GOUTHAM</t>
  </si>
  <si>
    <t>TALLURI GOUTHAM</t>
  </si>
  <si>
    <t>AI / ML, Data Sciences, Cyber Security, Python, Cloud, Big Data, Mobile Applications, Data structures</t>
  </si>
  <si>
    <t>21211a12b7@bvrit.ac.in</t>
  </si>
  <si>
    <t>gouthamtalluri06@gmail.com</t>
  </si>
  <si>
    <t>14-10-79/8/A5/A/1,Vingneshwara colony ,murlu.mahabubnagar</t>
  </si>
  <si>
    <t>BILLAKANTI SHAMSUNDAR</t>
  </si>
  <si>
    <t>21211A12C1</t>
  </si>
  <si>
    <t>TOTA</t>
  </si>
  <si>
    <t>TOTA ARUN KUMAR</t>
  </si>
  <si>
    <t>26-02-2004</t>
  </si>
  <si>
    <t>21211A12C1@bvrit.ac.in</t>
  </si>
  <si>
    <t>arunaryan016@gmail.com</t>
  </si>
  <si>
    <t>House no.14-24-17/1 plot no.26 jayalakshmi nagar phase 2 road no.1</t>
  </si>
  <si>
    <t>DUDDALA NAGAIAH</t>
  </si>
  <si>
    <t>21211a12c2</t>
  </si>
  <si>
    <t>NAICY</t>
  </si>
  <si>
    <t>ULLURI</t>
  </si>
  <si>
    <t>ULLURI NAICY</t>
  </si>
  <si>
    <t>21211a12c2@bvrit.ac.in</t>
  </si>
  <si>
    <t>naicyulluri11@gmail.com</t>
  </si>
  <si>
    <t>4-51-211,maqudum nagar,jagadgirigutta, Hyderabad</t>
  </si>
  <si>
    <t>MD.Abdul Nabi</t>
  </si>
  <si>
    <t>21211A3212</t>
  </si>
  <si>
    <t>CHOWTI</t>
  </si>
  <si>
    <t>CHOWTI ABHIRAM</t>
  </si>
  <si>
    <t>Data Sciences, C,c++,blue j java</t>
  </si>
  <si>
    <t>CSB</t>
  </si>
  <si>
    <t>21211A3212@bvrit.ac.in</t>
  </si>
  <si>
    <t>chowtiabhiram@gmail.com</t>
  </si>
  <si>
    <t>Block 11/A flat no 401 vadapalley enclave .kukatpally, Hyderabad</t>
  </si>
  <si>
    <t>GUNTI LAXMAN SAGAR</t>
  </si>
  <si>
    <t>21211A3216</t>
  </si>
  <si>
    <t>DAMMU</t>
  </si>
  <si>
    <t>VEDHASRI</t>
  </si>
  <si>
    <t>DAMMU VEDHASRI</t>
  </si>
  <si>
    <t>AI / ML, Data Sciences, Block Chain, Python, Mobile Applications</t>
  </si>
  <si>
    <t>20-06-2004</t>
  </si>
  <si>
    <t>21211a3216@bvrit.ac.in</t>
  </si>
  <si>
    <t>vedhasridammu@gmail.com</t>
  </si>
  <si>
    <t>Hon: 4-7-8/16/2, revenue colony, bypass road ,502001, Sangareddy.</t>
  </si>
  <si>
    <t>valaboju vijaya laxmi</t>
  </si>
  <si>
    <t>21211A3217</t>
  </si>
  <si>
    <t>DEEKSHITHA</t>
  </si>
  <si>
    <t>DINGARI</t>
  </si>
  <si>
    <t>DEEKSHITHA DINGARI</t>
  </si>
  <si>
    <t>AI / ML, Python, Cloud, Mobile Applications, C++,DSA with c++</t>
  </si>
  <si>
    <t>21211a3217@bvrit.ac.in</t>
  </si>
  <si>
    <t>dingarideekshitha@gmail.com</t>
  </si>
  <si>
    <t>TECH MAHINDRA &amp; LTI MINDTREE &amp; TCS-NINJA &amp; CORIZO-BDA</t>
  </si>
  <si>
    <t>Sadasivpet</t>
  </si>
  <si>
    <t>KURA MALLESHAM</t>
  </si>
  <si>
    <t>21211A3221</t>
  </si>
  <si>
    <t>KUSHAL</t>
  </si>
  <si>
    <t>CHANAKYA</t>
  </si>
  <si>
    <t>GOGGI KUSHAL CHANAKYA</t>
  </si>
  <si>
    <t>27-07-2003</t>
  </si>
  <si>
    <t>21211a3221@bvrit.ac.in</t>
  </si>
  <si>
    <t>kushalchanakya@gmail.com</t>
  </si>
  <si>
    <t>TECH MAHINDRA &amp; TCS-NINJA &amp; LTI MINDTREE</t>
  </si>
  <si>
    <t>SRI ADITYA UP SCHOOL 
 Lingapuram junction kotauratla 531085</t>
  </si>
  <si>
    <t>M RAGHAVENDRA RAO</t>
  </si>
  <si>
    <t>21211a3222</t>
  </si>
  <si>
    <t>GOKANI</t>
  </si>
  <si>
    <t>GOKANI GANESH GOUD</t>
  </si>
  <si>
    <t>21211a3222@bvrit.ac.in</t>
  </si>
  <si>
    <t>ganeshgokani555@gmail.com</t>
  </si>
  <si>
    <t>H-NO:2-50,VIL:Chakunta,MDL: Choppadandi,Karimnagar, Telangana</t>
  </si>
  <si>
    <t>Mudhuganti Praveen Kumar Reddy</t>
  </si>
  <si>
    <t>21211A3238</t>
  </si>
  <si>
    <t>KUNCHALA</t>
  </si>
  <si>
    <t>SINDHUJA KUNCHALA</t>
  </si>
  <si>
    <t>Python, C,c++, datastructures</t>
  </si>
  <si>
    <t>21211A3238@bvrit.ac.in</t>
  </si>
  <si>
    <t>kunchalasindhuja2003@gmail.com</t>
  </si>
  <si>
    <t>Siddipet dist,thoguta village.</t>
  </si>
  <si>
    <t>Mukkera kanakaiah</t>
  </si>
  <si>
    <t>21211A3246</t>
  </si>
  <si>
    <t>PADIGELA</t>
  </si>
  <si>
    <t>PADIGELA SURYA TEJA</t>
  </si>
  <si>
    <t>AI / ML, Python, C programming and C++</t>
  </si>
  <si>
    <t>21211a3246@bvrit.ac.in</t>
  </si>
  <si>
    <t>suryatejapadigela491293@gmail.com</t>
  </si>
  <si>
    <t>TCS-NINJA</t>
  </si>
  <si>
    <t>Village:Bhairapur
 House no:1-81/14
 Mandal:Mugpal
 District: Nizamabad
 Post: Manchippa 
 Pincode:503230</t>
  </si>
  <si>
    <t>Nenavath Baliram</t>
  </si>
  <si>
    <t>21211A6618</t>
  </si>
  <si>
    <t>LAXMI PRANATHI</t>
  </si>
  <si>
    <t>GOTTIPATI</t>
  </si>
  <si>
    <t>LAXMI PRANATHI GOTTIPATI</t>
  </si>
  <si>
    <t>26-09-2003</t>
  </si>
  <si>
    <t>CSM</t>
  </si>
  <si>
    <t>21211a6618@bvrit.ac.in</t>
  </si>
  <si>
    <t>gottipatipranathi@gmail.com</t>
  </si>
  <si>
    <t>Sadashivpet
 Sangareddy district
 Rajaka keri
 H/no:2-3-26/1</t>
  </si>
  <si>
    <t>PATLOORI GOPAL</t>
  </si>
  <si>
    <t>21211a6619</t>
  </si>
  <si>
    <t>GUGULOTH</t>
  </si>
  <si>
    <t>MUKESH NAYAK</t>
  </si>
  <si>
    <t>GUGULOTH MUKESH NAYAK</t>
  </si>
  <si>
    <t>21211a6619@bvrit.ac.in</t>
  </si>
  <si>
    <t>mukeshnayak.guguloth95@gmail.com</t>
  </si>
  <si>
    <t>bheemuni dubba ,korutla,h.no:1-1-489/1,telangana</t>
  </si>
  <si>
    <t>SANGANABHATLA NARSIMHA MURTHY</t>
  </si>
  <si>
    <t>21211A6622</t>
  </si>
  <si>
    <t>SHIRISHA</t>
  </si>
  <si>
    <t>JATOTH</t>
  </si>
  <si>
    <t>JATOTH SHIRISHA</t>
  </si>
  <si>
    <t>21211a6622@bvrit.ac.in</t>
  </si>
  <si>
    <t>jatothshirisha369@gmail.com</t>
  </si>
  <si>
    <t>Kodad, suryapet, Telangana</t>
  </si>
  <si>
    <t>SHAIK NAGUL MEERA</t>
  </si>
  <si>
    <t>21211a6642</t>
  </si>
  <si>
    <t>RAJANALA</t>
  </si>
  <si>
    <t>SAI YESHWANTH</t>
  </si>
  <si>
    <t>RAJANALA SAI YESHWANTH</t>
  </si>
  <si>
    <t>21211a6642@bvrit.ac.in</t>
  </si>
  <si>
    <t>saiyeshwanthrajanala2312@gmail.com</t>
  </si>
  <si>
    <t>Dr Reddys enclave plot 202, miyapur, Hyderabad</t>
  </si>
  <si>
    <t>TALLURI SRINIVASA RAO</t>
  </si>
  <si>
    <t>21211a6656</t>
  </si>
  <si>
    <t>THOTA</t>
  </si>
  <si>
    <t>RAVALI</t>
  </si>
  <si>
    <t>THOTA RAVALI</t>
  </si>
  <si>
    <t>AI / ML, Data Sciences, IoT, Block Chain, Python, Cloud, Big Data, Mobile Applications</t>
  </si>
  <si>
    <t>15-09-2003</t>
  </si>
  <si>
    <t>21211a6656@bvrit.ac.in</t>
  </si>
  <si>
    <t>ravalithota2003@gmail.com</t>
  </si>
  <si>
    <t>TECH MAHINDRA &amp; COGNIZANT-GENC</t>
  </si>
  <si>
    <t>Sanjay Gandhi Nagar,Jeedimetla,Hyderabad.</t>
  </si>
  <si>
    <t>TOTA MALLESH</t>
  </si>
  <si>
    <t>21211A6661</t>
  </si>
  <si>
    <t>VANKAYALA</t>
  </si>
  <si>
    <t>NAGA SAI AKHIL</t>
  </si>
  <si>
    <t>VANKAYALA NAGA SAI AKHIL</t>
  </si>
  <si>
    <t>AI / ML, Data Sciences, Python, JAVA,C</t>
  </si>
  <si>
    <t>21211A6661@bvrit.ac.in</t>
  </si>
  <si>
    <t>akhilvankayala8055@gmail.com</t>
  </si>
  <si>
    <t>7-245, SANJAYGANDHI NAGAR G R ROAD
 QUTHBULLAPUR HYDERABAD</t>
  </si>
  <si>
    <t>ULLURI RAJENDRA</t>
  </si>
  <si>
    <t>21211a6710</t>
  </si>
  <si>
    <t>BOJINI</t>
  </si>
  <si>
    <t>BOJINI HARSHITHA</t>
  </si>
  <si>
    <t>CSD</t>
  </si>
  <si>
    <t>21211a6710@bvrit.ac.in</t>
  </si>
  <si>
    <t>harshithabojini@gmail.com</t>
  </si>
  <si>
    <t>9-53/1, Hanuman veedhi , narsapur</t>
  </si>
  <si>
    <t>CHOWTI JAGADEESHWAR</t>
  </si>
  <si>
    <t>21211a6711</t>
  </si>
  <si>
    <t>ANILKUMAR</t>
  </si>
  <si>
    <t>BORIGE</t>
  </si>
  <si>
    <t>ANILKUMAR BORIGE</t>
  </si>
  <si>
    <t>21211a6711@bvrit.ac.in</t>
  </si>
  <si>
    <t>anilkumarborige@gmail.com</t>
  </si>
  <si>
    <t>H.no. :- 5-5-125/7/6,
 Saikrupanagar phase-1,
 Banswada,
 Kamareddy dist.,
 503187</t>
  </si>
  <si>
    <t>DAMMU VENKATESHWARULU</t>
  </si>
  <si>
    <t>21211a6720</t>
  </si>
  <si>
    <t>SHARANDEEP</t>
  </si>
  <si>
    <t>GUDEPU</t>
  </si>
  <si>
    <t>GUDEPU SHARANDEEP</t>
  </si>
  <si>
    <t>21211a6720@bvrit.ac.in</t>
  </si>
  <si>
    <t>gudepusharandeep@gmail.com</t>
  </si>
  <si>
    <t>H-no:10-3-295, Vidyanagar, Karimnagar</t>
  </si>
  <si>
    <t>Dingari Raghu</t>
  </si>
  <si>
    <t>21211a6741</t>
  </si>
  <si>
    <t>NIKITHA KOTA</t>
  </si>
  <si>
    <t>21211a6741@bvrit.ac.in</t>
  </si>
  <si>
    <t>nkota1843@gmail.com</t>
  </si>
  <si>
    <t>Vill no.53, Apr Praveens Luxuria, patancheru</t>
  </si>
  <si>
    <t>G.Raghavendra charlu</t>
  </si>
  <si>
    <t>21211A6742</t>
  </si>
  <si>
    <t>VISHNU VARDHAN</t>
  </si>
  <si>
    <t>NULU VISHNU VARDHAN</t>
  </si>
  <si>
    <t>AI / ML, Data Sciences, Python, Big Data, SQL,HTML</t>
  </si>
  <si>
    <t>20-03-2003</t>
  </si>
  <si>
    <t>21211a6742@bvrit.ac.in</t>
  </si>
  <si>
    <t>nvishnuvardhan2003@gmail.com</t>
  </si>
  <si>
    <t>Gokani Raja Goud</t>
  </si>
  <si>
    <t>21211A6757</t>
  </si>
  <si>
    <t>SANGYAM</t>
  </si>
  <si>
    <t>ANUSHRAVYA</t>
  </si>
  <si>
    <t>SANGYAM ANUSHRAVYA</t>
  </si>
  <si>
    <t>25-06-2004</t>
  </si>
  <si>
    <t>21211A6757@bvrit.ac.in</t>
  </si>
  <si>
    <t>Anushravya2564@gmail.com</t>
  </si>
  <si>
    <t>3_13_42/108/c, surya Nagar colony, mallapur,nacharam,hyd</t>
  </si>
  <si>
    <t>KUNCHALA MADHAVA RAO</t>
  </si>
  <si>
    <t>21211a7202</t>
  </si>
  <si>
    <t>ALLU</t>
  </si>
  <si>
    <t>ABHINAYA</t>
  </si>
  <si>
    <t>ALLU ABHINAYA</t>
  </si>
  <si>
    <t>AI-DS</t>
  </si>
  <si>
    <t>21211a7202@bvrit.ac.in</t>
  </si>
  <si>
    <t>abhinaya8303@gmail.com</t>
  </si>
  <si>
    <t>H.NO:13-50/3,DIST:KAMAREDDY, MANDAL:KAMAREDDY, TELANGANA</t>
  </si>
  <si>
    <t>PADIGELA PREM SAGAR</t>
  </si>
  <si>
    <t>21211a7203</t>
  </si>
  <si>
    <t>VISHNU VARDHAN REDDY</t>
  </si>
  <si>
    <t>AMMIREDDY</t>
  </si>
  <si>
    <t>VISHNU VARDHAN REDDY AMMI REDDY</t>
  </si>
  <si>
    <t>16-03-2002</t>
  </si>
  <si>
    <t>21211a7203@bvrit.ac.in</t>
  </si>
  <si>
    <t>vr1404681@gmail.com</t>
  </si>
  <si>
    <t>Dacharam, gajwel, siddipet</t>
  </si>
  <si>
    <t>Gottipati Rambabu</t>
  </si>
  <si>
    <t>21211a7211</t>
  </si>
  <si>
    <t>ANU</t>
  </si>
  <si>
    <t>VAMSHITHA</t>
  </si>
  <si>
    <t>ANUVAMSHITHA</t>
  </si>
  <si>
    <t>21211a7211@bvrit.ac.in</t>
  </si>
  <si>
    <t>anuvamshitha@gmail.com</t>
  </si>
  <si>
    <t>Mallampally, palakurthy,warangal</t>
  </si>
  <si>
    <t>GUGULOTH VEERANNA</t>
  </si>
  <si>
    <t>21211A7220</t>
  </si>
  <si>
    <t>AKSHAY</t>
  </si>
  <si>
    <t>GANDE AKSHAY</t>
  </si>
  <si>
    <t>19-01-2004</t>
  </si>
  <si>
    <t>21211A7220@bvrit.ac.in</t>
  </si>
  <si>
    <t>gandheakshay12345@gmail.com</t>
  </si>
  <si>
    <t>Accenture ASE &amp; TECH MAHINDRA &amp; LTI MINDTREE &amp; INFOSYS1-SE</t>
  </si>
  <si>
    <t>C-30, DubbaThanda, kommulavancha, Narsimhulapeta, Warangal, Telangana,506324</t>
  </si>
  <si>
    <t>Jatoth venkanna</t>
  </si>
  <si>
    <t>21211a7229</t>
  </si>
  <si>
    <t>KONERU</t>
  </si>
  <si>
    <t>KONERU SAI TEJA</t>
  </si>
  <si>
    <t>AI / ML, Data Sciences, IoT, Python</t>
  </si>
  <si>
    <t>21211a7229@bvrit.ac.in</t>
  </si>
  <si>
    <t>teja.koneru73@gmail.com</t>
  </si>
  <si>
    <t>Teja colony,isnapur</t>
  </si>
  <si>
    <t>Rajanala venkat jagan mohan</t>
  </si>
  <si>
    <t>21211a7230</t>
  </si>
  <si>
    <t>SAI PRAJVAL</t>
  </si>
  <si>
    <t>KOUCHIKA</t>
  </si>
  <si>
    <t>KOUCHIKA SAI PRAJVAL</t>
  </si>
  <si>
    <t>Data Sciences, Python, AI</t>
  </si>
  <si>
    <t>28-06-2004</t>
  </si>
  <si>
    <t>21211a7230@bvrit.ac.in</t>
  </si>
  <si>
    <t>prajvalpraju24@gmail.com</t>
  </si>
  <si>
    <t>H NO 5-78,
 PEDDAPENDYAL,
 DHARMASAGAR,
 HANAMKONDA,
 TELANGANA,
 506001</t>
  </si>
  <si>
    <t>THOTA SRINIVAS</t>
  </si>
  <si>
    <t>21211A7232</t>
  </si>
  <si>
    <t>KUMARASWAMY</t>
  </si>
  <si>
    <t>INTI</t>
  </si>
  <si>
    <t>KUMARASWAMY INTI</t>
  </si>
  <si>
    <t>AI / ML, Data Sciences, IoT, Python, Cloud, Big Data, Extended Reality (AR / VR)</t>
  </si>
  <si>
    <t>21211a7232@bvrit.ac.in</t>
  </si>
  <si>
    <t>kumaraswamy.inti@gmail.com</t>
  </si>
  <si>
    <t>4-187,B.Gangaram,sathupalli mandal,Bethupalli,Khammam district, Telangana - 507303</t>
  </si>
  <si>
    <t>VANKAYALA VARA PRASAD</t>
  </si>
  <si>
    <t>21211A7234</t>
  </si>
  <si>
    <t>VIJAY KUMAR REDDY</t>
  </si>
  <si>
    <t>MOGULLA</t>
  </si>
  <si>
    <t>VIJAY KUMAR REDDY MOGULLA</t>
  </si>
  <si>
    <t>21211a7234@bvrit.ac.in</t>
  </si>
  <si>
    <t>vijay351910@gmail.com</t>
  </si>
  <si>
    <t>Accenture ASE &amp; RNTBCI &amp; INFOSYS1-SE</t>
  </si>
  <si>
    <t>7-7-45, KUMARGALLY, BEHIND DELHIWALA SWEET HOME, NIZAMABAD</t>
  </si>
  <si>
    <t>BOJINI VINAY KUMAR</t>
  </si>
  <si>
    <t>21211A7239</t>
  </si>
  <si>
    <t>MARTHALA</t>
  </si>
  <si>
    <t>MARTHALA HARSHAVARDHAN REDDY</t>
  </si>
  <si>
    <t>AI / ML, Data Sciences, Cyber Security, IoT, Python, Cloud, Big Data, Mobile Applications, Robotics,Game development</t>
  </si>
  <si>
    <t>14-03-2003</t>
  </si>
  <si>
    <t>21211A7239@bvrit.ac.in</t>
  </si>
  <si>
    <t>harshareddym999@gmail.com</t>
  </si>
  <si>
    <t>PLOT NO.1628,FLAT NO.G2,NIKHILA NILAYAM,APROOPA TOWN SHIP,PRAGATHI NAGAR, KUKATPALLY, HYDERABAD,MEDCHAL MALKAJGIRI,TELANGANA-500090</t>
  </si>
  <si>
    <t>BORIGE ANANTARAO</t>
  </si>
  <si>
    <t>21211A7246</t>
  </si>
  <si>
    <t>PANUGANTI</t>
  </si>
  <si>
    <t>JESHWANTH</t>
  </si>
  <si>
    <t>PANUGANTI JESHWANTH</t>
  </si>
  <si>
    <t>21211a7246@bvrit.ac.in</t>
  </si>
  <si>
    <t>ruchilucky.sripada@gmail.com</t>
  </si>
  <si>
    <t>Rayana apartment,Chintal,Hyderabad</t>
  </si>
  <si>
    <t>GUDEPU SRINIVAS</t>
  </si>
  <si>
    <t>5-478, S R Naik nagar, Jeedimetla, hyderabad-500055</t>
  </si>
  <si>
    <t>Kota Satyanarayana</t>
  </si>
  <si>
    <t>22215a0514</t>
  </si>
  <si>
    <t>VERTEX PLEASANT B2 BLOCK, FLAT NO 308,  BRUNDAVAN COLONY,  NIZAMPET ROAD,  HYDERNAGAR,HYDERABAD</t>
  </si>
  <si>
    <t>NULU VENKATA SUBBA RAO</t>
  </si>
  <si>
    <t>22215a0520</t>
  </si>
  <si>
    <t>GOWTHAMNAGAR,PATANCHERU</t>
  </si>
  <si>
    <t>SANGYAM KRISHNA</t>
  </si>
  <si>
    <t>22215a0531</t>
  </si>
  <si>
    <t>H no-10-77/64, Kakatiya Nagar colony,pothireddypally, sangareddy</t>
  </si>
  <si>
    <t>Allu madhu sudhan reddy</t>
  </si>
  <si>
    <t>22215a0532</t>
  </si>
  <si>
    <t>Chintal</t>
  </si>
  <si>
    <t>Narsimha Reddy</t>
  </si>
  <si>
    <t>22215A1202</t>
  </si>
  <si>
    <t>Khammamettu</t>
  </si>
  <si>
    <t>Gayathri</t>
  </si>
  <si>
    <t>Khammamettu Gayathri</t>
  </si>
  <si>
    <t>22-05-2003</t>
  </si>
  <si>
    <t>22215A1202@bvrit.ac.in</t>
  </si>
  <si>
    <t>gayathrikhammamettu@gmail.com</t>
  </si>
  <si>
    <t>Gajularamaram, Balaji layout, pristine place, Hyderabad, Telangana</t>
  </si>
  <si>
    <t>C.V.G.MURALI KRISHNA</t>
  </si>
  <si>
    <t>22215a1207</t>
  </si>
  <si>
    <t>SAIKUMAR</t>
  </si>
  <si>
    <t>PANJA</t>
  </si>
  <si>
    <t>PANJA.SAIKUMAR</t>
  </si>
  <si>
    <t>Python,</t>
  </si>
  <si>
    <t>22215a1207@bvrit.ac.in</t>
  </si>
  <si>
    <t>saikumarpanja476@gmail.com</t>
  </si>
  <si>
    <t>Subhash Gande</t>
  </si>
  <si>
    <t>22215a1210</t>
  </si>
  <si>
    <t>SUBEDAR</t>
  </si>
  <si>
    <t>KUMAR SRIKANTA</t>
  </si>
  <si>
    <t>SUBEDAR KUMAR SRIKANTA</t>
  </si>
  <si>
    <t>Cyber Security, IoT, Python, Cloud, Extended Reality (AR / VR), Web Development</t>
  </si>
  <si>
    <t>22215a1210@bvrit.ac.in</t>
  </si>
  <si>
    <t>subedarsrikanta123@gmail.com</t>
  </si>
  <si>
    <t>Villa 191, Hill County, Bachupalle, Hyderabad, Telangana, 500090</t>
  </si>
  <si>
    <t>Koneru Soma Sekhara Prasad</t>
  </si>
  <si>
    <t>22215A1212</t>
  </si>
  <si>
    <t>YELURI</t>
  </si>
  <si>
    <t>VAMSHIDHAR REDDY</t>
  </si>
  <si>
    <t>YELURI VAMSHIDHAR REDDY</t>
  </si>
  <si>
    <t>AI / ML, Block Chain, Python, Cloud, Mobile Applications, WEB DEVELOPMENT</t>
  </si>
  <si>
    <t>16-06-2002</t>
  </si>
  <si>
    <t>22215a1212@bvrit.ac.in</t>
  </si>
  <si>
    <t>vamshiyeluri143@gmail.com</t>
  </si>
  <si>
    <t>CANTILEVER</t>
  </si>
  <si>
    <t>7-82/6, Arya Nagar, Nizambad, Telangana</t>
  </si>
  <si>
    <t>KOUCHIKA DEVANAND</t>
  </si>
  <si>
    <t>22215A6604</t>
  </si>
  <si>
    <t>SRI VAISHNAVI</t>
  </si>
  <si>
    <t>YAVAPUR</t>
  </si>
  <si>
    <t>YAVAPUR SRI VAISHNAVI</t>
  </si>
  <si>
    <t>AI / ML, Cyber Security, Python, Cloud, Mobile Applications</t>
  </si>
  <si>
    <t>17-01-2004</t>
  </si>
  <si>
    <t>22215a6604@bvrit.ac.in</t>
  </si>
  <si>
    <t>srivaishnaviyavapuram045@gmail.com</t>
  </si>
  <si>
    <t>Flat No 402,4th Floor, Krishna Residency    Mig 567-569 and 586-588, Phase 2     Near Saraswathi Sisu Mandir, Road No 1     Kukatpally    Medchal-malkajgiri Telangana - 500072</t>
  </si>
  <si>
    <t>INTI VENKATA NARASIMHARAO</t>
  </si>
  <si>
    <t>22215a6605</t>
  </si>
  <si>
    <t>KALLURI</t>
  </si>
  <si>
    <t>TEJASRI</t>
  </si>
  <si>
    <t>KALLURI TEJASRI</t>
  </si>
  <si>
    <t>18-05-2004</t>
  </si>
  <si>
    <t>22215a6605@bvrit.ac.in</t>
  </si>
  <si>
    <t>kalluritejasri68@gmail.com</t>
  </si>
  <si>
    <t>plot no:404,SVS Swathi residency , road no:4,kranthi nagar colony, opp vijetha supermarket ,bachupally-500090</t>
  </si>
  <si>
    <t>MOGULLA SATHYANARAYANA REDDY</t>
  </si>
  <si>
    <t>22215A6702</t>
  </si>
  <si>
    <t>ANJALI</t>
  </si>
  <si>
    <t>GUDA</t>
  </si>
  <si>
    <t>GUDA ANJALI</t>
  </si>
  <si>
    <t>Python, Cloud, Mobile Applications</t>
  </si>
  <si>
    <t>25-05-2003</t>
  </si>
  <si>
    <t>22215a6702@bvrit.ac.in</t>
  </si>
  <si>
    <t>anjaliguda46@gmail.com</t>
  </si>
  <si>
    <t>2-98/1, Gudimalkapuram, Chintalapalem, Suryapet, Telangana,508246.</t>
  </si>
  <si>
    <t>MARTHALA RAJENDRA REDDY</t>
  </si>
  <si>
    <t>22215a6706</t>
  </si>
  <si>
    <t>PATHI</t>
  </si>
  <si>
    <t>SIDDU</t>
  </si>
  <si>
    <t>PATHI SIDDU</t>
  </si>
  <si>
    <t>AI / ML, Data Sciences, Cyber Security, Python, Cloud, Big Data, Mobile Applications, Java,C</t>
  </si>
  <si>
    <t>22215a6706@bvrit.ac.in</t>
  </si>
  <si>
    <t>pathisiddu11@gmail.com</t>
  </si>
  <si>
    <t>3-11,Abbapur , Mulugu -506343</t>
  </si>
  <si>
    <t>PANUGANTI SADAKAR</t>
  </si>
  <si>
    <t>22215a7201</t>
  </si>
  <si>
    <t>RENDLA</t>
  </si>
  <si>
    <t>RENDLA ABHISHEK</t>
  </si>
  <si>
    <t>AI / ML, Data Sciences, Cyber Security, Python, Cloud, Big Data, Mobile Applications, java ,C</t>
  </si>
  <si>
    <t>22215a7201@bvrit.ac.in</t>
  </si>
  <si>
    <t>abhishekrendla@gmail.com</t>
  </si>
  <si>
    <t>Jntuh kukatpally</t>
  </si>
  <si>
    <t>K Srinivas chary</t>
  </si>
  <si>
    <t>H/no-5-95, Gandhi chowk,Nizamapet ,
 Gandhi chowk,Nizamapet ,</t>
  </si>
  <si>
    <t>Panja.Saikumar</t>
  </si>
  <si>
    <t>7-117/3, tailors colony , ameenpur , sangareddy</t>
  </si>
  <si>
    <t>Subedar Shekar</t>
  </si>
  <si>
    <t>HNO:3-8 VILL:THIMMAREDDYPALLY MDL:KONDAPAK DIST:SIDDIPET</t>
  </si>
  <si>
    <t>YELURI RAMREDDY</t>
  </si>
  <si>
    <t>H-no:- 13-109,Sainagar colony Toopran,medak,Telangana</t>
  </si>
  <si>
    <t>Yavapuram Ramulu goud</t>
  </si>
  <si>
    <t>YEDULLAPUR (V),SHIVAMPET (M),MEDAK(DIST)</t>
  </si>
  <si>
    <t>KALLURI SRINIVAS</t>
  </si>
  <si>
    <t>Vill) manepally, Mdl) yeldurthy , dist) medak</t>
  </si>
  <si>
    <t>Guda mallesham</t>
  </si>
  <si>
    <t>1-1-183/8, J.j.nagar near navodaya school, suryapet</t>
  </si>
  <si>
    <t>pathi Narsaiah</t>
  </si>
  <si>
    <t>12-84, firangigadda, wardhannapet, warangal (rural)</t>
  </si>
  <si>
    <t>MANGAMMA RENDLA</t>
  </si>
  <si>
    <t>User ID</t>
  </si>
  <si>
    <t>Email</t>
  </si>
  <si>
    <t>ID No.</t>
  </si>
  <si>
    <t>Batch Year</t>
  </si>
  <si>
    <t>Batch</t>
  </si>
  <si>
    <t>Assessment Name</t>
  </si>
  <si>
    <t>Attempt ID</t>
  </si>
  <si>
    <t>Status</t>
  </si>
  <si>
    <t>Time Spent</t>
  </si>
  <si>
    <t>Ques Count</t>
  </si>
  <si>
    <t>Attempted Ques</t>
  </si>
  <si>
    <t>Positive</t>
  </si>
  <si>
    <t>Negative</t>
  </si>
  <si>
    <t>Total</t>
  </si>
  <si>
    <t>Max Marks</t>
  </si>
  <si>
    <t>Percentage</t>
  </si>
  <si>
    <t>Qualified</t>
  </si>
  <si>
    <t>Accuracy</t>
  </si>
  <si>
    <t>Tab Switches</t>
  </si>
  <si>
    <t>Attempt On</t>
  </si>
  <si>
    <t>lysrnp04</t>
  </si>
  <si>
    <t>BEGARI SUSHEEL KUMAR</t>
  </si>
  <si>
    <t>21211a7205@bvrit.ac.in</t>
  </si>
  <si>
    <t>21211A7205</t>
  </si>
  <si>
    <t>AI&amp;DS</t>
  </si>
  <si>
    <t>Screening Test-01</t>
  </si>
  <si>
    <t>12693f50-0e93-465e-8a75-c18eb7e54098</t>
  </si>
  <si>
    <t>COMPLETED</t>
  </si>
  <si>
    <t>1 hour, 2 Mins, 32 Sec</t>
  </si>
  <si>
    <t>NOT QUALIFIED</t>
  </si>
  <si>
    <t>lysrnp2t</t>
  </si>
  <si>
    <t>KOUSHIK BHUKYA</t>
  </si>
  <si>
    <t>21211a7206@bvrit.ac.in</t>
  </si>
  <si>
    <t>21211a7206</t>
  </si>
  <si>
    <t>74e43f2f-dfbf-4e35-ae13-46752691cff4</t>
  </si>
  <si>
    <t>21 Mins, 27 Sec</t>
  </si>
  <si>
    <t>lysrnpcn</t>
  </si>
  <si>
    <t>CHENNAKESHWAR BACHUGUDEM</t>
  </si>
  <si>
    <t>21211a7209@bvrit.ac.in</t>
  </si>
  <si>
    <t>21211A7209</t>
  </si>
  <si>
    <t>414f4567-ee49-4a57-8db9-986df3ef74ab</t>
  </si>
  <si>
    <t>37 Mins, 31 Sec</t>
  </si>
  <si>
    <t>lysrnpfw</t>
  </si>
  <si>
    <t>CH RAHUL</t>
  </si>
  <si>
    <t>21211a7210@bvrit.ac.in</t>
  </si>
  <si>
    <t>21211a7210</t>
  </si>
  <si>
    <t>6eddc86f-2e52-49b5-9905-21d5d589ce83</t>
  </si>
  <si>
    <t>1 hour, 23 Mins, 46 Sec</t>
  </si>
  <si>
    <t>lysrnppi</t>
  </si>
  <si>
    <t>DAKURI HARSHAVARDHAN REDDY</t>
  </si>
  <si>
    <t>21211a7213@bvrit.ac.in</t>
  </si>
  <si>
    <t>21211A7213</t>
  </si>
  <si>
    <t>8aee10e8-2848-420f-92b2-80a2f7ee96a5</t>
  </si>
  <si>
    <t>7 Mins, 26 Sec</t>
  </si>
  <si>
    <t>lysrnqq2</t>
  </si>
  <si>
    <t>KATRAVATH RAHUL</t>
  </si>
  <si>
    <t>21211a7225@bvrit.ac.in</t>
  </si>
  <si>
    <t>21211a7225</t>
  </si>
  <si>
    <t>ffcb32df-4c92-4eef-9c42-f4fe07cc6cd2</t>
  </si>
  <si>
    <t>32 Mins, 54 Sec</t>
  </si>
  <si>
    <t>lysrnr53</t>
  </si>
  <si>
    <t>SAI PRAJVAL KOUCHIKA</t>
  </si>
  <si>
    <t>d3daeabe-5c46-4fc5-a3b8-6bc3a4e5d6f7</t>
  </si>
  <si>
    <t>13 Mins, 18 Sec</t>
  </si>
  <si>
    <t>lysrnre7</t>
  </si>
  <si>
    <t>ROHITH MUTHYALA</t>
  </si>
  <si>
    <t>21211a7233@bvrit.ac.in</t>
  </si>
  <si>
    <t>21211a7233</t>
  </si>
  <si>
    <t>b3caa878-e742-4b66-bde3-136aa052514d</t>
  </si>
  <si>
    <t>1 hour, 38 Mins, 54 Sec</t>
  </si>
  <si>
    <t>lysrnrnx</t>
  </si>
  <si>
    <t>MANI DEEPA MADALA</t>
  </si>
  <si>
    <t>21211a7236@bvrit.ac.in</t>
  </si>
  <si>
    <t>21211a7236</t>
  </si>
  <si>
    <t>da14ef35-851d-4239-bc13-598b3c90c861</t>
  </si>
  <si>
    <t>1 hour, 5 Mins, 28 Sec</t>
  </si>
  <si>
    <t>lysrnrze</t>
  </si>
  <si>
    <t>MD SAJJAD</t>
  </si>
  <si>
    <t>21211a7240@bvrit.ac.in</t>
  </si>
  <si>
    <t>21211a7240</t>
  </si>
  <si>
    <t>8ed1f4c7-f206-425f-87b7-3e8b15087a34</t>
  </si>
  <si>
    <t>45 Mins, 44 Sec</t>
  </si>
  <si>
    <t>lysrnsbx</t>
  </si>
  <si>
    <t>MUDDA MERUN KUMAR</t>
  </si>
  <si>
    <t>21211a7244@bvrit.ac.in</t>
  </si>
  <si>
    <t>21211A7244</t>
  </si>
  <si>
    <t>de38f935-7886-4ea8-a266-a8031e4f3116</t>
  </si>
  <si>
    <t>1 hour, 46 Mins, 52 Sec</t>
  </si>
  <si>
    <t>lysrnssk</t>
  </si>
  <si>
    <t>P.ASHWINI ASHWINI</t>
  </si>
  <si>
    <t>21211a7249@bvrit.ac.in</t>
  </si>
  <si>
    <t>21211a7249</t>
  </si>
  <si>
    <t>5e0d3ab6-edf8-4236-b854-dd98b07945e1</t>
  </si>
  <si>
    <t>2 hours, 22 Mins, 32 Sec</t>
  </si>
  <si>
    <t>lysrntdt</t>
  </si>
  <si>
    <t>THATIPALLY SREEJA</t>
  </si>
  <si>
    <t>21211a7256@bvrit.ac.in</t>
  </si>
  <si>
    <t>21211A7256</t>
  </si>
  <si>
    <t>600da32d-2ce2-45ef-addf-e373fd847f4b</t>
  </si>
  <si>
    <t>1 hour, 9 Mins, 32 Sec</t>
  </si>
  <si>
    <t>lysrntk5</t>
  </si>
  <si>
    <t>SOWMYA SANJANA TUVVARA</t>
  </si>
  <si>
    <t>21211a7258@bvrit.ac.in</t>
  </si>
  <si>
    <t>21211a7258</t>
  </si>
  <si>
    <t>282aa9ea-9bb0-40dc-b180-67ac48fdbc00</t>
  </si>
  <si>
    <t>49 Mins, 42 Sec</t>
  </si>
  <si>
    <t>lysrntms</t>
  </si>
  <si>
    <t>U RAKSHITHA</t>
  </si>
  <si>
    <t>21211a7259@bvrit.ac.in</t>
  </si>
  <si>
    <t>21211A7259</t>
  </si>
  <si>
    <t>3edfb50c-53c5-431f-a1e6-faca99b692ae</t>
  </si>
  <si>
    <t>56 Mins, 42 Sec</t>
  </si>
  <si>
    <t>lysrobbn</t>
  </si>
  <si>
    <t>AKSHAY SAI</t>
  </si>
  <si>
    <t>21211a1101@bvrit.ac.in</t>
  </si>
  <si>
    <t>21211A1101</t>
  </si>
  <si>
    <t>BME</t>
  </si>
  <si>
    <t>64016fd8-0b17-443f-a8ce-a70da1254576</t>
  </si>
  <si>
    <t>54 Mins, 36 Sec</t>
  </si>
  <si>
    <t>lysroc1v</t>
  </si>
  <si>
    <t>GOWRI SHANKER</t>
  </si>
  <si>
    <t>21211a1110@bvrit.ac.in</t>
  </si>
  <si>
    <t>21211A1110</t>
  </si>
  <si>
    <t>faba3a19-f0cd-4824-96dd-9d0787c7d644</t>
  </si>
  <si>
    <t>58 Mins, 48 Sec</t>
  </si>
  <si>
    <t>lysrockr</t>
  </si>
  <si>
    <t>RAJ MANAS</t>
  </si>
  <si>
    <t>21211a1116@bvrit.ac.in</t>
  </si>
  <si>
    <t>21211A1116</t>
  </si>
  <si>
    <t>b0a48aa1-4cdc-4b9c-92f7-003a56c8d4a2</t>
  </si>
  <si>
    <t>55 Mins, 46 Sec</t>
  </si>
  <si>
    <t>lysrocoi</t>
  </si>
  <si>
    <t>VAISHNAVI REDDY</t>
  </si>
  <si>
    <t>21211a1117@bvrit.ac.in</t>
  </si>
  <si>
    <t>21211A1117</t>
  </si>
  <si>
    <t>96cc9ff3-bb85-466a-8226-cc5f3c213103</t>
  </si>
  <si>
    <t>IN PROGRESS</t>
  </si>
  <si>
    <t>0 Sec</t>
  </si>
  <si>
    <t>lysrocrp</t>
  </si>
  <si>
    <t>LAKSHMI SRINIKHITHA PONNALURI</t>
  </si>
  <si>
    <t>21211a1118@bvrit.ac.in</t>
  </si>
  <si>
    <t>21211A1118</t>
  </si>
  <si>
    <t>ceef0c24-f74b-4be6-8107-5bf213fe2169</t>
  </si>
  <si>
    <t>50 Mins, 38 Sec</t>
  </si>
  <si>
    <t>lysrocuu</t>
  </si>
  <si>
    <t>SEETURI VARSHINI</t>
  </si>
  <si>
    <t>21211a1119@bvrit.ac.in</t>
  </si>
  <si>
    <t>21211a1119</t>
  </si>
  <si>
    <t>229af4ed-8a0a-4383-bfc5-8f9148e1cbae</t>
  </si>
  <si>
    <t>19 Mins, 50 Sec</t>
  </si>
  <si>
    <t>lysrod7n</t>
  </si>
  <si>
    <t>LINGALA GNANA SAI ASHISH</t>
  </si>
  <si>
    <t>22215a1102@bvrit.ac.in</t>
  </si>
  <si>
    <t>22215A1102</t>
  </si>
  <si>
    <t>39898d0a-658e-4cc1-9a3a-2e246ade7789</t>
  </si>
  <si>
    <t>9 Mins, 47 Sec</t>
  </si>
  <si>
    <t>lysrodde</t>
  </si>
  <si>
    <t>PATHRI HARINI</t>
  </si>
  <si>
    <t>22215a1104@bvrit.ac.in</t>
  </si>
  <si>
    <t>22215a1104</t>
  </si>
  <si>
    <t>eec97a34-306f-466b-a633-3388fde67077</t>
  </si>
  <si>
    <t>36 Mins, 38 Sec</t>
  </si>
  <si>
    <t>lysrvtaj</t>
  </si>
  <si>
    <t>SHALINI DABKI</t>
  </si>
  <si>
    <t>21211a6610@bvrit.ac.in</t>
  </si>
  <si>
    <t>21211A6610</t>
  </si>
  <si>
    <t>CAM</t>
  </si>
  <si>
    <t>21dfff16-f223-4cbc-99f3-eb785ef4a902</t>
  </si>
  <si>
    <t>59 Mins, 55 Sec</t>
  </si>
  <si>
    <t>lysrvtyf</t>
  </si>
  <si>
    <t>b0db1c7a-af0f-4230-a149-9b8169c55b5a</t>
  </si>
  <si>
    <t>9 Mins, 19 Sec</t>
  </si>
  <si>
    <t>lysrvuj5</t>
  </si>
  <si>
    <t>MURALIDHAR KONDAVEETI</t>
  </si>
  <si>
    <t>21211a6625@bvrit.ac.in</t>
  </si>
  <si>
    <t>21211a6625</t>
  </si>
  <si>
    <t>1e6451db-d8d4-45d8-82b7-73f5d3e648be</t>
  </si>
  <si>
    <t>51 Mins, 47 Sec</t>
  </si>
  <si>
    <t>lysrvvbq</t>
  </si>
  <si>
    <t>NADUKUDA DEEPIKA</t>
  </si>
  <si>
    <t>21211a6635@bvrit.ac.in</t>
  </si>
  <si>
    <t>21211a6635</t>
  </si>
  <si>
    <t>2a4598d9-f5f3-479d-8928-4723620b9c06</t>
  </si>
  <si>
    <t>1 hour, 29 Mins, 36 Sec</t>
  </si>
  <si>
    <t>QUALIFIED</t>
  </si>
  <si>
    <t>lysrvvhl</t>
  </si>
  <si>
    <t>AVINASH PALADUGULA</t>
  </si>
  <si>
    <t>21211a6637@bvrit.ac.in</t>
  </si>
  <si>
    <t>21211A6637</t>
  </si>
  <si>
    <t>8dd5d2fe-7e56-4ea2-a4df-b88c3e58a819</t>
  </si>
  <si>
    <t>41 Mins, 3 Sec</t>
  </si>
  <si>
    <t>lysrvvub</t>
  </si>
  <si>
    <t>POSANGARI LOHITH</t>
  </si>
  <si>
    <t>21211a6641@bvrit.ac.in</t>
  </si>
  <si>
    <t>21211a6641</t>
  </si>
  <si>
    <t>7ae900ed-d0ef-4fe6-b7ec-7312f8cf81f1</t>
  </si>
  <si>
    <t>57 Mins, 52 Sec</t>
  </si>
  <si>
    <t>lysrvxcf</t>
  </si>
  <si>
    <t>V JATIN VARMA</t>
  </si>
  <si>
    <t>21211a6659@bvrit.ac.in</t>
  </si>
  <si>
    <t>21211a6659</t>
  </si>
  <si>
    <t>dd933bad-ce10-4afc-a45d-eb8b37d2e59b</t>
  </si>
  <si>
    <t>49 Mins, 14 Sec</t>
  </si>
  <si>
    <t>lysrvxp3</t>
  </si>
  <si>
    <t>VIBHAS ARIGA</t>
  </si>
  <si>
    <t>21211a6663@bvrit.ac.in</t>
  </si>
  <si>
    <t>21211A6663</t>
  </si>
  <si>
    <t>ddab004c-3ab9-4d05-b8d6-b118dafe714a</t>
  </si>
  <si>
    <t>51 Mins, 34 Sec</t>
  </si>
  <si>
    <t>lysrvxyq</t>
  </si>
  <si>
    <t>AKHILA NIMMALA</t>
  </si>
  <si>
    <t>22215a6601@bvrit.ac.in</t>
  </si>
  <si>
    <t>22215a6601</t>
  </si>
  <si>
    <t>8fa99344-ba9f-46c2-bbe3-eb9caf368877</t>
  </si>
  <si>
    <t>58 Mins, 5 Sec</t>
  </si>
  <si>
    <t>lysrvy1f</t>
  </si>
  <si>
    <t>MADHURAKAVI MANJUNATH</t>
  </si>
  <si>
    <t>22215a6602@bvrit.ac.in</t>
  </si>
  <si>
    <t>22215a6602</t>
  </si>
  <si>
    <t>3da968c7-9b6b-453b-aebf-3d74d43240b9</t>
  </si>
  <si>
    <t>14 Mins, 27 Sec</t>
  </si>
  <si>
    <t>lysrvy43</t>
  </si>
  <si>
    <t>GURAJALA SAI KIRAN</t>
  </si>
  <si>
    <t>22215a6603@bvrit.ac.in</t>
  </si>
  <si>
    <t>22215a6603</t>
  </si>
  <si>
    <t>d65b41ae-9fbc-463d-aa70-b45b454fbf22</t>
  </si>
  <si>
    <t>1 hour, 43 Mins, 21 Sec</t>
  </si>
  <si>
    <t>lysrvy6s</t>
  </si>
  <si>
    <t>SRI VAISHNAVI YAVAPUR</t>
  </si>
  <si>
    <t>00b01afe-caee-4b89-9b8a-c01caba5a41a</t>
  </si>
  <si>
    <t>10 Mins, 30 Sec</t>
  </si>
  <si>
    <t>lysrp7ut</t>
  </si>
  <si>
    <t>BOJJA RISHAGNESH</t>
  </si>
  <si>
    <t>21211a0106@bvrit.ac.in</t>
  </si>
  <si>
    <t>21211a0106</t>
  </si>
  <si>
    <t>CIVIL</t>
  </si>
  <si>
    <t>647eb20d-eec8-4910-9e6a-7688ba692eb9</t>
  </si>
  <si>
    <t>2 Mins, 48 Sec</t>
  </si>
  <si>
    <t>lysrp9ls</t>
  </si>
  <si>
    <t>MALOTH DINESH</t>
  </si>
  <si>
    <t>21211a0127@bvrit.ac.in</t>
  </si>
  <si>
    <t>21211A0127</t>
  </si>
  <si>
    <t>9a545bb0-74ae-4643-beec-15b1fd9b2694</t>
  </si>
  <si>
    <t>lysrpbqd</t>
  </si>
  <si>
    <t>KOTHAPALLY JHANSI</t>
  </si>
  <si>
    <t>22215a0103@bvrit.ac.in</t>
  </si>
  <si>
    <t>22215a0103</t>
  </si>
  <si>
    <t>89b90183-5a4a-4ae1-ab2a-8da8956de7b7</t>
  </si>
  <si>
    <t>42 Mins</t>
  </si>
  <si>
    <t>lysrpc2o</t>
  </si>
  <si>
    <t>KAKKIRENI NEHA</t>
  </si>
  <si>
    <t>22215a0107@bvrit.ac.in</t>
  </si>
  <si>
    <t>22215a0107</t>
  </si>
  <si>
    <t>802c210d-c703-43ee-8f1d-fe6e62c77777</t>
  </si>
  <si>
    <t>46 Mins, 11 Sec</t>
  </si>
  <si>
    <t>lysrpcv7</t>
  </si>
  <si>
    <t>Bhooma Siddartha</t>
  </si>
  <si>
    <t>22215a0116@bvrit.ac.in</t>
  </si>
  <si>
    <t>22215a0116</t>
  </si>
  <si>
    <t>537691a4-05fc-48bb-9303-3fd70c913bb0</t>
  </si>
  <si>
    <t>7 Mins, 42 Sec</t>
  </si>
  <si>
    <t>lysrq7g3</t>
  </si>
  <si>
    <t>GOURAV K</t>
  </si>
  <si>
    <t>21211a05c6</t>
  </si>
  <si>
    <t>ccacea7d-0f21-4946-baf7-19ac78163271</t>
  </si>
  <si>
    <t>1 hour, 36 Mins, 50 Sec</t>
  </si>
  <si>
    <t>lysrq81t</t>
  </si>
  <si>
    <t>BHUPATHIRAJU KARTHIK VARMA</t>
  </si>
  <si>
    <t>21211a3208@bvrit.ac.in</t>
  </si>
  <si>
    <t>21211a3208</t>
  </si>
  <si>
    <t>aa9f6839-4bba-44e5-a51c-33cb2629ffb5</t>
  </si>
  <si>
    <t>31 Mins, 42 Sec</t>
  </si>
  <si>
    <t>lysrq8a4</t>
  </si>
  <si>
    <t>21211a3212@bvrit.ac.in</t>
  </si>
  <si>
    <t>737bafbc-e351-4783-913a-120b878cfb58</t>
  </si>
  <si>
    <t>1 hour, 23 Mins, 18 Sec</t>
  </si>
  <si>
    <t>lysrq8ff</t>
  </si>
  <si>
    <t>SAI NISHANTH D</t>
  </si>
  <si>
    <t>21211a3214@bvrit.ac.in</t>
  </si>
  <si>
    <t>21211a3214</t>
  </si>
  <si>
    <t>644508c7-0cd4-4a02-b2e6-5aee05d31824</t>
  </si>
  <si>
    <t>57 Mins, 24 Sec</t>
  </si>
  <si>
    <t>lysrq8qj</t>
  </si>
  <si>
    <t>GADDALA CHERISH CHANDRA</t>
  </si>
  <si>
    <t>21211a3218@bvrit.ac.in</t>
  </si>
  <si>
    <t>21211A3218</t>
  </si>
  <si>
    <t>fd302ed9-2d06-497d-b3c0-b5ff5fc25a85</t>
  </si>
  <si>
    <t>59 Mins, 44 Sec</t>
  </si>
  <si>
    <t>lysrq958</t>
  </si>
  <si>
    <t>GOWTHAMI ANANTHOJI</t>
  </si>
  <si>
    <t>21211a3223@bvrit.ac.in</t>
  </si>
  <si>
    <t>21211A3223</t>
  </si>
  <si>
    <t>cb52e6d4-37d3-447e-a61a-f3b5df0ff5b2</t>
  </si>
  <si>
    <t>1 hour, 17 Mins, 14 Sec</t>
  </si>
  <si>
    <t>lysrq98a</t>
  </si>
  <si>
    <t>JADAVATH KOWSHIK</t>
  </si>
  <si>
    <t>21211a3225@bvrit.ac.in</t>
  </si>
  <si>
    <t>21211a3225</t>
  </si>
  <si>
    <t>b568cf27-9c39-4422-ba88-95a09ccb5676</t>
  </si>
  <si>
    <t>9 Mins, 20 Sec</t>
  </si>
  <si>
    <t>lysrqack</t>
  </si>
  <si>
    <t>YASHWANTH TEJA MEDISETTY</t>
  </si>
  <si>
    <t>21211a3240@bvrit.ac.in</t>
  </si>
  <si>
    <t>21211A3240</t>
  </si>
  <si>
    <t>5fecf423-9541-4f5f-942e-68fcc32a0e7a</t>
  </si>
  <si>
    <t>1 hour, 34 Mins, 58 Sec</t>
  </si>
  <si>
    <t>lysrqaq9</t>
  </si>
  <si>
    <t>ROHAN NOMULA</t>
  </si>
  <si>
    <t>21211a3245@bvrit.ac.in</t>
  </si>
  <si>
    <t>21211A3245</t>
  </si>
  <si>
    <t>5d9882bd-a78f-49e0-8711-4d5ef951efc7</t>
  </si>
  <si>
    <t>1 hour, 16 Mins, 46 Sec</t>
  </si>
  <si>
    <t>lysrqbim</t>
  </si>
  <si>
    <t>SHESHUGARI NACHIKETHAN REDDY</t>
  </si>
  <si>
    <t>21211a3257@bvrit.ac.in</t>
  </si>
  <si>
    <t>21211a3257</t>
  </si>
  <si>
    <t>45111425-4aa3-41ac-b494-ec3fc0e7c840</t>
  </si>
  <si>
    <t>1 hour, 13 Mins, 44 Sec</t>
  </si>
  <si>
    <t>lysrqc5c</t>
  </si>
  <si>
    <t>VUYYALA SARAYU</t>
  </si>
  <si>
    <t>21211a3264@bvrit.ac.in</t>
  </si>
  <si>
    <t>21211A3264</t>
  </si>
  <si>
    <t>a6958fab-ccf0-4ea6-a9d0-b553fcf01fa4</t>
  </si>
  <si>
    <t>45 Mins, 30 Sec</t>
  </si>
  <si>
    <t>lysrqcl9</t>
  </si>
  <si>
    <t>Bhukya Nithin</t>
  </si>
  <si>
    <t>22215a3206@bvrit.ac.in</t>
  </si>
  <si>
    <t>22215a3206</t>
  </si>
  <si>
    <t>643fc36f-245d-4a0a-9fa8-88170a7ba5bc</t>
  </si>
  <si>
    <t>1 hour, 39 Mins, 50 Sec</t>
  </si>
  <si>
    <t>lysrqpot</t>
  </si>
  <si>
    <t>AKITI SHREYA</t>
  </si>
  <si>
    <t>21211a6702@bvrit.ac.in</t>
  </si>
  <si>
    <t>21211A6702</t>
  </si>
  <si>
    <t>af4e7758-6a4d-426e-8c8f-101ce558eb6c</t>
  </si>
  <si>
    <t>1 hour, 5 Mins, 46 Sec</t>
  </si>
  <si>
    <t>lysrqq5u</t>
  </si>
  <si>
    <t>BHUMANNAGARI BHARATH REDDY</t>
  </si>
  <si>
    <t>21211a6707@bvrit.ac.in</t>
  </si>
  <si>
    <t>21211A6707</t>
  </si>
  <si>
    <t>bc7c7ade-d118-4aad-aca4-5caf4a61f10c</t>
  </si>
  <si>
    <t>1 hour, 8 Mins, 49 Sec</t>
  </si>
  <si>
    <t>lysrqqfm</t>
  </si>
  <si>
    <t>e49774a8-8ebd-4b9b-8279-7f2901be0794</t>
  </si>
  <si>
    <t>1 hour, 52 Mins, 38 Sec</t>
  </si>
  <si>
    <t>lysrqqte</t>
  </si>
  <si>
    <t>CHOWDARI MANASA</t>
  </si>
  <si>
    <t>21211a6714@bvrit.ac.in</t>
  </si>
  <si>
    <t>21211a6714</t>
  </si>
  <si>
    <t>ca897782-7050-47af-9a5e-f8096b328f0d</t>
  </si>
  <si>
    <t>1 hour, 38 Mins, 42 Sec</t>
  </si>
  <si>
    <t>lysrqr79</t>
  </si>
  <si>
    <t>GANGARAPU SHREHARSHA</t>
  </si>
  <si>
    <t>21211a6718@bvrit.ac.in</t>
  </si>
  <si>
    <t>21211a6718</t>
  </si>
  <si>
    <t>9502aa1d-2a07-4d68-bbad-535dc5e24958</t>
  </si>
  <si>
    <t>1 hour, 4 Mins, 38 Sec</t>
  </si>
  <si>
    <t>lysrqral</t>
  </si>
  <si>
    <t>INDRA NIVAS REDDY</t>
  </si>
  <si>
    <t>21211a6719@bvrit.ac.in</t>
  </si>
  <si>
    <t>21211a6719</t>
  </si>
  <si>
    <t>45ccbafd-c271-440b-9c2a-f9cf31fd8c7d</t>
  </si>
  <si>
    <t>lysrqrdw</t>
  </si>
  <si>
    <t>SHARANDEEP GUDEPU</t>
  </si>
  <si>
    <t>df66b4a7-ca1f-498e-8dd5-7ace3c83acdb</t>
  </si>
  <si>
    <t>1 hour, 23 Mins, 59 Sec</t>
  </si>
  <si>
    <t>lysrqrhm</t>
  </si>
  <si>
    <t>MEGHANA REDDY</t>
  </si>
  <si>
    <t>21211a6721@bvrit.ac.in</t>
  </si>
  <si>
    <t>21211a6721</t>
  </si>
  <si>
    <t>10a5a262-d7ec-4e83-9638-5afeab200fce</t>
  </si>
  <si>
    <t>2 hours, 4 Mins, 39 Sec</t>
  </si>
  <si>
    <t>lysrqro1</t>
  </si>
  <si>
    <t>KAPARABOINA ROSHAN</t>
  </si>
  <si>
    <t>21211a6723@bvrit.ac.in</t>
  </si>
  <si>
    <t>21211A6723</t>
  </si>
  <si>
    <t>709ea9f5-cf9a-48e6-bb91-4bce869a14c1</t>
  </si>
  <si>
    <t>2 hours, 12 Mins, 16 Sec</t>
  </si>
  <si>
    <t>lysrqsre</t>
  </si>
  <si>
    <t>MANGALI NITHIN</t>
  </si>
  <si>
    <t>21211a6735@bvrit.ac.in</t>
  </si>
  <si>
    <t>21211a6735</t>
  </si>
  <si>
    <t>a4402215-1246-4888-9923-6513ff6c3570</t>
  </si>
  <si>
    <t>1 hour, 22 Mins, 21 Sec</t>
  </si>
  <si>
    <t>lysrqt0g</t>
  </si>
  <si>
    <t>METHUKU RISHIK</t>
  </si>
  <si>
    <t>21211a6738@bvrit.ac.in</t>
  </si>
  <si>
    <t>21211a6738</t>
  </si>
  <si>
    <t>e1d81f92-9533-4990-bc11-adf35bccc35a</t>
  </si>
  <si>
    <t>35 Mins</t>
  </si>
  <si>
    <t>lysrqu2h</t>
  </si>
  <si>
    <t>SNEHA RATHOD</t>
  </si>
  <si>
    <t>21211a6751@bvrit.ac.in</t>
  </si>
  <si>
    <t>21211A6751</t>
  </si>
  <si>
    <t>04fd0f70-8a8e-4458-8962-37aacf51159f</t>
  </si>
  <si>
    <t>14 Sec</t>
  </si>
  <si>
    <t>lysrqumu</t>
  </si>
  <si>
    <t>21211a6757@bvrit.ac.in</t>
  </si>
  <si>
    <t>1dde8ea0-6df9-4593-91ce-01fb3f6c68f1</t>
  </si>
  <si>
    <t>1 hour, 52 Mins, 10 Sec</t>
  </si>
  <si>
    <t>lysrquq3</t>
  </si>
  <si>
    <t>ANVITH REDDY SAVI REDDY</t>
  </si>
  <si>
    <t>21211a6758@bvrit.ac.in</t>
  </si>
  <si>
    <t>21211A6758</t>
  </si>
  <si>
    <t>9d57266a-c1b4-4c4e-ba0d-d3fc4d30dd68</t>
  </si>
  <si>
    <t>33 Mins, 50 Sec</t>
  </si>
  <si>
    <t>lysrqvgr</t>
  </si>
  <si>
    <t>ANJALI GUDA</t>
  </si>
  <si>
    <t>bf9152c7-7aa6-491d-badf-b575fd5e6030</t>
  </si>
  <si>
    <t>1 hour, 23 Mins, 17 Sec</t>
  </si>
  <si>
    <t>lysrqvjz</t>
  </si>
  <si>
    <t>KAMPE BABU</t>
  </si>
  <si>
    <t>22215a6703@bvrit.ac.in</t>
  </si>
  <si>
    <t>22215a6703</t>
  </si>
  <si>
    <t>453414dc-4914-40af-83d0-62b602820982</t>
  </si>
  <si>
    <t>1 hour, 38 Mins, 27 Sec</t>
  </si>
  <si>
    <t>lysrqvu7</t>
  </si>
  <si>
    <t>83f2ecef-dde0-49c6-b869-c46d805efa7a</t>
  </si>
  <si>
    <t>37 Mins, 34 Sec</t>
  </si>
  <si>
    <t>lysrr8y8</t>
  </si>
  <si>
    <t>SINDHUJA AJMEERA</t>
  </si>
  <si>
    <t>6b836618-9a3f-4450-a3f7-8a8b418e7d49</t>
  </si>
  <si>
    <t>1 hour, 40 Mins, 18 Sec</t>
  </si>
  <si>
    <t>lysrr91g</t>
  </si>
  <si>
    <t>62d7db99-9333-4833-b6cd-c12daa736fc4</t>
  </si>
  <si>
    <t>33 Mins, 8 Sec</t>
  </si>
  <si>
    <t>lysrr9en</t>
  </si>
  <si>
    <t>21211a0518@bvrit.ac.in</t>
  </si>
  <si>
    <t>a7a25294-3a52-4e0f-ae5c-4808f3d903ce</t>
  </si>
  <si>
    <t>1 hour, 50 Mins, 36 Sec</t>
  </si>
  <si>
    <t>lysrra1g</t>
  </si>
  <si>
    <t>2fed319f-78c2-4f42-a3cb-5872935a102b</t>
  </si>
  <si>
    <t>2 hours, 10 Sec</t>
  </si>
  <si>
    <t>lysrra85</t>
  </si>
  <si>
    <t>f6b03791-0dc9-4922-aa11-abd01b05db3b</t>
  </si>
  <si>
    <t>10 Mins, 16 Sec</t>
  </si>
  <si>
    <t>lysrrav9</t>
  </si>
  <si>
    <t>BETHI REDDY</t>
  </si>
  <si>
    <t>21211a0534@bvrit.ac.in</t>
  </si>
  <si>
    <t>21211a0534</t>
  </si>
  <si>
    <t>364470df-9b34-416d-81cf-ed6cfa8f19df</t>
  </si>
  <si>
    <t>1 hour, 14 Mins, 40 Sec</t>
  </si>
  <si>
    <t>lysrray9</t>
  </si>
  <si>
    <t>SASIKANTH BHIMIREDDY</t>
  </si>
  <si>
    <t>21211a0535</t>
  </si>
  <si>
    <t>b7dc4068-e821-4bb3-a8fc-b9af7bf4a044</t>
  </si>
  <si>
    <t>59 Mins, 30 Sec</t>
  </si>
  <si>
    <t>lysrrb4e</t>
  </si>
  <si>
    <t>6754a105-53e0-48df-b757-40b9e49a63bb</t>
  </si>
  <si>
    <t>15 Mins, 37 Sec</t>
  </si>
  <si>
    <t>lysrrb7l</t>
  </si>
  <si>
    <t>ARAVIND BOMMENA</t>
  </si>
  <si>
    <t>21211a0538</t>
  </si>
  <si>
    <t>a3474383-90bb-49ff-a8c0-24fb2395435a</t>
  </si>
  <si>
    <t>49 Mins</t>
  </si>
  <si>
    <t>lysrrbax</t>
  </si>
  <si>
    <t>BOMMISHETTY VAMSHI</t>
  </si>
  <si>
    <t>8b8fc7d6-649d-4fc1-b78e-4593baae4ccc</t>
  </si>
  <si>
    <t>2 hours, 5 Mins, 11 Sec</t>
  </si>
  <si>
    <t>lysrrbts</t>
  </si>
  <si>
    <t>21211a0545</t>
  </si>
  <si>
    <t>9568982f-e285-4d12-9269-7f21c12167fc</t>
  </si>
  <si>
    <t>26 Mins, 19 Sec</t>
  </si>
  <si>
    <t>lysrrc9k</t>
  </si>
  <si>
    <t>482ca782-38ae-4301-9fa3-585b1609fcf2</t>
  </si>
  <si>
    <t>16 Mins, 45 Sec</t>
  </si>
  <si>
    <t>lysrrclu</t>
  </si>
  <si>
    <t>VISHWA DHANUSH CH</t>
  </si>
  <si>
    <t>ba4a0fb8-32f5-425d-8fb5-84ee338a513f</t>
  </si>
  <si>
    <t>43 Mins, 52 Sec</t>
  </si>
  <si>
    <t>lysrrd61</t>
  </si>
  <si>
    <t>40ebda1f-af04-468e-a140-910b1b1e33b8</t>
  </si>
  <si>
    <t>1 hour, 3 Mins, 30 Sec</t>
  </si>
  <si>
    <t>lysrrdij</t>
  </si>
  <si>
    <t>7aa36e0e-d8ff-4f8d-ac40-2d72ab821263</t>
  </si>
  <si>
    <t>1 hour, 26 Mins, 6 Sec</t>
  </si>
  <si>
    <t>lysrrdl5</t>
  </si>
  <si>
    <t>KEERTHI PRADANYA DAKARAPU</t>
  </si>
  <si>
    <t>1c729a84-7b20-4f89-8806-c1999c4eb008</t>
  </si>
  <si>
    <t>38 Mins, 5 Sec</t>
  </si>
  <si>
    <t>lysrrrtk</t>
  </si>
  <si>
    <t>21211a0575</t>
  </si>
  <si>
    <t>cbe79661-bf7a-434a-bbac-0a108b118b71</t>
  </si>
  <si>
    <t>lysrrs2q</t>
  </si>
  <si>
    <t>E HARITHA</t>
  </si>
  <si>
    <t>7bc62edd-541c-49a5-bebd-4401677b4d9a</t>
  </si>
  <si>
    <t>43 Mins, 24 Sec</t>
  </si>
  <si>
    <t>lysrrspz</t>
  </si>
  <si>
    <t>21211a0586</t>
  </si>
  <si>
    <t>861e5920-4a74-4488-854a-f5d4799ccf9c</t>
  </si>
  <si>
    <t>1 hour, 54 Mins, 18 Sec</t>
  </si>
  <si>
    <t>lysrrstb</t>
  </si>
  <si>
    <t>e0dfd9ee-6b5b-4eb1-8c88-a6dbb0bb34db</t>
  </si>
  <si>
    <t>18 Mins, 53 Sec</t>
  </si>
  <si>
    <t>lysrruhm</t>
  </si>
  <si>
    <t>21211a05a6@bvrit.ac.in</t>
  </si>
  <si>
    <t>a47d7e85-a14a-4dc8-95a5-4a4ed437cd1b</t>
  </si>
  <si>
    <t>1 hour, 11 Mins, 10 Sec</t>
  </si>
  <si>
    <t>lysrruks</t>
  </si>
  <si>
    <t>558da125-26ce-4d4e-becd-877a44a0f2a3</t>
  </si>
  <si>
    <t>3 Mins, 58 Sec</t>
  </si>
  <si>
    <t>lysrruuj</t>
  </si>
  <si>
    <t>21211a05b0</t>
  </si>
  <si>
    <t>ac9bf95b-cf77-4124-bf16-65fc32256dd7</t>
  </si>
  <si>
    <t>1 hour, 14 Mins, 54 Sec</t>
  </si>
  <si>
    <t>lysrruy6</t>
  </si>
  <si>
    <t>21211a05b1</t>
  </si>
  <si>
    <t>24fe2a55-12c9-46fd-ae0c-76239e81b315</t>
  </si>
  <si>
    <t>50 Mins, 9 Sec</t>
  </si>
  <si>
    <t>lysrrw1v</t>
  </si>
  <si>
    <t>72e184d2-a7fb-447b-afa6-6e14b348d005</t>
  </si>
  <si>
    <t>1 hour, 6 Mins, 42 Sec</t>
  </si>
  <si>
    <t>lysrrw4s</t>
  </si>
  <si>
    <t>21211a05c5@bvrit.ac.in</t>
  </si>
  <si>
    <t>252c0c63-fc39-4bdd-ad7a-45edf65223d5</t>
  </si>
  <si>
    <t>1 hour, 24 Mins, 42 Sec</t>
  </si>
  <si>
    <t>lysrrwh8</t>
  </si>
  <si>
    <t>4d2cbb2c-deb4-4b7f-afb2-5e4d87db4f71</t>
  </si>
  <si>
    <t>lysrsuue</t>
  </si>
  <si>
    <t>008af3cf-5d32-423c-8e8c-80e747e97e02</t>
  </si>
  <si>
    <t>47 Mins, 32 Sec</t>
  </si>
  <si>
    <t>lysrsvi3</t>
  </si>
  <si>
    <t>21211a05g0</t>
  </si>
  <si>
    <t>0099aa77-6953-432d-81ec-4595b547496f</t>
  </si>
  <si>
    <t>58 Mins, 32 Sec</t>
  </si>
  <si>
    <t>lysrsvoh</t>
  </si>
  <si>
    <t>21211a05g2</t>
  </si>
  <si>
    <t>97bfed3b-de58-4289-bbb6-069aa118a90e</t>
  </si>
  <si>
    <t>1 hour, 14 Mins, 12 Sec</t>
  </si>
  <si>
    <t>lysrsxch</t>
  </si>
  <si>
    <t>ad5f14fa-b90c-4a1d-b530-972f51d7ca89</t>
  </si>
  <si>
    <t>1 hour, 29 Mins, 48 Sec</t>
  </si>
  <si>
    <t>lysrsxf4</t>
  </si>
  <si>
    <t>6def7cfc-2565-4b85-8a57-7eac115590e7</t>
  </si>
  <si>
    <t>45 Mins, 1 Sec</t>
  </si>
  <si>
    <t>lysrsye5</t>
  </si>
  <si>
    <t>54b85f4f-bdf9-4088-8f72-01428d439baf</t>
  </si>
  <si>
    <t>lysrtest</t>
  </si>
  <si>
    <t>21211a05k9</t>
  </si>
  <si>
    <t>b3c4fc9b-c7a6-4db8-801c-fb88620f7773</t>
  </si>
  <si>
    <t>52 Mins, 44 Sec</t>
  </si>
  <si>
    <t>lysrtew5</t>
  </si>
  <si>
    <t>Padakanti Eshwar</t>
  </si>
  <si>
    <t>623efe79-428b-46d7-88a5-9c39e96ba26a</t>
  </si>
  <si>
    <t>lysrtfa0</t>
  </si>
  <si>
    <t>BHARATH REDDY</t>
  </si>
  <si>
    <t>05812b78-5e24-4ef5-b6e2-77f08be44d60</t>
  </si>
  <si>
    <t>lysrtfk7</t>
  </si>
  <si>
    <t>2a392720-0706-4375-8193-8be9ccfbfeaf</t>
  </si>
  <si>
    <t>38 Mins, 58 Sec</t>
  </si>
  <si>
    <t>lysrtfnj</t>
  </si>
  <si>
    <t>00321ee0-2d93-4a04-bff8-13cc918c775d</t>
  </si>
  <si>
    <t>1 hour, 44 Mins, 29 Sec</t>
  </si>
  <si>
    <t>lysrtfti</t>
  </si>
  <si>
    <t>PALLAVI PARIDE</t>
  </si>
  <si>
    <t>b8e2d80c-4e73-439d-8fe7-e2509104a329</t>
  </si>
  <si>
    <t>1 hour, 33 Mins, 3 Sec</t>
  </si>
  <si>
    <t>lysrtg01</t>
  </si>
  <si>
    <t>SHRAVNTHI PASAGADUGULA</t>
  </si>
  <si>
    <t>21211a05m2</t>
  </si>
  <si>
    <t>1385884b-0b32-42ed-9ea2-b7d13c384798</t>
  </si>
  <si>
    <t>14 Mins, 42 Sec</t>
  </si>
  <si>
    <t>lysrtga0</t>
  </si>
  <si>
    <t>f131ce51-aedb-4661-89ce-be875be1c10e</t>
  </si>
  <si>
    <t>1 hour, 10 Mins</t>
  </si>
  <si>
    <t>lysrtgk3</t>
  </si>
  <si>
    <t>21211a05m8@bvrit.ac.in</t>
  </si>
  <si>
    <t>110d8b78-9bce-4017-a14b-92a4d3af4093</t>
  </si>
  <si>
    <t>lysrtgnb</t>
  </si>
  <si>
    <t>21211a05m9@bvrit.ac.in</t>
  </si>
  <si>
    <t>1f70a100-f854-412b-be1a-a980b4e51e9c</t>
  </si>
  <si>
    <t>24 Mins, 44 Sec</t>
  </si>
  <si>
    <t>lysrth9u</t>
  </si>
  <si>
    <t>21211a05n6@bvrit.ac.in</t>
  </si>
  <si>
    <t>f6ebed4f-94c4-440b-8583-437c688e0602</t>
  </si>
  <si>
    <t>1 hour, 1 Mins, 35 Sec</t>
  </si>
  <si>
    <t>lysrthwo</t>
  </si>
  <si>
    <t>83510c05-ddfc-4b45-8d88-b62596fd18e3</t>
  </si>
  <si>
    <t>35 Mins, 28 Sec</t>
  </si>
  <si>
    <t>lysrtiz3</t>
  </si>
  <si>
    <t>21211a05q6@bvrit.ac.in</t>
  </si>
  <si>
    <t>21211a05q6</t>
  </si>
  <si>
    <t>6f22d2d2-96c6-4493-b953-982bcc452eb6</t>
  </si>
  <si>
    <t>lysrtj51</t>
  </si>
  <si>
    <t>aa2799c5-caad-44de-8e8c-1ab8a860e120</t>
  </si>
  <si>
    <t>34 Mins, 4 Sec</t>
  </si>
  <si>
    <t>lysrva1f</t>
  </si>
  <si>
    <t>bf202d04-e223-4190-8479-9a2450281af0</t>
  </si>
  <si>
    <t>1 hour, 18 Mins, 38 Sec</t>
  </si>
  <si>
    <t>lysrva4y</t>
  </si>
  <si>
    <t>SRI VARDHAN VARMA</t>
  </si>
  <si>
    <t>21211a05t4</t>
  </si>
  <si>
    <t>e1415aee-828a-4597-8bb6-bf9e174bdc9e</t>
  </si>
  <si>
    <t>10 Mins, 11 Sec</t>
  </si>
  <si>
    <t>lysrvag0</t>
  </si>
  <si>
    <t>067de4ad-ecc9-44d0-a153-9ebd28f2baed</t>
  </si>
  <si>
    <t>58 Mins, 19 Sec</t>
  </si>
  <si>
    <t>lysrvao0</t>
  </si>
  <si>
    <t>0bd22a23-6d2c-4482-9380-773f383dec08</t>
  </si>
  <si>
    <t>51 Mins, 21 Sec</t>
  </si>
  <si>
    <t>lysrvb12</t>
  </si>
  <si>
    <t>21211a05u6</t>
  </si>
  <si>
    <t>c2ddc5b1-bea6-4d41-b002-4ee738cd61f5</t>
  </si>
  <si>
    <t>2 Mins, 34 Sec</t>
  </si>
  <si>
    <t>lysrvbjs</t>
  </si>
  <si>
    <t>d52dbcad-c2e2-4787-bc9c-fe7b636adced</t>
  </si>
  <si>
    <t>1 hour, 53 Mins, 52 Sec</t>
  </si>
  <si>
    <t>lysrvbmu</t>
  </si>
  <si>
    <t>d4176ce5-5ea3-494c-acdf-0b877f112f70</t>
  </si>
  <si>
    <t>1 hour, 39 Sec</t>
  </si>
  <si>
    <t>lysrvbpz</t>
  </si>
  <si>
    <t>b815c080-344f-47c9-a202-58465c112fba</t>
  </si>
  <si>
    <t>1 hour, 34 Mins, 16 Sec</t>
  </si>
  <si>
    <t>lysrvbvy</t>
  </si>
  <si>
    <t>21211a05v7</t>
  </si>
  <si>
    <t>5d1c8e0d-8ba1-45b6-95c8-ba7003f9deee</t>
  </si>
  <si>
    <t>23 Mins, 48 Sec</t>
  </si>
  <si>
    <t>lysrvcdl</t>
  </si>
  <si>
    <t>21211a05w4</t>
  </si>
  <si>
    <t>e33f85b8-bfdc-4397-8f7d-ea1af027857f</t>
  </si>
  <si>
    <t>53 Mins, 10 Sec</t>
  </si>
  <si>
    <t>lysrvcpz</t>
  </si>
  <si>
    <t>SAI KUMAR</t>
  </si>
  <si>
    <t>7394f46e-131d-4a06-a07a-2fef902b66c9</t>
  </si>
  <si>
    <t>48 Mins, 32 Sec</t>
  </si>
  <si>
    <t>lysrvcuw</t>
  </si>
  <si>
    <t>2dd2986c-e6b8-4bbf-a09a-2a41b891d5bb</t>
  </si>
  <si>
    <t>1 hour, 21 Mins, 11 Sec</t>
  </si>
  <si>
    <t>lysrvcxb</t>
  </si>
  <si>
    <t>VANGALA SAI Teja</t>
  </si>
  <si>
    <t>c32dddc3-2d57-4dc4-8910-43af997ffc04</t>
  </si>
  <si>
    <t>1 hour, 30 Mins, 18 Sec</t>
  </si>
  <si>
    <t>lysrvdcf</t>
  </si>
  <si>
    <t>4f69ae0b-b4be-468f-ac85-8ba1496eb5d7</t>
  </si>
  <si>
    <t>47 Mins, 6 Sec</t>
  </si>
  <si>
    <t>lysrve2v</t>
  </si>
  <si>
    <t>VENKATA SHIVAMANI VUPPALA</t>
  </si>
  <si>
    <t>30f4d00f-3d26-4323-9312-dc12dbfe2c2c</t>
  </si>
  <si>
    <t>1 hour, 19 Mins, 20 Sec</t>
  </si>
  <si>
    <t>lysrveec</t>
  </si>
  <si>
    <t>SRIVALLI YEDDU</t>
  </si>
  <si>
    <t>21211a05z2</t>
  </si>
  <si>
    <t>66d36826-4eb1-4790-aa26-cb6827c03217</t>
  </si>
  <si>
    <t>37 Mins, 20 Sec</t>
  </si>
  <si>
    <t>lysrvegp</t>
  </si>
  <si>
    <t>21211a05z3@bvrit.ac.in</t>
  </si>
  <si>
    <t>a330fdd4-afc0-4a1d-a029-51deb0b98564</t>
  </si>
  <si>
    <t>2 hours, 21 Mins, 52 Sec</t>
  </si>
  <si>
    <t>lysrtk05</t>
  </si>
  <si>
    <t>1f1e01f5-67b4-49da-bd61-612817c323cb</t>
  </si>
  <si>
    <t>1 hour, 29 Mins, 50 Sec</t>
  </si>
  <si>
    <t>lysrrdrl</t>
  </si>
  <si>
    <t>22215a0502</t>
  </si>
  <si>
    <t>081bde4d-a2fb-4c16-a3b6-4f1086b487ec</t>
  </si>
  <si>
    <t>1 hour, 25 Mins, 37 Sec</t>
  </si>
  <si>
    <t>lysrre4t</t>
  </si>
  <si>
    <t>22215a0506</t>
  </si>
  <si>
    <t>54e43c04-ac31-47de-a602-e85aa0f4ce9e</t>
  </si>
  <si>
    <t>34 Mins, 32 Sec</t>
  </si>
  <si>
    <t>lysrre8f</t>
  </si>
  <si>
    <t>22215a0507@bvrit.ac.in</t>
  </si>
  <si>
    <t>22215a0507</t>
  </si>
  <si>
    <t>ecc828e3-95eb-463e-b640-3107b618a528</t>
  </si>
  <si>
    <t>1 hour, 29 Mins, 7 Sec</t>
  </si>
  <si>
    <t>lysrrwrr</t>
  </si>
  <si>
    <t>22215a0510</t>
  </si>
  <si>
    <t>c40d25ec-9b40-4622-b3fa-781f1179fc9e</t>
  </si>
  <si>
    <t>lysrrwxy</t>
  </si>
  <si>
    <t>22215a0512@bvrit.ac.in</t>
  </si>
  <si>
    <t>9e3182f0-0c56-4f9e-a42e-3595841874a5</t>
  </si>
  <si>
    <t>1 hour, 12 Mins, 20 Sec</t>
  </si>
  <si>
    <t>lysrrx4g</t>
  </si>
  <si>
    <t>9d7f1cd2-a0f8-4c09-acce-f77fb2a2d8e7</t>
  </si>
  <si>
    <t>1 hour, 6 Mins, 15 Sec</t>
  </si>
  <si>
    <t>lysrsyp3</t>
  </si>
  <si>
    <t>22215a0517</t>
  </si>
  <si>
    <t>0fefc6ce-1f4c-41fd-a311-5ba6d630e1b3</t>
  </si>
  <si>
    <t>1 hour, 40 Mins, 6 Sec</t>
  </si>
  <si>
    <t>lysrtk3h</t>
  </si>
  <si>
    <t>22215a0521</t>
  </si>
  <si>
    <t>a88cbf38-4562-47d9-a05f-61137abfd9ff</t>
  </si>
  <si>
    <t>21 Mins, 14 Sec</t>
  </si>
  <si>
    <t>lysrtkkj</t>
  </si>
  <si>
    <t>5bdaec50-3fcf-47dc-bd53-dd74342a0f02</t>
  </si>
  <si>
    <t>38 Mins, 54 Sec</t>
  </si>
  <si>
    <t>lysrveoa</t>
  </si>
  <si>
    <t>SRINIVAS ADUNURI</t>
  </si>
  <si>
    <t>22215a0528</t>
  </si>
  <si>
    <t>976732eb-bf4b-4999-b8f3-ff6bd8ada20b</t>
  </si>
  <si>
    <t>6 Mins, 32 Sec</t>
  </si>
  <si>
    <t>lysrvere</t>
  </si>
  <si>
    <t>ALLOJU VAISHNAVI</t>
  </si>
  <si>
    <t>22215a0529</t>
  </si>
  <si>
    <t>82462df9-1e44-4777-94f5-d3fe7273f1b6</t>
  </si>
  <si>
    <t>13 Mins, 32 Sec</t>
  </si>
  <si>
    <t>lysrvex4</t>
  </si>
  <si>
    <t>43af9408-5f5d-4469-b0b3-c689f4b210b1</t>
  </si>
  <si>
    <t>2 hours, 3 Mins, 12 Sec</t>
  </si>
  <si>
    <t>lysrwkpt</t>
  </si>
  <si>
    <t>ARUKALA SRINIVAS</t>
  </si>
  <si>
    <t>21211a0414@bvrit.ac.in</t>
  </si>
  <si>
    <t>21211A0414</t>
  </si>
  <si>
    <t>ECE</t>
  </si>
  <si>
    <t>f86520cc-3163-4bfa-bd4f-5628440e4f58</t>
  </si>
  <si>
    <t>47 Mins, 7 Sec</t>
  </si>
  <si>
    <t>lysrwkzv</t>
  </si>
  <si>
    <t>B RAGHAVENDRA</t>
  </si>
  <si>
    <t>21211a0417@bvrit.ac.in</t>
  </si>
  <si>
    <t>21211A0417</t>
  </si>
  <si>
    <t>4c42ee2f-5cc2-45a1-b8b2-b532424e1821</t>
  </si>
  <si>
    <t>1 hour, 1 Mins, 36 Sec</t>
  </si>
  <si>
    <t>lysrwl66</t>
  </si>
  <si>
    <t>BACHIGARI SAHITHI</t>
  </si>
  <si>
    <t>21211a0419@bvrit.ac.in</t>
  </si>
  <si>
    <t>21211A0419</t>
  </si>
  <si>
    <t>961b6cd8-8159-455c-a12f-6bc2a38df55c</t>
  </si>
  <si>
    <t>1 hour, 4 Mins, 8 Sec</t>
  </si>
  <si>
    <t>lysrwl9i</t>
  </si>
  <si>
    <t>BACHU SAITEJA</t>
  </si>
  <si>
    <t>21211a0420@bvrit.ac.in</t>
  </si>
  <si>
    <t>21211a0420</t>
  </si>
  <si>
    <t>b2882481-d0d5-4e28-9aba-4c724d26e8ba</t>
  </si>
  <si>
    <t>20 Mins, 59 Sec</t>
  </si>
  <si>
    <t>lysrwlta</t>
  </si>
  <si>
    <t>BARENKALA VITTALESH</t>
  </si>
  <si>
    <t>21211a0426@bvrit.ac.in</t>
  </si>
  <si>
    <t>21211a0426</t>
  </si>
  <si>
    <t>a66ba6b3-7a2f-4413-b7c4-e408effac82a</t>
  </si>
  <si>
    <t>48 Mins, 4 Sec</t>
  </si>
  <si>
    <t>lysrwm3a</t>
  </si>
  <si>
    <t>BEERAM HARITHA</t>
  </si>
  <si>
    <t>21211a0429@bvrit.ac.in</t>
  </si>
  <si>
    <t>21211A0429</t>
  </si>
  <si>
    <t>e006f960-741e-4afa-8557-d0387bb378be</t>
  </si>
  <si>
    <t>lysrwmdk</t>
  </si>
  <si>
    <t>Bharmavath Suchitra</t>
  </si>
  <si>
    <t>21211a0432@bvrit.ac.in</t>
  </si>
  <si>
    <t>21211a0432</t>
  </si>
  <si>
    <t>92ea994a-8735-4e3f-83da-b64badd6b404</t>
  </si>
  <si>
    <t>21 Mins, 42 Sec</t>
  </si>
  <si>
    <t>lysrwmk6</t>
  </si>
  <si>
    <t>BHUMIREDDY SUSHANTH REDDY</t>
  </si>
  <si>
    <t>21211a0434@bvrit.ac.in</t>
  </si>
  <si>
    <t>21211A0434</t>
  </si>
  <si>
    <t>649be5ac-afc6-42d7-a1d5-91d5afebef7f</t>
  </si>
  <si>
    <t>12 Mins, 32 Sec</t>
  </si>
  <si>
    <t>lysrwn64</t>
  </si>
  <si>
    <t>BHARGAV CH</t>
  </si>
  <si>
    <t>21211a0441@bvrit.ac.in</t>
  </si>
  <si>
    <t>21211a0441</t>
  </si>
  <si>
    <t>a4b33dd9-7816-4c69-b741-e3a782781ad5</t>
  </si>
  <si>
    <t>1 hour, 49 Mins, 54 Sec</t>
  </si>
  <si>
    <t>lz3rijwt</t>
  </si>
  <si>
    <t>sampreeth rao Chaluvaji</t>
  </si>
  <si>
    <t>21211a0446@bvrit.ac.in</t>
  </si>
  <si>
    <t>21211A0446</t>
  </si>
  <si>
    <t>1c370025-91f2-4130-958d-fc9c21d2878c</t>
  </si>
  <si>
    <t>1 hour, 1 Mins, 50 Sec</t>
  </si>
  <si>
    <t>lysrwoa3</t>
  </si>
  <si>
    <t>CHINTA SRI LAKSHMI HARI CHANDAN</t>
  </si>
  <si>
    <t>21211a0456@bvrit.ac.in</t>
  </si>
  <si>
    <t>21211A0456</t>
  </si>
  <si>
    <t>9fd24b6b-ec5a-4ca1-a459-2805fca16804</t>
  </si>
  <si>
    <t>26 Mins, 6 Sec</t>
  </si>
  <si>
    <t>lysrwoix</t>
  </si>
  <si>
    <t>CHARAN CHUKKA</t>
  </si>
  <si>
    <t>21211a0459@bvrit.ac.in</t>
  </si>
  <si>
    <t>21211A0459</t>
  </si>
  <si>
    <t>e2d041ac-9c5d-4125-8577-7d4766e86275</t>
  </si>
  <si>
    <t>1 hour, 20 Mins, 55 Sec</t>
  </si>
  <si>
    <t>lysrwooa</t>
  </si>
  <si>
    <t>DABBULA SAI GOUTHAMI</t>
  </si>
  <si>
    <t>21211a0461@bvrit.ac.in</t>
  </si>
  <si>
    <t>21211A0461</t>
  </si>
  <si>
    <t>012807dc-b282-496a-a59b-8fcb3792773b</t>
  </si>
  <si>
    <t>41 Mins, 4 Sec</t>
  </si>
  <si>
    <t>lysrwork</t>
  </si>
  <si>
    <t>BHARGAVRAJ DARAM</t>
  </si>
  <si>
    <t>21211a0462@bvrit.ac.in</t>
  </si>
  <si>
    <t>21211a0462</t>
  </si>
  <si>
    <t>08aa73d9-a672-4ab1-b1ce-ec6ca56f34d3</t>
  </si>
  <si>
    <t>31 Mins, 40 Sec</t>
  </si>
  <si>
    <t>lysrx3cn</t>
  </si>
  <si>
    <t>ARJUN DINDIGALA</t>
  </si>
  <si>
    <t>21211a0468@bvrit.ac.in</t>
  </si>
  <si>
    <t>21211A0468</t>
  </si>
  <si>
    <t>63372518-99ad-4014-9fb4-c34e3b030e9d</t>
  </si>
  <si>
    <t>lysrx3ry</t>
  </si>
  <si>
    <t>ETTI SATHWIKA</t>
  </si>
  <si>
    <t>21211a0476@bvrit.ac.in</t>
  </si>
  <si>
    <t>21211A0476</t>
  </si>
  <si>
    <t>de40a51e-8fa0-4489-a48b-e9ed5afef9cf</t>
  </si>
  <si>
    <t>1 hour, 46 Mins, 7 Sec</t>
  </si>
  <si>
    <t>lysrx3ut</t>
  </si>
  <si>
    <t>SRIKANTH GUTHI</t>
  </si>
  <si>
    <t>21211a0477@bvrit.ac.in</t>
  </si>
  <si>
    <t>21211A0477</t>
  </si>
  <si>
    <t>16435aee-8f88-43d5-b01d-e21b868e578f</t>
  </si>
  <si>
    <t>lysrx40d</t>
  </si>
  <si>
    <t>GADDI SHIVA KUMAR</t>
  </si>
  <si>
    <t>21211a0479@bvrit.ac.in</t>
  </si>
  <si>
    <t>21211A0479</t>
  </si>
  <si>
    <t>e7937072-3303-43b0-b482-92cedaf16af5</t>
  </si>
  <si>
    <t>1 hour, 29 Mins, 8 Sec</t>
  </si>
  <si>
    <t>lysrx43i</t>
  </si>
  <si>
    <t>AKSHITHA GADIKOPPULA</t>
  </si>
  <si>
    <t>21211a0480@bvrit.ac.in</t>
  </si>
  <si>
    <t>21211A0480</t>
  </si>
  <si>
    <t>a8ffd1f1-4da9-4c0a-8edc-49b9428a134b</t>
  </si>
  <si>
    <t>1 hour, 22 Mins, 22 Sec</t>
  </si>
  <si>
    <t>lysrx46u</t>
  </si>
  <si>
    <t>RISHI KIRAN</t>
  </si>
  <si>
    <t>21211a0481@bvrit.ac.in</t>
  </si>
  <si>
    <t>21211A0481</t>
  </si>
  <si>
    <t>7d05cb30-640b-4ce4-9206-65c656b1dc75</t>
  </si>
  <si>
    <t>1 hour, 13 Mins, 16 Sec</t>
  </si>
  <si>
    <t>lysrx4a3</t>
  </si>
  <si>
    <t>GAJULA PRANEETH KUMAR</t>
  </si>
  <si>
    <t>21211a0482@bvrit.ac.in</t>
  </si>
  <si>
    <t>21211A0482</t>
  </si>
  <si>
    <t>47109772-9390-4dbd-8afe-5dd1cc191d11</t>
  </si>
  <si>
    <t>lysrx4iv</t>
  </si>
  <si>
    <t>GANTAMOINA SHRUTHI</t>
  </si>
  <si>
    <t>21211a0485@bvrit.ac.in</t>
  </si>
  <si>
    <t>21211a0485</t>
  </si>
  <si>
    <t>b4801133-47a6-4b85-b8c5-23bd9bf9208d</t>
  </si>
  <si>
    <t>1 hour, 32 Mins, 51 Sec</t>
  </si>
  <si>
    <t>lysrx4sl</t>
  </si>
  <si>
    <t>MAMATHA GOLLA</t>
  </si>
  <si>
    <t>21211a0488@bvrit.ac.in</t>
  </si>
  <si>
    <t>21211a0488</t>
  </si>
  <si>
    <t>fcec3066-4cd8-4d7c-962a-a3211a7b6da9</t>
  </si>
  <si>
    <t>1 hour, 45 Mins, 14 Sec</t>
  </si>
  <si>
    <t>lysrx5ac</t>
  </si>
  <si>
    <t>GUNNALA SAI CHARAN REDDY</t>
  </si>
  <si>
    <t>21211a0494@bvrit.ac.in</t>
  </si>
  <si>
    <t>21211a0494</t>
  </si>
  <si>
    <t>7af5bec9-1c53-43e6-9d25-ae31d1cb320f</t>
  </si>
  <si>
    <t>1 hour, 17 Mins</t>
  </si>
  <si>
    <t>lysrx5db</t>
  </si>
  <si>
    <t>Enosh Guntur</t>
  </si>
  <si>
    <t>21211a0495@bvrit.ac.in</t>
  </si>
  <si>
    <t>21211A0495</t>
  </si>
  <si>
    <t>164e68c1-0f41-4315-b9ff-2f4cc366c2ef</t>
  </si>
  <si>
    <t>11 Mins, 37 Sec</t>
  </si>
  <si>
    <t>lysrx5j1</t>
  </si>
  <si>
    <t>RAMESH GURRAM</t>
  </si>
  <si>
    <t>21211a0497@bvrit.ac.in</t>
  </si>
  <si>
    <t>21211A0497</t>
  </si>
  <si>
    <t>24bda9a7-7436-46b7-85e7-40bc577efc6f</t>
  </si>
  <si>
    <t>22 Mins, 24 Sec</t>
  </si>
  <si>
    <t>lysrx5w9</t>
  </si>
  <si>
    <t>PUJITHA JAMPULA</t>
  </si>
  <si>
    <t>21211a04a1@bvrit.ac.in</t>
  </si>
  <si>
    <t>21211A04A1</t>
  </si>
  <si>
    <t>a6c20063-5d0a-4958-89e3-2d60f4ad4627</t>
  </si>
  <si>
    <t>32 Mins, 9 Sec</t>
  </si>
  <si>
    <t>lysrx5zf</t>
  </si>
  <si>
    <t>PRADEEP KUMAR</t>
  </si>
  <si>
    <t>21211a04a2@bvrit.ac.in</t>
  </si>
  <si>
    <t>21211a04a2</t>
  </si>
  <si>
    <t>657a9aef-3121-4f2f-a6c9-ef61af74ed13</t>
  </si>
  <si>
    <t>lysrx665</t>
  </si>
  <si>
    <t>JENNARAPU SATHWIK</t>
  </si>
  <si>
    <t>21211a04a4@bvrit.ac.in</t>
  </si>
  <si>
    <t>21211a04a4</t>
  </si>
  <si>
    <t>c29c4aa8-0eab-4bec-9718-2ad66f6e1044</t>
  </si>
  <si>
    <t>lysrx6ig</t>
  </si>
  <si>
    <t>KADEMGARI SAKETH REDDY</t>
  </si>
  <si>
    <t>21211a04a8@bvrit.ac.in</t>
  </si>
  <si>
    <t>21211a04a8</t>
  </si>
  <si>
    <t>85ded5a8-6743-4a37-bab1-aea5a7934748</t>
  </si>
  <si>
    <t>36 Mins, 24 Sec</t>
  </si>
  <si>
    <t>lysrx6l9</t>
  </si>
  <si>
    <t>KAKARLA LASYA PRIYA</t>
  </si>
  <si>
    <t>21211a04a9@bvrit.ac.in</t>
  </si>
  <si>
    <t>21211a04a9</t>
  </si>
  <si>
    <t>7de9df01-b58c-455e-824f-a49d721b80ec</t>
  </si>
  <si>
    <t>1 hour, 15 Mins, 21 Sec</t>
  </si>
  <si>
    <t>lysrx6ok</t>
  </si>
  <si>
    <t>Rachana Kalwacharla</t>
  </si>
  <si>
    <t>21211a04b0@bvrit.ac.in</t>
  </si>
  <si>
    <t>21211a04b0</t>
  </si>
  <si>
    <t>118d2ff8-2ce5-4764-b137-266b63b92174</t>
  </si>
  <si>
    <t>29 Mins, 52 Sec</t>
  </si>
  <si>
    <t>lysrx7d1</t>
  </si>
  <si>
    <t>KASHETTY PRANAY</t>
  </si>
  <si>
    <t>21211a04b9@bvrit.ac.in</t>
  </si>
  <si>
    <t>21211a04b9</t>
  </si>
  <si>
    <t>676b6bde-9d83-4fec-813b-9c6818e14a14</t>
  </si>
  <si>
    <t>13 Mins, 15 Sec</t>
  </si>
  <si>
    <t>lysrx7s1</t>
  </si>
  <si>
    <t>KODI SWASTIK</t>
  </si>
  <si>
    <t>21211a04c4@bvrit.ac.in</t>
  </si>
  <si>
    <t>21211a04c4</t>
  </si>
  <si>
    <t>f5b3ce10-33d5-4115-ab84-671c2acb1518</t>
  </si>
  <si>
    <t>lysrx812</t>
  </si>
  <si>
    <t>SRUJANA REDDY</t>
  </si>
  <si>
    <t>21211a04c7@bvrit.ac.in</t>
  </si>
  <si>
    <t>21211A04c7</t>
  </si>
  <si>
    <t>03412949-e28d-43a7-b5f4-f4b7513eb32b</t>
  </si>
  <si>
    <t>1 hour, 7 Mins, 40 Sec</t>
  </si>
  <si>
    <t>lysrx87i</t>
  </si>
  <si>
    <t>KONGOTI UDAY KIRAN</t>
  </si>
  <si>
    <t>21211a04c9@bvrit.ac.in</t>
  </si>
  <si>
    <t>21211a04c9</t>
  </si>
  <si>
    <t>f1252e3f-9643-43de-9296-a8c382e45b86</t>
  </si>
  <si>
    <t>1 hour, 35 Mins, 36 Sec</t>
  </si>
  <si>
    <t>lysrx8ag</t>
  </si>
  <si>
    <t>KOTHA RAO</t>
  </si>
  <si>
    <t>21211a04d0@bvrit.ac.in</t>
  </si>
  <si>
    <t>21211a04d0</t>
  </si>
  <si>
    <t>dc5986e8-ed3e-475c-959c-1c79a7a0ecad</t>
  </si>
  <si>
    <t>31 Mins, 16 Sec</t>
  </si>
  <si>
    <t>lysrxmq7</t>
  </si>
  <si>
    <t>K.AKSHAYA REDDY</t>
  </si>
  <si>
    <t>21211a04d1@bvrit.ac.in</t>
  </si>
  <si>
    <t>21211a04d1</t>
  </si>
  <si>
    <t>432c5750-0a8c-46e7-bd83-b73cd3abfd24</t>
  </si>
  <si>
    <t>36 Mins, 49 Sec</t>
  </si>
  <si>
    <t>lysrxmzq</t>
  </si>
  <si>
    <t>KUNCHALA NANDINI</t>
  </si>
  <si>
    <t>21211a04d4@bvrit.ac.in</t>
  </si>
  <si>
    <t>21211A04D4</t>
  </si>
  <si>
    <t>19a6324e-b21b-4203-952d-de6cebaeb74d</t>
  </si>
  <si>
    <t>1 hour, 21 Mins, 26 Sec</t>
  </si>
  <si>
    <t>lysrxn67</t>
  </si>
  <si>
    <t>RAKESHRAM KURUVA</t>
  </si>
  <si>
    <t>21211a04d6@bvrit.ac.in</t>
  </si>
  <si>
    <t>21211A04D6</t>
  </si>
  <si>
    <t>d0f629c2-4a6e-4e76-b9a3-ac8ebaed77c5</t>
  </si>
  <si>
    <t>1 hour, 24 Mins, 12 Sec</t>
  </si>
  <si>
    <t>lysrxnhk</t>
  </si>
  <si>
    <t>MALIPATEL SAI KEERTHANA</t>
  </si>
  <si>
    <t>21211a04e1@bvrit.ac.in</t>
  </si>
  <si>
    <t>21211A04E1</t>
  </si>
  <si>
    <t>c9b9c949-6d10-4a51-9fb7-5531983b3144</t>
  </si>
  <si>
    <t>1 hour, 2 Mins, 18 Sec</t>
  </si>
  <si>
    <t>lysrxnsv</t>
  </si>
  <si>
    <t>MANDA PAVAN KUMAR</t>
  </si>
  <si>
    <t>21211a04e5@bvrit.ac.in</t>
  </si>
  <si>
    <t>21211a04e5</t>
  </si>
  <si>
    <t>5dff6c98-0359-4543-b529-6bc3f9ee8be1</t>
  </si>
  <si>
    <t>48 Mins, 57 Sec</t>
  </si>
  <si>
    <t>lysrxom4</t>
  </si>
  <si>
    <t>MD KHALEEL</t>
  </si>
  <si>
    <t>21211a04f6@bvrit.ac.in</t>
  </si>
  <si>
    <t>21211a04f6</t>
  </si>
  <si>
    <t>7792a0cd-c353-4bbe-a4dc-db6acf0a9633</t>
  </si>
  <si>
    <t>34 Mins, 46 Sec</t>
  </si>
  <si>
    <t>lysrxorc</t>
  </si>
  <si>
    <t>KRISHNA VAMSHI</t>
  </si>
  <si>
    <t>21211a04f8@bvrit.ac.in</t>
  </si>
  <si>
    <t>21211a04f8</t>
  </si>
  <si>
    <t>fed217ab-8e55-4ad6-bed7-3b6c44597623</t>
  </si>
  <si>
    <t>24 Mins, 16 Sec</t>
  </si>
  <si>
    <t>lysrxov9</t>
  </si>
  <si>
    <t>MOHAMMED TAHER</t>
  </si>
  <si>
    <t>21211a04f9@bvrit.ac.in</t>
  </si>
  <si>
    <t>21211a04f9</t>
  </si>
  <si>
    <t>0d72cd20-75b8-4943-8b00-4991477b128b</t>
  </si>
  <si>
    <t>1 hour, 35 Mins, 11 Sec</t>
  </si>
  <si>
    <t>lysrxpde</t>
  </si>
  <si>
    <t>MUDAVATH PRAVEEN</t>
  </si>
  <si>
    <t>21211a04g6@bvrit.ac.in</t>
  </si>
  <si>
    <t>21211A04G6</t>
  </si>
  <si>
    <t>ea239f52-d7ea-41f2-8f4d-6592e34ccfea</t>
  </si>
  <si>
    <t>1 hour, 11 Mins, 38 Sec</t>
  </si>
  <si>
    <t>lysrxpp9</t>
  </si>
  <si>
    <t>MUSKAAN BEGUM</t>
  </si>
  <si>
    <t>21211a04h0@bvrit.ac.in</t>
  </si>
  <si>
    <t>21211a04h0</t>
  </si>
  <si>
    <t>dfbc4000-afab-4413-92ac-ff71bc7a3435</t>
  </si>
  <si>
    <t>1 hour, 26 Mins, 47 Sec</t>
  </si>
  <si>
    <t>lysrxq7o</t>
  </si>
  <si>
    <t>NALLA GOLLA MAHESHWARI</t>
  </si>
  <si>
    <t>21211a04h6@bvrit.ac.in</t>
  </si>
  <si>
    <t>21211a04h6</t>
  </si>
  <si>
    <t>9721b538-fe88-4038-b202-d5dcc4ff6976</t>
  </si>
  <si>
    <t>1 hour, 8 Mins, 7 Sec</t>
  </si>
  <si>
    <t>lysrxql9</t>
  </si>
  <si>
    <t>SAI NIDHI</t>
  </si>
  <si>
    <t>21211a04j1@bvrit.ac.in</t>
  </si>
  <si>
    <t>21211a04j1</t>
  </si>
  <si>
    <t>7c36ffa4-d532-4a6f-9ae4-e32677057d8f</t>
  </si>
  <si>
    <t>lysrxqos</t>
  </si>
  <si>
    <t>NEERADI ASHISH KUMAR</t>
  </si>
  <si>
    <t>21211a04j2@bvrit.ac.in</t>
  </si>
  <si>
    <t>21211A04J2</t>
  </si>
  <si>
    <t>10c37fe4-7902-4531-9c14-c7d5da564841</t>
  </si>
  <si>
    <t>48 Mins, 43 Sec</t>
  </si>
  <si>
    <t>lysrxqrj</t>
  </si>
  <si>
    <t>JASWANTH NELLURI</t>
  </si>
  <si>
    <t>21211a04j3@bvrit.ac.in</t>
  </si>
  <si>
    <t>21211A04J3</t>
  </si>
  <si>
    <t>57dbf693-3277-4782-a0d1-51b93069c402</t>
  </si>
  <si>
    <t>40 Mins, 8 Sec</t>
  </si>
  <si>
    <t>lysrxqwq</t>
  </si>
  <si>
    <t>NIDUBROLU GOUTHAM</t>
  </si>
  <si>
    <t>21211a04j5@bvrit.ac.in</t>
  </si>
  <si>
    <t>21211A04J5</t>
  </si>
  <si>
    <t>840e036b-f6b7-42f4-b7dd-5375864e3371</t>
  </si>
  <si>
    <t>50 Mins, 24 Sec</t>
  </si>
  <si>
    <t>lysrxr02</t>
  </si>
  <si>
    <t>SUDHENDRA REDDY P</t>
  </si>
  <si>
    <t>21211a04j6@bvrit.ac.in</t>
  </si>
  <si>
    <t>21211A04J6</t>
  </si>
  <si>
    <t>f4f2cc82-d5fa-43e7-bfb7-c4d8412ad636</t>
  </si>
  <si>
    <t>1 hour, 7 Mins, 54 Sec</t>
  </si>
  <si>
    <t>lysry7xi</t>
  </si>
  <si>
    <t>PEGUDA ASHISH</t>
  </si>
  <si>
    <t>21211a04k6@bvrit.ac.in</t>
  </si>
  <si>
    <t>21211A04k6</t>
  </si>
  <si>
    <t>6124022b-bd88-45e3-8887-f4c6b76c6c43</t>
  </si>
  <si>
    <t>1 hour, 54 Mins, 34 Sec</t>
  </si>
  <si>
    <t>lysry96p</t>
  </si>
  <si>
    <t>SHIVA GANESH</t>
  </si>
  <si>
    <t>21211a04m3@bvrit.ac.in</t>
  </si>
  <si>
    <t>21211A04M3</t>
  </si>
  <si>
    <t>0d510e9c-8191-44de-94c0-cb369f6549bf</t>
  </si>
  <si>
    <t>1 hour, 3 Mins, 25 Sec</t>
  </si>
  <si>
    <t>lysry9m5</t>
  </si>
  <si>
    <t>SAI SHIVA SANGU</t>
  </si>
  <si>
    <t>21211a04m8@bvrit.ac.in</t>
  </si>
  <si>
    <t>21211a04m8</t>
  </si>
  <si>
    <t>9bd15b5f-f867-4377-83be-0a69e804a3dd</t>
  </si>
  <si>
    <t>52 Mins, 14 Sec</t>
  </si>
  <si>
    <t>lysry9v1</t>
  </si>
  <si>
    <t>SATHWIK REDDY KADEMGARI</t>
  </si>
  <si>
    <t>21211a04n1@bvrit.ac.in</t>
  </si>
  <si>
    <t>21211A04N1</t>
  </si>
  <si>
    <t>1a737ec0-3531-415a-8bad-1b114da17239</t>
  </si>
  <si>
    <t>14 Mins, 39 Sec</t>
  </si>
  <si>
    <t>lysryaax</t>
  </si>
  <si>
    <t>SHAIK MUSTHAFEEZUL HASSAN QUADRI</t>
  </si>
  <si>
    <t>21211a04n6@bvrit.ac.in</t>
  </si>
  <si>
    <t>21211a04n6</t>
  </si>
  <si>
    <t>3ed62a98-6eb8-4e99-92c9-e09b1f95b0a4</t>
  </si>
  <si>
    <t>6 Mins, 46 Sec</t>
  </si>
  <si>
    <t>lysryae7</t>
  </si>
  <si>
    <t>SHIVANNAGARI BHASKAR REDDY</t>
  </si>
  <si>
    <t>21211a04n7@bvrit.ac.in</t>
  </si>
  <si>
    <t>21211A04N7</t>
  </si>
  <si>
    <t>14176bf8-b4a8-4f25-b845-069262a6e5b8</t>
  </si>
  <si>
    <t>1 hour, 15 Mins, 36 Sec</t>
  </si>
  <si>
    <t>lysryaof</t>
  </si>
  <si>
    <t>SOUJANYA SOUJANYA</t>
  </si>
  <si>
    <t>21211a04p0@bvrit.ac.in</t>
  </si>
  <si>
    <t>21211a04p0</t>
  </si>
  <si>
    <t>3e650dc5-b63c-4ebc-bbe7-a79f707f9150</t>
  </si>
  <si>
    <t>49 Mins, 28 Sec</t>
  </si>
  <si>
    <t>lysryb0j</t>
  </si>
  <si>
    <t>TANGELLA REDDY</t>
  </si>
  <si>
    <t>21211a04p4@bvrit.ac.in</t>
  </si>
  <si>
    <t>21211A04P4</t>
  </si>
  <si>
    <t>2196781d-b9cb-44cf-9d97-4ef55ab5adc5</t>
  </si>
  <si>
    <t>1 hour, 16 Mins, 50 Sec</t>
  </si>
  <si>
    <t>lysryb7f</t>
  </si>
  <si>
    <t>BLESSY VERONICA</t>
  </si>
  <si>
    <t>21211a04p6@bvrit.ac.in</t>
  </si>
  <si>
    <t>21211a04p6</t>
  </si>
  <si>
    <t>3dbbe933-8d61-4e56-b6fe-d58ce4223067</t>
  </si>
  <si>
    <t>1 hour, 12 Mins, 6 Sec</t>
  </si>
  <si>
    <t>lysrybgg</t>
  </si>
  <si>
    <t>TEAKURTHY KARTIKEYA</t>
  </si>
  <si>
    <t>21211a04p9@bvrit.ac.in</t>
  </si>
  <si>
    <t>21211A04P9</t>
  </si>
  <si>
    <t>b6aeaf1a-2d62-4bf3-8038-42a27e1ccd2b</t>
  </si>
  <si>
    <t>41 Mins, 32 Sec</t>
  </si>
  <si>
    <t>lysrybpr</t>
  </si>
  <si>
    <t>THERPALLY SOUJANYA</t>
  </si>
  <si>
    <t>21211a04q2@bvrit.ac.in</t>
  </si>
  <si>
    <t>21211a04q2</t>
  </si>
  <si>
    <t>ee8e77c7-9c14-46c2-bff4-17eb7526fb35</t>
  </si>
  <si>
    <t>1 hour, 59 Mins, 27 Sec</t>
  </si>
  <si>
    <t>lysrybwd</t>
  </si>
  <si>
    <t>THRIVENI THOTA</t>
  </si>
  <si>
    <t>21211a04q4@bvrit.ac.in</t>
  </si>
  <si>
    <t>21211a04q4</t>
  </si>
  <si>
    <t>fdd113a6-676a-4969-a88b-0d0eb1d693ae</t>
  </si>
  <si>
    <t>1 hour, 5 Mins, 20 Sec</t>
  </si>
  <si>
    <t>lysryc5u</t>
  </si>
  <si>
    <t>URADI VYSHNAVI</t>
  </si>
  <si>
    <t>21211a04q7@bvrit.ac.in</t>
  </si>
  <si>
    <t>21211a04q7</t>
  </si>
  <si>
    <t>d616cb5c-2232-434a-81d9-864aa32963de</t>
  </si>
  <si>
    <t>lysrycga</t>
  </si>
  <si>
    <t>VANNEMPALLI HIMAVARSHINI</t>
  </si>
  <si>
    <t>21211a04r0@bvrit.ac.in</t>
  </si>
  <si>
    <t>21211a04r0</t>
  </si>
  <si>
    <t>9b501363-199d-4c27-83a4-0ad61d0a227e</t>
  </si>
  <si>
    <t>43 Mins, 10 Sec</t>
  </si>
  <si>
    <t>lysrycpj</t>
  </si>
  <si>
    <t>VUDUTHALA SHRAVYA GOUD</t>
  </si>
  <si>
    <t>21211a04r4@bvrit.ac.in</t>
  </si>
  <si>
    <t>21211A04R4</t>
  </si>
  <si>
    <t>a18368c2-96f0-48a3-bca7-afa71889fb8f</t>
  </si>
  <si>
    <t>1 hour, 4 Mins, 37 Sec</t>
  </si>
  <si>
    <t>lysrycsr</t>
  </si>
  <si>
    <t>VUPPALA VENKATA ABHINAV</t>
  </si>
  <si>
    <t>21211a04r5@bvrit.ac.in</t>
  </si>
  <si>
    <t>21211A04R5</t>
  </si>
  <si>
    <t>0ccddb51-8706-4dea-9f88-12f9b4e2b10c</t>
  </si>
  <si>
    <t>57 Mins, 10 Sec</t>
  </si>
  <si>
    <t>lysrwp3n</t>
  </si>
  <si>
    <t>INDLA AJAY</t>
  </si>
  <si>
    <t>22215a0401@bvrit.ac.in</t>
  </si>
  <si>
    <t>22215a0401</t>
  </si>
  <si>
    <t>3867cae2-71de-4a01-9154-c1ab838f0297</t>
  </si>
  <si>
    <t>48 Mins, 58 Sec</t>
  </si>
  <si>
    <t>lysrwp9j</t>
  </si>
  <si>
    <t>PERUMBUDOOR GAHITHA</t>
  </si>
  <si>
    <t>22215a0403@bvrit.ac.in</t>
  </si>
  <si>
    <t>22215a0403</t>
  </si>
  <si>
    <t>2f447264-3f48-499f-8490-a0aba971c232</t>
  </si>
  <si>
    <t>2 hours, 2 Mins, 2 Sec</t>
  </si>
  <si>
    <t>lysrx8gx</t>
  </si>
  <si>
    <t>PATHLAVATH KUMAR</t>
  </si>
  <si>
    <t>22215a0409@bvrit.ac.in</t>
  </si>
  <si>
    <t>22215a0409</t>
  </si>
  <si>
    <t>3002e01e-77a1-4138-a2fb-4dd9692bd0e4</t>
  </si>
  <si>
    <t>11 Mins, 40 Sec</t>
  </si>
  <si>
    <t>lysrx8k4</t>
  </si>
  <si>
    <t>CHILUKA LIKHITHA</t>
  </si>
  <si>
    <t>22215a0410@bvrit.ac.in</t>
  </si>
  <si>
    <t>22215A0410</t>
  </si>
  <si>
    <t>62c272ba-e23a-42f1-b30a-c9f055875f2e</t>
  </si>
  <si>
    <t>44 Mins, 34 Sec</t>
  </si>
  <si>
    <t>lysrx8sq</t>
  </si>
  <si>
    <t>KONDA NITHIN</t>
  </si>
  <si>
    <t>22215a0413@bvrit.ac.in</t>
  </si>
  <si>
    <t>22215A0413</t>
  </si>
  <si>
    <t>7a9d38ea-b455-444d-91ba-9a6ec21162ea</t>
  </si>
  <si>
    <t>41 Mins, 31 Sec</t>
  </si>
  <si>
    <t>lysrxrzx</t>
  </si>
  <si>
    <t>MARPALLY ROJA</t>
  </si>
  <si>
    <t>22215a0417@bvrit.ac.in</t>
  </si>
  <si>
    <t>22215a0417</t>
  </si>
  <si>
    <t>0e1aba5f-1e06-4b46-9583-507a52c3b70e</t>
  </si>
  <si>
    <t>44 Mins, 6 Sec</t>
  </si>
  <si>
    <t>lysrxs8p</t>
  </si>
  <si>
    <t>CHAPARTHI SANTHOSHINI</t>
  </si>
  <si>
    <t>22215a0420@bvrit.ac.in</t>
  </si>
  <si>
    <t>22215a0420</t>
  </si>
  <si>
    <t>a83ece50-a3ac-4e47-a634-e9230491a0e9</t>
  </si>
  <si>
    <t>53 Mins, 26 Sec</t>
  </si>
  <si>
    <t>lysryd54</t>
  </si>
  <si>
    <t>SUNUGURI SARIKA</t>
  </si>
  <si>
    <t>22215a0421@bvrit.ac.in</t>
  </si>
  <si>
    <t>22215a0421</t>
  </si>
  <si>
    <t>2b583ca7-8b52-48f6-802e-7ee3d25abbb7</t>
  </si>
  <si>
    <t>55 Mins, 2 Sec</t>
  </si>
  <si>
    <t>lysryvam</t>
  </si>
  <si>
    <t>ANTHANNAGARI PRAVEEN</t>
  </si>
  <si>
    <t>21211a0207@bvrit.ac.in</t>
  </si>
  <si>
    <t>21211A0207</t>
  </si>
  <si>
    <t>EEE</t>
  </si>
  <si>
    <t>84fa42d1-4e27-4087-b1f7-66dc215deab7</t>
  </si>
  <si>
    <t>lysryvdv</t>
  </si>
  <si>
    <t>B SHEKAR</t>
  </si>
  <si>
    <t>21211a0208@bvrit.ac.in</t>
  </si>
  <si>
    <t>21211A0208</t>
  </si>
  <si>
    <t>cfdb48a7-ec7a-4d7a-85a9-ebca4f33fd09</t>
  </si>
  <si>
    <t>2 hours, 11 Mins, 34 Sec</t>
  </si>
  <si>
    <t>lysryvgk</t>
  </si>
  <si>
    <t>BACHU VAISHNAVI</t>
  </si>
  <si>
    <t>21211a0209@bvrit.ac.in</t>
  </si>
  <si>
    <t>21211a0209</t>
  </si>
  <si>
    <t>fa081011-9dd4-4806-b55b-017ea88e65d2</t>
  </si>
  <si>
    <t>lysryw0q</t>
  </si>
  <si>
    <t>BUKYA SUMAN</t>
  </si>
  <si>
    <t>21211a0216@bvrit.ac.in</t>
  </si>
  <si>
    <t>21211A0216</t>
  </si>
  <si>
    <t>fd829112-e123-4f28-b109-a074a1bc7bc5</t>
  </si>
  <si>
    <t>3 Mins, 16 Sec</t>
  </si>
  <si>
    <t>lysrywjr</t>
  </si>
  <si>
    <t>CHERLAPALLY SUSHMA</t>
  </si>
  <si>
    <t>21211a0223@bvrit.ac.in</t>
  </si>
  <si>
    <t>21211a0223</t>
  </si>
  <si>
    <t>8a30c1c9-a8d2-49a0-aa28-dc7ccfab72a2</t>
  </si>
  <si>
    <t>1 hour, 22 Mins, 19 Sec</t>
  </si>
  <si>
    <t>lysrywmt</t>
  </si>
  <si>
    <t>CHAVAN ANCHAL</t>
  </si>
  <si>
    <t>21211a0224@bvrit.ac.in</t>
  </si>
  <si>
    <t>21211a0224</t>
  </si>
  <si>
    <t>3b8bca66-ce60-48c9-80c6-91e4b37406cf</t>
  </si>
  <si>
    <t>16 Mins, 3 Sec</t>
  </si>
  <si>
    <t>lysrywpg</t>
  </si>
  <si>
    <t>CHINANGARAM AKHILA</t>
  </si>
  <si>
    <t>21211a0225@bvrit.ac.in</t>
  </si>
  <si>
    <t>21211a0225</t>
  </si>
  <si>
    <t>ae2e1ca3-dcc8-4ad9-9a3d-d74a480f6ca7</t>
  </si>
  <si>
    <t>1 hour, 35 Mins, 54 Sec</t>
  </si>
  <si>
    <t>lysrywsj</t>
  </si>
  <si>
    <t>CHITTARI PAVANI</t>
  </si>
  <si>
    <t>21211a0226@bvrit.ac.in</t>
  </si>
  <si>
    <t>21211a0226</t>
  </si>
  <si>
    <t>afd5239d-97fd-450a-aadf-9cca3b3c3d2b</t>
  </si>
  <si>
    <t>18 Mins, 24 Sec</t>
  </si>
  <si>
    <t>lysryx1o</t>
  </si>
  <si>
    <t>DANDU SIRISHA</t>
  </si>
  <si>
    <t>21211a0229@bvrit.ac.in</t>
  </si>
  <si>
    <t>21211a0229</t>
  </si>
  <si>
    <t>6e8b3790-9784-47fd-af7a-e6248f9f18d5</t>
  </si>
  <si>
    <t>1 hour, 52 Mins, 42 Sec</t>
  </si>
  <si>
    <t>lysryxez</t>
  </si>
  <si>
    <t>DEVUNURI DIVYA</t>
  </si>
  <si>
    <t>21211a0233@bvrit.ac.in</t>
  </si>
  <si>
    <t>21211a0233</t>
  </si>
  <si>
    <t>e04cfe65-059e-434e-88d9-1f2b84ebdd25</t>
  </si>
  <si>
    <t>1 hour, 9 Mins, 2 Sec</t>
  </si>
  <si>
    <t>lysryxid</t>
  </si>
  <si>
    <t>Dharavath Venu</t>
  </si>
  <si>
    <t>21211a0234@bvrit.ac.in</t>
  </si>
  <si>
    <t>21211A0234</t>
  </si>
  <si>
    <t>3e5ef5c7-ac98-4db5-9fcf-f9b2d6c87ae1</t>
  </si>
  <si>
    <t>25 Mins, 54 Sec</t>
  </si>
  <si>
    <t>lysryy4g</t>
  </si>
  <si>
    <t>GUGULOTH MAHESH</t>
  </si>
  <si>
    <t>21211a0243@bvrit.ac.in</t>
  </si>
  <si>
    <t>21211A0243</t>
  </si>
  <si>
    <t>ac5b7c31-3a5a-42c5-9aa8-99599058ca33</t>
  </si>
  <si>
    <t>33 Mins, 22 Sec</t>
  </si>
  <si>
    <t>lysryya2</t>
  </si>
  <si>
    <t>GUNNALA RANJITHKUMAR</t>
  </si>
  <si>
    <t>21211a0245@bvrit.ac.in</t>
  </si>
  <si>
    <t>21211a0245</t>
  </si>
  <si>
    <t>da2454e4-c76a-434c-a055-40132f71f5ce</t>
  </si>
  <si>
    <t>45 Mins, 54 Sec</t>
  </si>
  <si>
    <t>lysryzir</t>
  </si>
  <si>
    <t>KUSAM LOKESH SAI</t>
  </si>
  <si>
    <t>21211a0260@bvrit.ac.in</t>
  </si>
  <si>
    <t>21211a0260</t>
  </si>
  <si>
    <t>36c2ba9f-f0c8-457f-824b-4f530db8785a</t>
  </si>
  <si>
    <t>40 Mins, 36 Sec</t>
  </si>
  <si>
    <t>lysrzgtg</t>
  </si>
  <si>
    <t>PRAVALIKA MARTHA</t>
  </si>
  <si>
    <t>21211a0270@bvrit.ac.in</t>
  </si>
  <si>
    <t>21211a0270</t>
  </si>
  <si>
    <t>a2f3958e-030a-466d-954b-77c28f934b7a</t>
  </si>
  <si>
    <t>1 hour, 15 Mins, 7 Sec</t>
  </si>
  <si>
    <t>lysrzh6l</t>
  </si>
  <si>
    <t>OUBAIR SHAREEF</t>
  </si>
  <si>
    <t>21211a0276@bvrit.ac.in</t>
  </si>
  <si>
    <t>21211a0276</t>
  </si>
  <si>
    <t>57a9cd92-11c0-44fe-8bd9-c9e869d67925</t>
  </si>
  <si>
    <t>1 hour, 57 Mins, 8 Sec</t>
  </si>
  <si>
    <t>lysrzhmv</t>
  </si>
  <si>
    <t>NAMALA SHASHANK</t>
  </si>
  <si>
    <t>21211a0282@bvrit.ac.in</t>
  </si>
  <si>
    <t>21211A0282</t>
  </si>
  <si>
    <t>50bc2487-b7b3-4be3-8e18-dcc256ab74f3</t>
  </si>
  <si>
    <t>4 Mins, 40 Sec</t>
  </si>
  <si>
    <t>lysrzhq5</t>
  </si>
  <si>
    <t>NATKARI MADHUPRIYANKA</t>
  </si>
  <si>
    <t>21211a0283@bvrit.ac.in</t>
  </si>
  <si>
    <t>21211A0283</t>
  </si>
  <si>
    <t>65899e91-190d-40aa-8da7-f6c9a327b723</t>
  </si>
  <si>
    <t>1 hour, 28 Mins, 52 Sec</t>
  </si>
  <si>
    <t>lysrzhtd</t>
  </si>
  <si>
    <t>OSHIN SHARMA</t>
  </si>
  <si>
    <t>21211a0284@bvrit.ac.in</t>
  </si>
  <si>
    <t>21211A0284</t>
  </si>
  <si>
    <t>920bb3fd-9fd1-4a1b-966d-cd17fc14c07c</t>
  </si>
  <si>
    <t>1 Mins, 52 Sec</t>
  </si>
  <si>
    <t>lysrzhwm</t>
  </si>
  <si>
    <t>RAMANJANEYA PADAKANTI</t>
  </si>
  <si>
    <t>21211a0285@bvrit.ac.in</t>
  </si>
  <si>
    <t>21211A0285</t>
  </si>
  <si>
    <t>c0256d28-c593-4e0f-ae49-d0b3c772f218</t>
  </si>
  <si>
    <t>18 Mins, 26 Sec</t>
  </si>
  <si>
    <t>lysrzi3l</t>
  </si>
  <si>
    <t>PATLOLLA VARUN</t>
  </si>
  <si>
    <t>21211a0287@bvrit.ac.in</t>
  </si>
  <si>
    <t>21211a0287</t>
  </si>
  <si>
    <t>1efd93ff-6192-4f73-b8c2-50c0676b74c7</t>
  </si>
  <si>
    <t>43 Mins, 37 Sec</t>
  </si>
  <si>
    <t>lysrzih6</t>
  </si>
  <si>
    <t>PULUGAM USHASRI</t>
  </si>
  <si>
    <t>21211a0291@bvrit.ac.in</t>
  </si>
  <si>
    <t>21211a0291</t>
  </si>
  <si>
    <t>043685ec-007e-4312-a51a-54e07592506c</t>
  </si>
  <si>
    <t>lysrziqt</t>
  </si>
  <si>
    <t>SABAVAT Sindhu</t>
  </si>
  <si>
    <t>21211a0294@bvrit.ac.in</t>
  </si>
  <si>
    <t>21211A0294</t>
  </si>
  <si>
    <t>c411eeee-0559-47f7-b376-3e84e409a9b7</t>
  </si>
  <si>
    <t>1 hour, 33 Mins, 33 Sec</t>
  </si>
  <si>
    <t>lysrzjow</t>
  </si>
  <si>
    <t>UTHARPALLY SRIKY</t>
  </si>
  <si>
    <t>21211a02a6@bvrit.ac.in</t>
  </si>
  <si>
    <t>21211A02A6</t>
  </si>
  <si>
    <t>f433b7fe-2615-47ae-8458-e95085f23f9f</t>
  </si>
  <si>
    <t>37 Mins, 22 Sec</t>
  </si>
  <si>
    <t>lysrzk1k</t>
  </si>
  <si>
    <t>LAKSHMANREDDY VAJRALA</t>
  </si>
  <si>
    <t>21211a02b0@bvrit.ac.in</t>
  </si>
  <si>
    <t>21211a02b0</t>
  </si>
  <si>
    <t>7765faf5-c3c0-4727-9b63-599708084691</t>
  </si>
  <si>
    <t>1 hour, 4 Mins, 51 Sec</t>
  </si>
  <si>
    <t>lysrzk4s</t>
  </si>
  <si>
    <t>VANAMULA SHIRISHA</t>
  </si>
  <si>
    <t>21211a02b1@bvrit.ac.in</t>
  </si>
  <si>
    <t>21211A02B1</t>
  </si>
  <si>
    <t>4cbce090-1fb1-4513-8e40-e841aac08afa</t>
  </si>
  <si>
    <t>1 hour, 22 Mins, 8 Sec</t>
  </si>
  <si>
    <t>lysrzkec</t>
  </si>
  <si>
    <t>C VINOD KUMAR</t>
  </si>
  <si>
    <t>21211a02b4@bvrit.ac.in</t>
  </si>
  <si>
    <t>21211A02b4</t>
  </si>
  <si>
    <t>f7936cd7-301e-44b1-b6b6-9b8984e147de</t>
  </si>
  <si>
    <t>lysrzkxw</t>
  </si>
  <si>
    <t>YENISHETTY SOWKHYA</t>
  </si>
  <si>
    <t>21211a02c0@bvrit.ac.in</t>
  </si>
  <si>
    <t>21211A02C0</t>
  </si>
  <si>
    <t>510c368c-c39e-42a1-98fe-34635e2bf3d9</t>
  </si>
  <si>
    <t>1 hour, 53 Sec</t>
  </si>
  <si>
    <t>lysrzl11</t>
  </si>
  <si>
    <t>RAKESH YENNAM</t>
  </si>
  <si>
    <t>21211a02c1@bvrit.ac.in</t>
  </si>
  <si>
    <t>21211a02c1</t>
  </si>
  <si>
    <t>6318f46e-c25b-4e1a-b0f9-a43f97c3e61a</t>
  </si>
  <si>
    <t>lysryzvy</t>
  </si>
  <si>
    <t>JELLA JEEVAN SAI</t>
  </si>
  <si>
    <t>22215a0204@bvrit.ac.in</t>
  </si>
  <si>
    <t>22215A0204</t>
  </si>
  <si>
    <t>1f6427f3-4eb4-4859-9440-9b010c0cd27d</t>
  </si>
  <si>
    <t>30 Mins, 47 Sec</t>
  </si>
  <si>
    <t>lysrzl84</t>
  </si>
  <si>
    <t>SATISH REDDY PULLANNAGARI</t>
  </si>
  <si>
    <t>22215a0212@bvrit.ac.in</t>
  </si>
  <si>
    <t>22215A0212</t>
  </si>
  <si>
    <t>8c2570fa-cff6-4a9f-b5a4-b4ee704a3c39</t>
  </si>
  <si>
    <t>49 Mins, 41 Sec</t>
  </si>
  <si>
    <t>lysrzlek</t>
  </si>
  <si>
    <t>MANGA SHARATH CHANDRA</t>
  </si>
  <si>
    <t>22215a0214@bvrit.ac.in</t>
  </si>
  <si>
    <t>22215a0214</t>
  </si>
  <si>
    <t>5aa1fa45-8e9b-4516-9263-e3e975f717f2</t>
  </si>
  <si>
    <t>lysrzlro</t>
  </si>
  <si>
    <t>CHILAKA VINAY</t>
  </si>
  <si>
    <t>22215a0219@bvrit.ac.in</t>
  </si>
  <si>
    <t>22215a0219</t>
  </si>
  <si>
    <t>134e87c2-c9bb-4a99-817b-f9a62d55a41e</t>
  </si>
  <si>
    <t>28 Mins, 13 Sec</t>
  </si>
  <si>
    <t>lysrzxhq</t>
  </si>
  <si>
    <t>21211a1202@bvrit.ac.in</t>
  </si>
  <si>
    <t>20dc553b-f18f-472d-a569-05454c5e8e79</t>
  </si>
  <si>
    <t>8 Mins, 38 Sec</t>
  </si>
  <si>
    <t>lysrzxkx</t>
  </si>
  <si>
    <t>df0ee94f-aaa7-447f-b190-c4bcc8ec6208</t>
  </si>
  <si>
    <t>17 Mins, 44 Sec</t>
  </si>
  <si>
    <t>lysrzyax</t>
  </si>
  <si>
    <t>B SANDEEP</t>
  </si>
  <si>
    <t>91f778cb-0b15-4b5b-8aa3-8c19fbf6a596</t>
  </si>
  <si>
    <t>47 Mins, 46 Sec</t>
  </si>
  <si>
    <t>lysrzyr0</t>
  </si>
  <si>
    <t>Advaith Kumar Yadav Bandi</t>
  </si>
  <si>
    <t>21211a1217@bvrit.ac.in</t>
  </si>
  <si>
    <t>21211a1217</t>
  </si>
  <si>
    <t>83dc7736-6e15-4952-8644-3c917ba0be95</t>
  </si>
  <si>
    <t>1 hour, 29 Mins, 34 Sec</t>
  </si>
  <si>
    <t>lysrzz05</t>
  </si>
  <si>
    <t>JOHAN CHANDRA BOINE</t>
  </si>
  <si>
    <t>21211a1220@bvrit.ac.in</t>
  </si>
  <si>
    <t>21211a1220</t>
  </si>
  <si>
    <t>8cc34069-4336-455e-9133-f1272ad82e21</t>
  </si>
  <si>
    <t>13 Mins, 31 Sec</t>
  </si>
  <si>
    <t>lysrzzls</t>
  </si>
  <si>
    <t>DARA ABHINAYA</t>
  </si>
  <si>
    <t>21211a1228@bvrit.ac.in</t>
  </si>
  <si>
    <t>21211a1228</t>
  </si>
  <si>
    <t>b9d8d59b-4156-457b-9724-31ffa019297e</t>
  </si>
  <si>
    <t>38 Mins, 56 Sec</t>
  </si>
  <si>
    <t>lyss000j</t>
  </si>
  <si>
    <t>DOULAGHAR RISHITHA</t>
  </si>
  <si>
    <t>21211a1233@bvrit.ac.in</t>
  </si>
  <si>
    <t>21211a1233</t>
  </si>
  <si>
    <t>6e252899-88f6-469d-98be-1b63024d5314</t>
  </si>
  <si>
    <t>50 Mins, 54 Sec</t>
  </si>
  <si>
    <t>lyss003k</t>
  </si>
  <si>
    <t>31bf37e4-8513-4d47-b4bf-798f2727110a</t>
  </si>
  <si>
    <t>1 hour, 32 Mins, 24 Sec</t>
  </si>
  <si>
    <t>lyss006t</t>
  </si>
  <si>
    <t>VAISHNAVI DURGAM</t>
  </si>
  <si>
    <t>21211a1235@bvrit.ac.in</t>
  </si>
  <si>
    <t>21211a1235</t>
  </si>
  <si>
    <t>a09e367d-5aba-4060-99a6-f423835d08ae</t>
  </si>
  <si>
    <t>1 hour, 46 Mins, 10 Sec</t>
  </si>
  <si>
    <t>lyss00cq</t>
  </si>
  <si>
    <t>ENAF SIJAUDDIN</t>
  </si>
  <si>
    <t>21211a1237@bvrit.ac.in</t>
  </si>
  <si>
    <t>21211A1237</t>
  </si>
  <si>
    <t>787cec8b-b44c-4962-93d1-e4cfa1d5a9a0</t>
  </si>
  <si>
    <t>10 Mins, 58 Sec</t>
  </si>
  <si>
    <t>lyss00fe</t>
  </si>
  <si>
    <t>GADIPALLY SATVIKA</t>
  </si>
  <si>
    <t>21211a1238@bvrit.ac.in</t>
  </si>
  <si>
    <t>21211A1238</t>
  </si>
  <si>
    <t>37ddf619-4310-406e-9d17-81c5a2906248</t>
  </si>
  <si>
    <t>1 hour, 42 Mins, 38 Sec</t>
  </si>
  <si>
    <t>lyss00kx</t>
  </si>
  <si>
    <t>GAJULA VAISHNAVI</t>
  </si>
  <si>
    <t>21211a1240@bvrit.ac.in</t>
  </si>
  <si>
    <t>21211a1240</t>
  </si>
  <si>
    <t>b3e64ba6-5902-4939-b586-32ab535af5cf</t>
  </si>
  <si>
    <t>1 hour, 2 Mins, 3 Sec</t>
  </si>
  <si>
    <t>lyss00tw</t>
  </si>
  <si>
    <t>RISHIKA GOLI</t>
  </si>
  <si>
    <t>21211a1243@bvrit.ac.in</t>
  </si>
  <si>
    <t>21211a1243</t>
  </si>
  <si>
    <t>f9e09635-3c39-4f4b-bc01-37c598949e0f</t>
  </si>
  <si>
    <t>1 hour, 13 Mins, 2 Sec</t>
  </si>
  <si>
    <t>lyss00wq</t>
  </si>
  <si>
    <t>430bdef0-3589-4bff-91b7-7a78a79e00b0</t>
  </si>
  <si>
    <t>lyss00zu</t>
  </si>
  <si>
    <t>GUNDA SAI NIVAS</t>
  </si>
  <si>
    <t>21211a1245@bvrit.ac.in</t>
  </si>
  <si>
    <t>21211a1245</t>
  </si>
  <si>
    <t>83f33f8e-ec36-46f2-a475-9b563e2d3fed</t>
  </si>
  <si>
    <t>1 hour, 18 Mins, 5 Sec</t>
  </si>
  <si>
    <t>lyss0132</t>
  </si>
  <si>
    <t>GUNTI PRADEEPTHI</t>
  </si>
  <si>
    <t>21211a1246@bvrit.ac.in</t>
  </si>
  <si>
    <t>21211A1246</t>
  </si>
  <si>
    <t>03c97101-f180-44d5-9cb0-0868fce18b25</t>
  </si>
  <si>
    <t>lyss01i5</t>
  </si>
  <si>
    <t>KAIRAMKONDA RAJ KUMAR</t>
  </si>
  <si>
    <t>21211a1251@bvrit.ac.in</t>
  </si>
  <si>
    <t>21211A1251</t>
  </si>
  <si>
    <t>9b57424d-810e-4b32-ae0c-6a20857bc776</t>
  </si>
  <si>
    <t>19 Mins, 20 Sec</t>
  </si>
  <si>
    <t>lyss025u</t>
  </si>
  <si>
    <t>KOTAGIRI AARTHI</t>
  </si>
  <si>
    <t>21211a1258@bvrit.ac.in</t>
  </si>
  <si>
    <t>21211a1258</t>
  </si>
  <si>
    <t>d9cf8308-cfb6-4ee4-baf6-7bba9c6df774</t>
  </si>
  <si>
    <t>45 Mins, 58 Sec</t>
  </si>
  <si>
    <t>lyss0292</t>
  </si>
  <si>
    <t>21211a1259</t>
  </si>
  <si>
    <t>92d406bd-1657-4fc3-bcbc-beff2af0b417</t>
  </si>
  <si>
    <t>1 hour, 1 Mins, 47 Sec</t>
  </si>
  <si>
    <t>lyss02g3</t>
  </si>
  <si>
    <t>SUBHASH KUKKALA</t>
  </si>
  <si>
    <t>21211a1261@bvrit.ac.in</t>
  </si>
  <si>
    <t>21211A1261</t>
  </si>
  <si>
    <t>4472fca6-1032-4d04-967e-22f698cf4ecb</t>
  </si>
  <si>
    <t>58 Mins, 18 Sec</t>
  </si>
  <si>
    <t>lyss02j9</t>
  </si>
  <si>
    <t>VARUN KULKARNI</t>
  </si>
  <si>
    <t>21211a1262@bvrit.ac.in</t>
  </si>
  <si>
    <t>21211a1262</t>
  </si>
  <si>
    <t>f325664e-afc4-46b3-bd13-91a0e4e94e53</t>
  </si>
  <si>
    <t>47 Mins, 22 Sec</t>
  </si>
  <si>
    <t>lyss02t5</t>
  </si>
  <si>
    <t>f2a57af7-12b9-46f7-93a6-c785624fc562</t>
  </si>
  <si>
    <t>56 Mins, 54 Sec</t>
  </si>
  <si>
    <t>lyss0fji</t>
  </si>
  <si>
    <t>HARINI MANDALOJU</t>
  </si>
  <si>
    <t>21211a1270@bvrit.ac.in</t>
  </si>
  <si>
    <t>21211A1270</t>
  </si>
  <si>
    <t>0d6c3104-0d29-4077-a58c-c67944f08219</t>
  </si>
  <si>
    <t>1 hour, 31 Mins, 14 Sec</t>
  </si>
  <si>
    <t>lyss0g51</t>
  </si>
  <si>
    <t>MUDUNURI ABHINAV VARMA</t>
  </si>
  <si>
    <t>21211a1277@bvrit.ac.in</t>
  </si>
  <si>
    <t>21211a1277</t>
  </si>
  <si>
    <t>8a2627f4-2b12-417f-a477-2a5f6f4bd8e6</t>
  </si>
  <si>
    <t>1 hour, 18 Mins, 51 Sec</t>
  </si>
  <si>
    <t>lyss0g8c</t>
  </si>
  <si>
    <t>e679982d-5682-4e39-ba7a-7a7e05070e92</t>
  </si>
  <si>
    <t>lyss0gbf</t>
  </si>
  <si>
    <t>MUTHYAM SRINIKA</t>
  </si>
  <si>
    <t>21211a1279@bvrit.ac.in</t>
  </si>
  <si>
    <t>21211A1279</t>
  </si>
  <si>
    <t>cbb8175e-e382-45f2-a9de-b7372b56bd0f</t>
  </si>
  <si>
    <t>53 Mins, 53 Sec</t>
  </si>
  <si>
    <t>lyss0go7</t>
  </si>
  <si>
    <t>NENAVATH NITHISH</t>
  </si>
  <si>
    <t>5ad7bb88-decd-4a9b-9529-4a8747f3e79e</t>
  </si>
  <si>
    <t>1 hour, 11 Mins, 7 Sec</t>
  </si>
  <si>
    <t>lyss0gun</t>
  </si>
  <si>
    <t>PAAMU PRAVALIKA</t>
  </si>
  <si>
    <t>21211a1285@bvrit.ac.in</t>
  </si>
  <si>
    <t>21211a1285</t>
  </si>
  <si>
    <t>0dc7ee6d-8f6d-423d-a99e-599781599923</t>
  </si>
  <si>
    <t>40 Mins, 50 Sec</t>
  </si>
  <si>
    <t>lyss0gxs</t>
  </si>
  <si>
    <t>MANIKANTA PABBA</t>
  </si>
  <si>
    <t>21211a1286@bvrit.ac.in</t>
  </si>
  <si>
    <t>21211a1286</t>
  </si>
  <si>
    <t>bc322597-2775-4a15-9e5b-858535bedef6</t>
  </si>
  <si>
    <t>53 Mins, 54 Sec</t>
  </si>
  <si>
    <t>lyss0h71</t>
  </si>
  <si>
    <t>PAMIDIBOYINA SATISH</t>
  </si>
  <si>
    <t>21211a1289@bvrit.ac.in</t>
  </si>
  <si>
    <t>21211a1289</t>
  </si>
  <si>
    <t>c816fde0-2292-4962-b58c-c52e628eb099</t>
  </si>
  <si>
    <t>1 hour, 26 Mins, 34 Sec</t>
  </si>
  <si>
    <t>lyss0ham</t>
  </si>
  <si>
    <t>PANDRA NAGA SINDHU P.NAGA SINDHU</t>
  </si>
  <si>
    <t>21211a1290@bvrit.ac.in</t>
  </si>
  <si>
    <t>21211a1290</t>
  </si>
  <si>
    <t>39da2d55-8bc8-4e4f-9482-92d61832f973</t>
  </si>
  <si>
    <t>lyss0hgw</t>
  </si>
  <si>
    <t>53d3f6d5-e591-41e3-bec0-2d225ef77840</t>
  </si>
  <si>
    <t>lyss0hv5</t>
  </si>
  <si>
    <t>POLA SAI PRANAY</t>
  </si>
  <si>
    <t>21211a1298@bvrit.ac.in</t>
  </si>
  <si>
    <t>21211a1298</t>
  </si>
  <si>
    <t>b192d888-696f-4420-98f6-4706a79e8409</t>
  </si>
  <si>
    <t>lyss0hxx</t>
  </si>
  <si>
    <t>SRIVARDHAN REDDY</t>
  </si>
  <si>
    <t>21211a1299@bvrit.ac.in</t>
  </si>
  <si>
    <t>21211A1299</t>
  </si>
  <si>
    <t>019d03b4-0cc8-48bf-9809-ceb74a3483b0</t>
  </si>
  <si>
    <t>26 Mins, 8 Sec</t>
  </si>
  <si>
    <t>lyss0i4a</t>
  </si>
  <si>
    <t>RACHAMALLA AKASH</t>
  </si>
  <si>
    <t>21211a12a1@bvrit.ac.in</t>
  </si>
  <si>
    <t>21211a12a1</t>
  </si>
  <si>
    <t>af41ad15-7e5b-4f4a-aebc-338c21721e6b</t>
  </si>
  <si>
    <t>lyss0i7x</t>
  </si>
  <si>
    <t>HARSHITH REGANI</t>
  </si>
  <si>
    <t>21211a12a2@bvrit.ac.in</t>
  </si>
  <si>
    <t>21211A12A2</t>
  </si>
  <si>
    <t>78987ec4-16cb-4c05-9242-928dfd27a8bf</t>
  </si>
  <si>
    <t>1 hour, 12 Mins, 4 Sec</t>
  </si>
  <si>
    <t>lyss0irn</t>
  </si>
  <si>
    <t>AMEER SOHAIL</t>
  </si>
  <si>
    <t>21211a12b0@bvrit.ac.in</t>
  </si>
  <si>
    <t>21211a12b0</t>
  </si>
  <si>
    <t>1b5c03f7-59e4-40aa-b281-7784e0af04dd</t>
  </si>
  <si>
    <t>30 Mins, 34 Sec</t>
  </si>
  <si>
    <t>lyss0j1f</t>
  </si>
  <si>
    <t>SHASHIKUMAR SHEELA</t>
  </si>
  <si>
    <t>21211a12b3@bvrit.ac.in</t>
  </si>
  <si>
    <t>21211a12b3</t>
  </si>
  <si>
    <t>541fb778-373c-4068-9c6d-675d452f82ef</t>
  </si>
  <si>
    <t>48 Mins, 18 Sec</t>
  </si>
  <si>
    <t>lyss0jlq</t>
  </si>
  <si>
    <t>AKANKSH THALLAPALLY</t>
  </si>
  <si>
    <t>21211a12c0@bvrit.ac.in</t>
  </si>
  <si>
    <t>21211a12c0</t>
  </si>
  <si>
    <t>49e01cdd-925f-4054-a7cf-026619ee384d</t>
  </si>
  <si>
    <t>56 Mins, 41 Sec</t>
  </si>
  <si>
    <t>lyss0jod</t>
  </si>
  <si>
    <t>21211a12c1@bvrit.ac.in</t>
  </si>
  <si>
    <t>21211a12c1</t>
  </si>
  <si>
    <t>6e002091-c4f9-4fb4-bf2b-af82f68d22de</t>
  </si>
  <si>
    <t>1 hour, 6 Mins, 48 Sec</t>
  </si>
  <si>
    <t>lyss0khx</t>
  </si>
  <si>
    <t>YERROLLA KRANTHI KUMAR</t>
  </si>
  <si>
    <t>21211a12d0@bvrit.ac.in</t>
  </si>
  <si>
    <t>21211a12d0</t>
  </si>
  <si>
    <t>e63c5a33-1166-42ee-9f9c-8dc2218520ec</t>
  </si>
  <si>
    <t>1 hour, 31 Mins, 13 Sec</t>
  </si>
  <si>
    <t>lyss02zl</t>
  </si>
  <si>
    <t>22215a1202@bvrit.ac.in</t>
  </si>
  <si>
    <t>521bea7b-2d3e-4545-b7ab-f4f3eacdfd00</t>
  </si>
  <si>
    <t>20 Mins, 18 Sec</t>
  </si>
  <si>
    <t>lyss0kl3</t>
  </si>
  <si>
    <t>SAIKUMAR PANJA</t>
  </si>
  <si>
    <t>3a2e5889-27e7-45dc-91b0-f541bd79f764</t>
  </si>
  <si>
    <t>14 Mins</t>
  </si>
  <si>
    <t>lyss0krj</t>
  </si>
  <si>
    <t>CHIKKULA SRIKANTH</t>
  </si>
  <si>
    <t>22215a1209@bvrit.ac.in</t>
  </si>
  <si>
    <t>22215A1209</t>
  </si>
  <si>
    <t>b8c3a2a3-7254-48bf-8c90-bc240062a81d</t>
  </si>
  <si>
    <t>lyss0l2r</t>
  </si>
  <si>
    <t>b487d421-8d6c-4ee4-9122-26fc1dfe734a</t>
  </si>
  <si>
    <t>lyss0l62</t>
  </si>
  <si>
    <t>TURPATI VASANTH KUMAR</t>
  </si>
  <si>
    <t>22215a1213@bvrit.ac.in</t>
  </si>
  <si>
    <t>22215A1213</t>
  </si>
  <si>
    <t>f7e5b8b6-196a-40e9-80a3-2bb1031319b1</t>
  </si>
  <si>
    <t>44 Mins, 19 Sec</t>
  </si>
  <si>
    <t>lyss1qek</t>
  </si>
  <si>
    <t>PATANGE SANHEETH KUMAR</t>
  </si>
  <si>
    <t>21211a0338@bvrit.ac.in</t>
  </si>
  <si>
    <t>21211a0338</t>
  </si>
  <si>
    <t>MECH</t>
  </si>
  <si>
    <t>c2259414-7a5b-4e00-a4ca-c10deaeab3db</t>
  </si>
  <si>
    <t>43 Mins, 38 Sec</t>
  </si>
  <si>
    <t>lyss18l1</t>
  </si>
  <si>
    <t>GADILA HRITHIKESH REDDY</t>
  </si>
  <si>
    <t>22215a0315@bvrit.ac.in</t>
  </si>
  <si>
    <t>22215a0315</t>
  </si>
  <si>
    <t>4781b416-55bc-42fc-a139-876101c2405b</t>
  </si>
  <si>
    <t>21 Mins, 55 Sec</t>
  </si>
  <si>
    <t>lyss18ya</t>
  </si>
  <si>
    <t>MANOHER M</t>
  </si>
  <si>
    <t>22215a0321@bvrit.ac.in</t>
  </si>
  <si>
    <t>22215a0321</t>
  </si>
  <si>
    <t>a48b69d5-2c33-4124-b381-2a853123655c</t>
  </si>
  <si>
    <t>lyss19rb</t>
  </si>
  <si>
    <t>KUNARAPU PRANAY</t>
  </si>
  <si>
    <t>22215a0331@bvrit.ac.in</t>
  </si>
  <si>
    <t>22215a0331</t>
  </si>
  <si>
    <t>454b27e6-6f03-495e-ac79-0cd501bf2944</t>
  </si>
  <si>
    <t>1 Mins, 10 Sec</t>
  </si>
  <si>
    <t>lyss1a6q</t>
  </si>
  <si>
    <t>BUDALA RAMESH</t>
  </si>
  <si>
    <t>22215a0336@bvrit.ac.in</t>
  </si>
  <si>
    <t>22215a0336</t>
  </si>
  <si>
    <t>0302a51e-0235-4bb0-a629-501f601dff74</t>
  </si>
  <si>
    <t>55 Mins, 18 Sec</t>
  </si>
  <si>
    <t>lyss1s52</t>
  </si>
  <si>
    <t>KOTA SAI KIRAN SOMANA</t>
  </si>
  <si>
    <t>22215a0344@bvrit.ac.in</t>
  </si>
  <si>
    <t>22215A0344</t>
  </si>
  <si>
    <t>5891dc2a-3dbb-4254-93c9-16c80d37dddb</t>
  </si>
  <si>
    <t>15 Mins, 10 Sec</t>
  </si>
  <si>
    <t>lyss1te4</t>
  </si>
  <si>
    <t>POLASA SHIVANI</t>
  </si>
  <si>
    <t>22215a0361@bvrit.ac.in</t>
  </si>
  <si>
    <t>22215A0361</t>
  </si>
  <si>
    <t>c6e553f9-c395-43ac-b65a-8ea37b3b08ee</t>
  </si>
  <si>
    <t>lyss1tq7</t>
  </si>
  <si>
    <t>GONTELA SRIKANTH</t>
  </si>
  <si>
    <t>22215a0365@bvrit.ac.in</t>
  </si>
  <si>
    <t>22215a0365</t>
  </si>
  <si>
    <t>a1a5b8fb-3c1f-43ba-918e-ddd1f4b8921b</t>
  </si>
  <si>
    <t>lyss1u89</t>
  </si>
  <si>
    <t>KANDURU VAMSHIDHAR REDDY</t>
  </si>
  <si>
    <t>22215a0371@bvrit.ac.in</t>
  </si>
  <si>
    <t>22215A0371</t>
  </si>
  <si>
    <t>3b738966-44dd-4f02-927c-8ca972198163</t>
  </si>
  <si>
    <t>20 Mins, 32 Sec</t>
  </si>
  <si>
    <t>Screening Test-02</t>
  </si>
  <si>
    <t>1814744b-17e2-42ca-91e6-454425ef7cd2</t>
  </si>
  <si>
    <t>6408a1c5-b70a-47c2-a439-d59a36943ee6</t>
  </si>
  <si>
    <t>1 Mins, 24 Sec</t>
  </si>
  <si>
    <t>e64c8904-a9c0-4927-85a3-3848d0d93060</t>
  </si>
  <si>
    <t>52 Mins, 30 Sec</t>
  </si>
  <si>
    <t>0ca2ec6c-282d-4a4e-9268-fad47dded698</t>
  </si>
  <si>
    <t>lysrnq7w</t>
  </si>
  <si>
    <t>GAJABINKAR SANJANA</t>
  </si>
  <si>
    <t>21211a7219@bvrit.ac.in</t>
  </si>
  <si>
    <t>21211a7219</t>
  </si>
  <si>
    <t>684ac7ef-2ad7-42be-931c-af2b3f4a2bfc</t>
  </si>
  <si>
    <t>2 Mins, 20 Sec</t>
  </si>
  <si>
    <t>7817ba0b-7eaf-42ba-8e01-e3bede590edc</t>
  </si>
  <si>
    <t>9 Mins, 34 Sec</t>
  </si>
  <si>
    <t>add72ad1-7ffe-40a2-a4fc-e2683b23a0ae</t>
  </si>
  <si>
    <t>59 Mins, 28 Sec</t>
  </si>
  <si>
    <t>2c65442b-b637-48ab-aee3-79fbb1a5139f</t>
  </si>
  <si>
    <t>19 Mins, 49 Sec</t>
  </si>
  <si>
    <t>8703480b-22d3-4c53-8ece-6b6c13e0468e</t>
  </si>
  <si>
    <t>1 hour, 54 Sec</t>
  </si>
  <si>
    <t>a1a09dde-2767-47a6-b485-33d56414439a</t>
  </si>
  <si>
    <t>2 hours, 24 Mins, 38 Sec</t>
  </si>
  <si>
    <t>6ce29483-a738-4dae-9aa0-adfc66999a44</t>
  </si>
  <si>
    <t>2 hours, 9 Mins, 13 Sec</t>
  </si>
  <si>
    <t>d181c09e-c4da-4c9e-8c8a-c97687f67b0a</t>
  </si>
  <si>
    <t>1 hour, 33 Mins, 48 Sec</t>
  </si>
  <si>
    <t>64b4ddb7-6205-421b-bffc-b2363ef40852</t>
  </si>
  <si>
    <t>1 hour, 3 Mins, 13 Sec</t>
  </si>
  <si>
    <t>lysrnuj7</t>
  </si>
  <si>
    <t>SHAIK ABDUL HADHI</t>
  </si>
  <si>
    <t>22215a7205@bvrit.ac.in</t>
  </si>
  <si>
    <t>22215A7205</t>
  </si>
  <si>
    <t>a8b6e6e3-c6d6-40c9-b265-ef457f4450df</t>
  </si>
  <si>
    <t>5 Mins, 33 Sec</t>
  </si>
  <si>
    <t>b2022492-0b40-4d42-bf74-7217848eca25</t>
  </si>
  <si>
    <t>53 Mins, 40 Sec</t>
  </si>
  <si>
    <t>d53912ff-3e90-48f6-89ce-b30cbfaa5dfc</t>
  </si>
  <si>
    <t>36 Mins, 7 Sec</t>
  </si>
  <si>
    <t>f08517c4-7f04-41c6-845f-012193a67081</t>
  </si>
  <si>
    <t>42 Mins, 28 Sec</t>
  </si>
  <si>
    <t>2a0415b2-1a51-4169-82ce-a90a08ea3f15</t>
  </si>
  <si>
    <t>42 Mins, 56 Sec</t>
  </si>
  <si>
    <t>b4dc376b-551e-4a2f-8cfa-165c3c38646f</t>
  </si>
  <si>
    <t>42 Mins, 46 Sec</t>
  </si>
  <si>
    <t>3ebd7fef-5055-4283-b707-cd3e81a3ce8a</t>
  </si>
  <si>
    <t>31 Mins, 44 Sec</t>
  </si>
  <si>
    <t>lysrp8pj</t>
  </si>
  <si>
    <t>KARTHAN ATHRI NANDAN</t>
  </si>
  <si>
    <t>21211a0116@bvrit.ac.in</t>
  </si>
  <si>
    <t>21211a0116</t>
  </si>
  <si>
    <t>562870ea-8da4-43eb-9fbf-e1e35ebf5d40</t>
  </si>
  <si>
    <t>1 hour, 35 Mins, 49 Sec</t>
  </si>
  <si>
    <t>a14078cd-6dd1-47e9-9e1c-d6056fc76c03</t>
  </si>
  <si>
    <t>1 hour, 10 Mins, 42 Sec</t>
  </si>
  <si>
    <t>ac99bfa9-e4a7-400c-a3db-356157a271e1</t>
  </si>
  <si>
    <t>f5e7cc0b-600c-4220-bbf6-8c05bb24fe29</t>
  </si>
  <si>
    <t>49 Mins, 13 Sec</t>
  </si>
  <si>
    <t>lysrpcp9</t>
  </si>
  <si>
    <t>SHAIK PARVEZ</t>
  </si>
  <si>
    <t>22215a0114@bvrit.ac.in</t>
  </si>
  <si>
    <t>22215A0114</t>
  </si>
  <si>
    <t>284be660-1ff9-4914-8cdf-974adf58d4fa</t>
  </si>
  <si>
    <t>7 Mins, 27 Sec</t>
  </si>
  <si>
    <t>29f182f0-e0fa-4fc9-853b-49e8c5ce1683</t>
  </si>
  <si>
    <t>4 Mins, 26 Sec</t>
  </si>
  <si>
    <t>2171d14c-63d4-41ed-8e3d-332322583d17</t>
  </si>
  <si>
    <t>0e0cf655-a869-44c4-8002-649bc46eea66</t>
  </si>
  <si>
    <t>lysrq84f</t>
  </si>
  <si>
    <t>BANDI SATHVIKA</t>
  </si>
  <si>
    <t>21211a3209@bvrit.ac.in</t>
  </si>
  <si>
    <t>21211a3209</t>
  </si>
  <si>
    <t>64179715-fd43-47ae-a422-15bc4e1a9bbd</t>
  </si>
  <si>
    <t>47 Mins, 50 Sec</t>
  </si>
  <si>
    <t>2addd033-aa93-491a-bada-a36bc662cc04</t>
  </si>
  <si>
    <t>1 hour, 19 Mins, 3 Sec</t>
  </si>
  <si>
    <t>69e6fe74-616d-47ca-9ef1-1b854bf28c08</t>
  </si>
  <si>
    <t>f0fc9598-4802-4822-a481-db90cec7f6b7</t>
  </si>
  <si>
    <t>50 Mins, 36 Sec</t>
  </si>
  <si>
    <t>8a7ae017-7561-4251-8817-622cb09b5e09</t>
  </si>
  <si>
    <t>607dfbf7-c558-4e81-b4d3-d9e7ca617a27</t>
  </si>
  <si>
    <t>1 hour, 17 Mins, 41 Sec</t>
  </si>
  <si>
    <t>a649bbe5-f61e-44d4-98c5-bba731def6ce</t>
  </si>
  <si>
    <t>1 hour, 43 Mins, 8 Sec</t>
  </si>
  <si>
    <t>de15676b-03dd-498f-8b7b-8247b58b509c</t>
  </si>
  <si>
    <t>1 hour, 24 Mins, 28 Sec</t>
  </si>
  <si>
    <t>lz3r2pvu</t>
  </si>
  <si>
    <t>AJMERA PRASHANTH</t>
  </si>
  <si>
    <t>22215a3205@bvrit.ac.in</t>
  </si>
  <si>
    <t>22215a3205</t>
  </si>
  <si>
    <t>e7159646-1cd3-4783-8750-ebc8e655c92a</t>
  </si>
  <si>
    <t>246b84bb-1da7-439a-ab54-07122b2a402b</t>
  </si>
  <si>
    <t>1 hour, 2 Mins, 17 Sec</t>
  </si>
  <si>
    <t>44c71429-3423-43c9-9c93-0681e6d82996</t>
  </si>
  <si>
    <t>1 hour, 6 Mins, 2 Sec</t>
  </si>
  <si>
    <t>39e38b69-359d-4c44-afd2-77a43989216b</t>
  </si>
  <si>
    <t>1 hour, 6 Mins, 58 Sec</t>
  </si>
  <si>
    <t>cc933668-7fad-4a43-b4aa-f639a568a597</t>
  </si>
  <si>
    <t>1 hour, 25 Mins, 38 Sec</t>
  </si>
  <si>
    <t>b9de808d-1343-4d0b-84e3-696081388806</t>
  </si>
  <si>
    <t>1 hour, 1 Mins, 20 Sec</t>
  </si>
  <si>
    <t>497f55b3-9be1-4e1e-91a8-53bdfcb3c876</t>
  </si>
  <si>
    <t>0c5a37b5-6835-4057-a521-cabd4d272c1f</t>
  </si>
  <si>
    <t>1 hour, 23 Mins, 57 Sec</t>
  </si>
  <si>
    <t>4333bb59-8dee-4985-8a0d-a3187fad3968</t>
  </si>
  <si>
    <t>2 hours, 25 Mins, 40 Sec</t>
  </si>
  <si>
    <t>1e52a4ca-39ff-4a29-831e-4a90e78f1b97</t>
  </si>
  <si>
    <t>2 hours, 16 Mins, 16 Sec</t>
  </si>
  <si>
    <t>9c467609-7603-4054-86f0-f442c490e05e</t>
  </si>
  <si>
    <t>52262ebb-40a2-4903-89a8-45cc5d92c0b6</t>
  </si>
  <si>
    <t>13485de5-6bb8-41d1-ad89-7eb633afb91f</t>
  </si>
  <si>
    <t>39 Mins, 39 Sec</t>
  </si>
  <si>
    <t>282f78e5-4bbd-4ea8-885d-8b7254a9d0e5</t>
  </si>
  <si>
    <t>8b825b5a-654b-44a2-bfaf-b9f99841f10a</t>
  </si>
  <si>
    <t>2947281d-888f-4066-822d-b8fd2db6ce45</t>
  </si>
  <si>
    <t>1 hour, 5 Mins, 6 Sec</t>
  </si>
  <si>
    <t>ae179985-31f2-4680-bcb4-57d2e373480f</t>
  </si>
  <si>
    <t>1 hour, 5 Mins, 33 Sec</t>
  </si>
  <si>
    <t>5df3fb72-e82f-4ec0-ba17-ca8bbc00c067</t>
  </si>
  <si>
    <t>lysrr9hy</t>
  </si>
  <si>
    <t>21211a0519</t>
  </si>
  <si>
    <t>b4d7f455-dedb-4937-89b8-a85ecfa03d37</t>
  </si>
  <si>
    <t>e6500cf5-54a0-43b3-a525-fe521e2342ce</t>
  </si>
  <si>
    <t>2 hours, 13 Mins, 28 Sec</t>
  </si>
  <si>
    <t>6c616983-96af-4091-b9f2-39ee681a6f56</t>
  </si>
  <si>
    <t>24 Mins, 14 Sec</t>
  </si>
  <si>
    <t>61aa2006-94d1-409e-82ef-e4e60104b882</t>
  </si>
  <si>
    <t>2 hours, 4 Mins, 20 Sec</t>
  </si>
  <si>
    <t>b26ec3ee-a735-47ad-b609-e997043213a6</t>
  </si>
  <si>
    <t>1617292b-c5af-4e30-a0f7-599727d33c7b</t>
  </si>
  <si>
    <t>1 hour, 59 Mins</t>
  </si>
  <si>
    <t>lysrrbnw</t>
  </si>
  <si>
    <t>KARTHIK REDDY BUCHIREDDY GARI</t>
  </si>
  <si>
    <t>21211a0543</t>
  </si>
  <si>
    <t>2051c437-1f4d-41e9-86a8-ab0c3f47ca45</t>
  </si>
  <si>
    <t>2 hours, 32 Mins, 16 Sec</t>
  </si>
  <si>
    <t>aaf31a88-4e93-40e4-bb6d-ce406c290c10</t>
  </si>
  <si>
    <t>11386f28-ba91-4cbd-8bd7-39e72ecc6a08</t>
  </si>
  <si>
    <t>26 Mins, 50 Sec</t>
  </si>
  <si>
    <t>lysrrd2p</t>
  </si>
  <si>
    <t>21211a0559@bvrit.ac.in</t>
  </si>
  <si>
    <t>a51de9b7-0a1b-4876-b460-3e2d0d797cb5</t>
  </si>
  <si>
    <t>1 hour, 50 Mins, 8 Sec</t>
  </si>
  <si>
    <t>bfa75bf3-be74-4cfc-817a-4cd1074f9c94</t>
  </si>
  <si>
    <t>0fe0aff8-5784-4c93-abf7-bc81015ecc7a</t>
  </si>
  <si>
    <t>58 Mins, 34 Sec</t>
  </si>
  <si>
    <t>5395230e-c77d-4abf-9982-a27e90dbf15b</t>
  </si>
  <si>
    <t>lysrre1l</t>
  </si>
  <si>
    <t>22215a0505@bvrit.ac.in</t>
  </si>
  <si>
    <t>22215a0505</t>
  </si>
  <si>
    <t>ff10ff78-c2e6-44dc-a19d-3df006bc5005</t>
  </si>
  <si>
    <t>1 hour, 55 Mins, 54 Sec</t>
  </si>
  <si>
    <t>ea674ea0-d3f8-4278-8503-0002e939dc8b</t>
  </si>
  <si>
    <t>1 hour, 10 Mins, 40 Sec</t>
  </si>
  <si>
    <t>f6736cbe-bc76-4386-a668-90ee51bf1b62</t>
  </si>
  <si>
    <t>1 hour, 11 Mins, 52 Sec</t>
  </si>
  <si>
    <t>7438f3d5-3f6d-4594-8265-568acecead9c</t>
  </si>
  <si>
    <t>51 Mins, 6 Sec</t>
  </si>
  <si>
    <t>d886b19b-0550-49eb-958c-34231a8abb15</t>
  </si>
  <si>
    <t>2 hours, 6 Mins</t>
  </si>
  <si>
    <t>1264319f-f80f-4771-9955-be954263fd86</t>
  </si>
  <si>
    <t>1 hour, 37 Mins, 18 Sec</t>
  </si>
  <si>
    <t>27d8082c-ca5d-4599-9888-0b3907f41560</t>
  </si>
  <si>
    <t>d86835a9-2683-429b-945c-2894b691c3b9</t>
  </si>
  <si>
    <t>51eaad16-1105-4853-ae02-f67ce7b5453f</t>
  </si>
  <si>
    <t>1 hour, 3 Mins, 39 Sec</t>
  </si>
  <si>
    <t>lysrrvyi</t>
  </si>
  <si>
    <t>27f0a5d3-a763-4399-8bf2-48e6a5dd1f1c</t>
  </si>
  <si>
    <t>1 hour, 13 Mins, 13 Sec</t>
  </si>
  <si>
    <t>f9a6e909-be64-439b-9bf7-d669bcba78bf</t>
  </si>
  <si>
    <t>90a8a81e-ded9-41a7-96f3-a6a918c5c040</t>
  </si>
  <si>
    <t>50 Mins, 10 Sec</t>
  </si>
  <si>
    <t>635d3a36-c0ef-485e-9d78-10dc510a54cd</t>
  </si>
  <si>
    <t>8c1d24cd-03ed-4829-9101-407d1ba422d6</t>
  </si>
  <si>
    <t>1 hour, 37 Mins, 16 Sec</t>
  </si>
  <si>
    <t>6376d58d-ffbd-4a0b-9fbc-28019a163c38</t>
  </si>
  <si>
    <t>1 hour, 6 Mins, 43 Sec</t>
  </si>
  <si>
    <t>473a13d7-3910-4225-bcd7-9d1bb7c87ef4</t>
  </si>
  <si>
    <t>0920bdd3-1e56-409d-b866-553f02d3abc6</t>
  </si>
  <si>
    <t>1 hour, 32 Mins, 38 Sec</t>
  </si>
  <si>
    <t>1672d9d7-3494-4529-bea0-78d1d3b9ee67</t>
  </si>
  <si>
    <t>31f0a83b-ab21-40ce-a140-041dfba7896c</t>
  </si>
  <si>
    <t>153e24aa-520f-4cb0-8737-8ece9ef25060</t>
  </si>
  <si>
    <t>1 hour, 44 Mins, 58 Sec</t>
  </si>
  <si>
    <t>7fe65fee-0a9f-4e4a-83de-1b529809ddf5</t>
  </si>
  <si>
    <t>6d62f7d5-cdb1-407f-b09e-4308001babdc</t>
  </si>
  <si>
    <t>1 hour, 51 Mins, 58 Sec</t>
  </si>
  <si>
    <t>61a568e3-fdef-4965-9f22-dcaa9044a61a</t>
  </si>
  <si>
    <t>1 hour, 17 Mins, 26 Sec</t>
  </si>
  <si>
    <t>ab26737d-897e-45af-9425-83e47af24f61</t>
  </si>
  <si>
    <t>15 Mins, 51 Sec</t>
  </si>
  <si>
    <t>lysrtezd</t>
  </si>
  <si>
    <t>21211a05l1</t>
  </si>
  <si>
    <t>73bad853-d69d-4cc1-8efd-0eefe802992b</t>
  </si>
  <si>
    <t>1 hour, 10 Mins, 56 Sec</t>
  </si>
  <si>
    <t>c833598b-b574-4150-8550-58a0b5680182</t>
  </si>
  <si>
    <t>034c64a5-b6ac-4ee2-b62a-68e0c3a8152b</t>
  </si>
  <si>
    <t>15 Mins, 38 Sec</t>
  </si>
  <si>
    <t>c4127cd1-7b9c-40a2-8665-a73d6423e367</t>
  </si>
  <si>
    <t>1 hour, 50 Mins, 50 Sec</t>
  </si>
  <si>
    <t>831a715f-3b7c-448e-a9be-32a8e7eb101d</t>
  </si>
  <si>
    <t>1 hour, 26 Mins, 32 Sec</t>
  </si>
  <si>
    <t>lysrtg3d</t>
  </si>
  <si>
    <t>fb8fda1a-5744-49b1-b851-70553211bf8e</t>
  </si>
  <si>
    <t>ed9c7f8d-140d-471e-86de-2c7959727d48</t>
  </si>
  <si>
    <t>1 hour, 39 Mins, 51 Sec</t>
  </si>
  <si>
    <t>cd80c566-70fb-41bc-9f53-6f667312339e</t>
  </si>
  <si>
    <t>5fdf34cb-df54-4f33-baed-de0de15e3a7f</t>
  </si>
  <si>
    <t>56 Mins, 26 Sec</t>
  </si>
  <si>
    <t>b1c3d501-9d1e-4751-9aa5-d3ef8df8999d</t>
  </si>
  <si>
    <t>53 Mins, 37 Sec</t>
  </si>
  <si>
    <t>lysrtibi</t>
  </si>
  <si>
    <t>e8f22933-0c32-4662-844c-0a365c9ddc13</t>
  </si>
  <si>
    <t>2 hours, 11 Mins, 35 Sec</t>
  </si>
  <si>
    <t>f4b6f694-6e37-47dd-8d99-a84b9551fb7f</t>
  </si>
  <si>
    <t>1 hour, 39 Mins, 38 Sec</t>
  </si>
  <si>
    <t>7436280e-6567-4dfe-ab14-49e8fc671651</t>
  </si>
  <si>
    <t>36 Mins, 57 Sec</t>
  </si>
  <si>
    <t>1149dbd5-96fa-4e45-8400-2bad90144e58</t>
  </si>
  <si>
    <t>49 Mins, 53 Sec</t>
  </si>
  <si>
    <t>9e03f011-14ab-4e78-a34a-330db5f8b2d0</t>
  </si>
  <si>
    <t>46a95ab4-2659-4f88-a050-d39a2f0b8840</t>
  </si>
  <si>
    <t>fd643304-1a2d-4981-bc11-675526ae2a6c</t>
  </si>
  <si>
    <t>19 Mins, 8 Sec</t>
  </si>
  <si>
    <t>2f53dee6-da79-4cf3-8684-e31f4cc21bf8</t>
  </si>
  <si>
    <t>3 Mins, 2 Sec</t>
  </si>
  <si>
    <t>0ca38d8d-a761-4af9-97a1-90c4a3896ef0</t>
  </si>
  <si>
    <t>1 hour, 57 Mins, 50 Sec</t>
  </si>
  <si>
    <t>35d855e9-7796-4ac1-84c8-85a73a6aba52</t>
  </si>
  <si>
    <t>42 Mins, 42 Sec</t>
  </si>
  <si>
    <t>9b2975ed-2813-41c5-b668-13cf2f9fb0af</t>
  </si>
  <si>
    <t>53 Mins, 12 Sec</t>
  </si>
  <si>
    <t>4b34c667-315e-43b0-ac3b-d0f835f28c9e</t>
  </si>
  <si>
    <t>abd18156-556c-4e1f-b655-dd6dd5fb5634</t>
  </si>
  <si>
    <t>aaa122a2-c4e8-44ba-b502-54322ec41235</t>
  </si>
  <si>
    <t>2 hours, 2 Mins, 16 Sec</t>
  </si>
  <si>
    <t>40a9efe8-f61b-4fcb-a128-6b5aa9937e88</t>
  </si>
  <si>
    <t>1 hour, 43 Mins, 15 Sec</t>
  </si>
  <si>
    <t>5943b692-b7f0-4785-9588-3fb59ad61722</t>
  </si>
  <si>
    <t>1 hour, 44 Mins, 45 Sec</t>
  </si>
  <si>
    <t>6578dc8f-2446-437c-917c-5058d09fcd20</t>
  </si>
  <si>
    <t>1 hour, 3 Mins, 12 Sec</t>
  </si>
  <si>
    <t>c1e718e3-6744-4572-b8c9-b50017278e8d</t>
  </si>
  <si>
    <t>lysrvebg</t>
  </si>
  <si>
    <t>5fde5cec-795a-40fe-971f-0346d7ae27c1</t>
  </si>
  <si>
    <t>54 Mins, 49 Sec</t>
  </si>
  <si>
    <t>91090441-47b4-49d6-bc8b-493d1fd36dde</t>
  </si>
  <si>
    <t>47 Mins, 8 Sec</t>
  </si>
  <si>
    <t>c9ee39e3-7d70-4053-ae8c-8a6eca8919f1</t>
  </si>
  <si>
    <t>2 hours, 19 Mins, 58 Sec</t>
  </si>
  <si>
    <t>d6662560-a5b5-47aa-bf77-cdf91b011688</t>
  </si>
  <si>
    <t>15 Mins, 24 Sec</t>
  </si>
  <si>
    <t>a54f8142-01e9-4290-b96f-8e261ed53c38</t>
  </si>
  <si>
    <t>39 Mins, 54 Sec</t>
  </si>
  <si>
    <t>7fde04d8-0b3b-41e8-b7f5-21d4eca28cc8</t>
  </si>
  <si>
    <t>1 hour, 21 Mins, 40 Sec</t>
  </si>
  <si>
    <t>930cb4ac-4300-4145-b419-ca29b6acb0fb</t>
  </si>
  <si>
    <t>lysrvu1m</t>
  </si>
  <si>
    <t>eff8b80d-1d2c-4229-bcc5-6a404a820be0</t>
  </si>
  <si>
    <t>23 Mins, 49 Sec</t>
  </si>
  <si>
    <t>89981678-e47e-405e-8012-686bb318e59e</t>
  </si>
  <si>
    <t>48 Mins, 15 Sec</t>
  </si>
  <si>
    <t>lysrvvqy</t>
  </si>
  <si>
    <t>PATLOLLA SANDEEP</t>
  </si>
  <si>
    <t>21211a6640@bvrit.ac.in</t>
  </si>
  <si>
    <t>21211a6640</t>
  </si>
  <si>
    <t>707e3df1-baf1-436e-8f76-54efdc5193ce</t>
  </si>
  <si>
    <t>1 hour, 24 Mins, 35 Sec</t>
  </si>
  <si>
    <t>lysrvwmv</t>
  </si>
  <si>
    <t>TAMMANNA SHAIK</t>
  </si>
  <si>
    <t>21211a6651@bvrit.ac.in</t>
  </si>
  <si>
    <t>21211A6651</t>
  </si>
  <si>
    <t>05b6d5cd-a23f-4d2a-aab4-da319039e21a</t>
  </si>
  <si>
    <t>b4d90795-7ab8-4386-85ff-476837705338</t>
  </si>
  <si>
    <t>45 Mins, 16 Sec</t>
  </si>
  <si>
    <t>3d016ee1-05fd-48a9-9d3d-1dbc002ddc7f</t>
  </si>
  <si>
    <t>c3532144-472d-4bf1-a4e1-b36d3a71b3a8</t>
  </si>
  <si>
    <t>f708e8ec-eb75-4a2a-b5ac-54dc1fc32213</t>
  </si>
  <si>
    <t>2 Mins, 6 Sec</t>
  </si>
  <si>
    <t>lysrwjx7</t>
  </si>
  <si>
    <t>ADDAGARLA DURGA PRASAD</t>
  </si>
  <si>
    <t>21211a0404@bvrit.ac.in</t>
  </si>
  <si>
    <t>21211A0404</t>
  </si>
  <si>
    <t>a034386a-d20a-41d4-a096-ac46eb18f7a9</t>
  </si>
  <si>
    <t>55 Mins, 44 Sec</t>
  </si>
  <si>
    <t>3e0f86f8-b81b-42c1-8f85-d440eee5c348</t>
  </si>
  <si>
    <t>56 Mins</t>
  </si>
  <si>
    <t>5c253313-cff6-4a89-b452-1c8bc2a033b7</t>
  </si>
  <si>
    <t>32 Mins, 1 Sec</t>
  </si>
  <si>
    <t>f0cf916f-007d-456a-b731-033f2434e27e</t>
  </si>
  <si>
    <t>46 Mins, 40 Sec</t>
  </si>
  <si>
    <t>32a16d19-d6b8-4ca0-85ba-13bff99b08b8</t>
  </si>
  <si>
    <t>aa20fc42-19e3-4cbd-92e2-978bf8693797</t>
  </si>
  <si>
    <t>1 hour, 27 Mins, 10 Sec</t>
  </si>
  <si>
    <t>6a981b66-c3b9-40ee-af5b-1c1535dd1afd</t>
  </si>
  <si>
    <t>38 Mins, 44 Sec</t>
  </si>
  <si>
    <t>lysrwo7d</t>
  </si>
  <si>
    <t>CHILUVURI NANI VARMA</t>
  </si>
  <si>
    <t>21211a0455@bvrit.ac.in</t>
  </si>
  <si>
    <t>21211A0455</t>
  </si>
  <si>
    <t>b14e8946-1e67-4938-8399-c7d7c039c241</t>
  </si>
  <si>
    <t>44 Mins, 20 Sec</t>
  </si>
  <si>
    <t>20c5c3cf-5a11-4b6c-a27f-3da1f740e84c</t>
  </si>
  <si>
    <t>21 Mins</t>
  </si>
  <si>
    <t>af1608b6-73fd-490e-96de-6cdf10668a7f</t>
  </si>
  <si>
    <t>43 Mins, 36 Sec</t>
  </si>
  <si>
    <t>dac6f48c-a1ec-4033-9f25-bf0af50f56ae</t>
  </si>
  <si>
    <t>58 Mins, 6 Sec</t>
  </si>
  <si>
    <t>90069c3f-b84f-4471-bc21-734d3991d821</t>
  </si>
  <si>
    <t>ca846f87-9027-44dd-b87b-332c5d7ad1d1</t>
  </si>
  <si>
    <t>12368546-30a6-4184-8e60-96c78e6116c2</t>
  </si>
  <si>
    <t>1 hour, 24 Mins, 56 Sec</t>
  </si>
  <si>
    <t>c1519566-230f-42e7-932e-1682aa6c4bc9</t>
  </si>
  <si>
    <t>1 hour, 33 Mins, 6 Sec</t>
  </si>
  <si>
    <t>798a87bb-470a-43ea-83b5-56a27dafc2fa</t>
  </si>
  <si>
    <t>1 hour, 44 Mins, 46 Sec</t>
  </si>
  <si>
    <t>3c0356de-2b8a-4e66-a272-ff4c60cecb34</t>
  </si>
  <si>
    <t>1 hour, 26 Mins, 5 Sec</t>
  </si>
  <si>
    <t>80b2ccfc-d7e4-4c14-9af7-a9ff507c19b8</t>
  </si>
  <si>
    <t>1 hour, 12 Mins, 48 Sec</t>
  </si>
  <si>
    <t>98c2bb0b-e1d0-4e3e-8bac-7cbd7d704bbe</t>
  </si>
  <si>
    <t>5 Mins, 7 Sec</t>
  </si>
  <si>
    <t>a1c596ce-abb9-45bc-ba85-08b3eb55c42c</t>
  </si>
  <si>
    <t>1 hour, 15 Mins, 8 Sec</t>
  </si>
  <si>
    <t>afb54403-1f14-4ff4-bf00-131aae88d696</t>
  </si>
  <si>
    <t>1 hour, 39 Mins, 1 Sec</t>
  </si>
  <si>
    <t>lysrx4lw</t>
  </si>
  <si>
    <t>LASYA PREETI GANTI</t>
  </si>
  <si>
    <t>21211a0486@bvrit.ac.in</t>
  </si>
  <si>
    <t>21211A0486</t>
  </si>
  <si>
    <t>0dc3b4d1-d7d7-4a35-abaa-cd33773ea7e3</t>
  </si>
  <si>
    <t>19 Mins, 18 Sec</t>
  </si>
  <si>
    <t>8dc486ef-6fe7-4bac-90de-39e248e18a7d</t>
  </si>
  <si>
    <t>2 hours, 4 Mins, 35 Sec</t>
  </si>
  <si>
    <t>7bd6de2e-cb80-471f-accb-b6e5a8fa16cf</t>
  </si>
  <si>
    <t>1 hour, 27 Mins, 13 Sec</t>
  </si>
  <si>
    <t>17d7984b-20f5-483e-a89a-74ebbe657624</t>
  </si>
  <si>
    <t>554300ff-08fe-467e-ba7b-1c68d75db1f4</t>
  </si>
  <si>
    <t>1 hour, 19 Mins, 4 Sec</t>
  </si>
  <si>
    <t>fa6a2294-e622-4bf6-abfc-16607cd9511d</t>
  </si>
  <si>
    <t>72e10a0c-a210-4a5c-81c7-f76b11ec1647</t>
  </si>
  <si>
    <t>52 Mins, 16 Sec</t>
  </si>
  <si>
    <t>145316dc-948c-4fd5-9343-05929e877973</t>
  </si>
  <si>
    <t>28 Mins, 56 Sec</t>
  </si>
  <si>
    <t>b49c7023-d566-4d12-a132-cb9ed1f68348</t>
  </si>
  <si>
    <t>36 Mins, 10 Sec</t>
  </si>
  <si>
    <t>22439bf6-785a-425f-990f-17440e1241ea</t>
  </si>
  <si>
    <t>49 Mins, 25 Sec</t>
  </si>
  <si>
    <t>98dd52a6-7482-41f1-9bdf-3b0feaddb46c</t>
  </si>
  <si>
    <t>63b7723c-f6d7-4601-bd06-eff379a20959</t>
  </si>
  <si>
    <t>6 Mins, 18 Sec</t>
  </si>
  <si>
    <t>2a32256e-1b00-4610-ab49-adcd7ce79120</t>
  </si>
  <si>
    <t>27 Mins, 46 Sec</t>
  </si>
  <si>
    <t>d85756f2-72e6-4717-a0be-69e612e7f2f2</t>
  </si>
  <si>
    <t>38 Mins, 16 Sec</t>
  </si>
  <si>
    <t>bf653dfd-f029-458d-8dc0-eb6c88bcd22c</t>
  </si>
  <si>
    <t>55 Mins, 32 Sec</t>
  </si>
  <si>
    <t>175b30bb-8a66-42a3-bde7-08aaf1180cfe</t>
  </si>
  <si>
    <t>19 Mins, 36 Sec</t>
  </si>
  <si>
    <t>283de047-9ad9-49e0-bec9-cbe153877449</t>
  </si>
  <si>
    <t>48ebb1b3-40cd-4b0f-84bd-69a20eee3b95</t>
  </si>
  <si>
    <t>1 hour, 47 Mins, 6 Sec</t>
  </si>
  <si>
    <t>ba19e434-6935-4d6e-ad8b-acd042035505</t>
  </si>
  <si>
    <t>87239163-6ab2-4db4-a991-6617dc0819b5</t>
  </si>
  <si>
    <t>1 hour, 34 Mins, 30 Sec</t>
  </si>
  <si>
    <t>05ade4fd-3efb-4709-9608-53d5f2b289a3</t>
  </si>
  <si>
    <t>d5c438a4-93ea-4bd2-b2a4-ea5c53a04ffc</t>
  </si>
  <si>
    <t>1 hour, 16 Mins, 32 Sec</t>
  </si>
  <si>
    <t>81fa0c43-7f6d-472d-9ce3-ce67f07c50c6</t>
  </si>
  <si>
    <t>1d7fc67a-710c-4734-a38e-2ee5e9f71d49</t>
  </si>
  <si>
    <t>51 Mins, 33 Sec</t>
  </si>
  <si>
    <t>6f5c3f55-5de9-4218-a6e5-e3888a95b00c</t>
  </si>
  <si>
    <t>9 Mins, 48 Sec</t>
  </si>
  <si>
    <t>ef1f1fce-d4d5-4b87-831b-fd0a3b9cdb01</t>
  </si>
  <si>
    <t>64f9b0f6-dc87-4c9d-8e66-7bc13a707b6f</t>
  </si>
  <si>
    <t>1 hour, 9 Mins, 46 Sec</t>
  </si>
  <si>
    <t>e4cd59a4-0d14-43a4-913a-6672bf303c3b</t>
  </si>
  <si>
    <t>1 hour, 24 Mins, 27 Sec</t>
  </si>
  <si>
    <t>lysrxq1l</t>
  </si>
  <si>
    <t>MANIKANTA MYAKALA</t>
  </si>
  <si>
    <t>21211a04h4@bvrit.ac.in</t>
  </si>
  <si>
    <t>21211A04H4</t>
  </si>
  <si>
    <t>2fcbac5c-e6f8-4c03-bbbd-ef1d0955809f</t>
  </si>
  <si>
    <t>8d925a56-2ed6-4b41-8834-cd4781943c4b</t>
  </si>
  <si>
    <t>23 Mins, 53 Sec</t>
  </si>
  <si>
    <t>d76be6c5-2582-459e-a3e4-cb20940eb785</t>
  </si>
  <si>
    <t>56 Mins, 56 Sec</t>
  </si>
  <si>
    <t>2b065a52-4be0-4f72-a48c-81967972a5ac</t>
  </si>
  <si>
    <t>27 Mins, 4 Sec</t>
  </si>
  <si>
    <t>712023d6-dd9f-440d-b7f3-53c68844a35f</t>
  </si>
  <si>
    <t>d61ebae7-b75d-487a-bdbc-f0d749d740da</t>
  </si>
  <si>
    <t>1 hour, 2 Mins, 44 Sec</t>
  </si>
  <si>
    <t>lysrxrep</t>
  </si>
  <si>
    <t>PASULA RAMA KRISHNA</t>
  </si>
  <si>
    <t>21211a04k1@bvrit.ac.in</t>
  </si>
  <si>
    <t>21211a04K1</t>
  </si>
  <si>
    <t>e62807b9-ecc4-44ba-90ea-235814173b19</t>
  </si>
  <si>
    <t>1 hour, 8 Mins, 36 Sec</t>
  </si>
  <si>
    <t>a871b5f9-53f8-4eef-9425-7224e9c6daa8</t>
  </si>
  <si>
    <t>47 Mins, 36 Sec</t>
  </si>
  <si>
    <t>ecf946d6-51a7-4a77-9dfb-9c6a5d832ceb</t>
  </si>
  <si>
    <t>1 hour, 11 Mins, 24 Sec</t>
  </si>
  <si>
    <t>5a16a625-d532-49c7-b993-3852ff3e8049</t>
  </si>
  <si>
    <t>1 hour, 44 Mins, 31 Sec</t>
  </si>
  <si>
    <t>98188599-242b-4955-b45a-92ddf1b9c823</t>
  </si>
  <si>
    <t>55d58ab4-4bc4-4e3a-939f-a0c1ed9379e8</t>
  </si>
  <si>
    <t>51 Mins, 17 Sec</t>
  </si>
  <si>
    <t>2b5692a8-1ba1-4b82-86e4-a9534ce4eee2</t>
  </si>
  <si>
    <t>52de8210-c278-4040-b2fb-1c09a3c829c9</t>
  </si>
  <si>
    <t>e2bb473c-2a2b-4ee6-8367-9c745e10fdd1</t>
  </si>
  <si>
    <t>56 Mins, 28 Sec</t>
  </si>
  <si>
    <t>0a3137ad-a960-4cb8-817c-23c55213d3f1</t>
  </si>
  <si>
    <t>391c9139-f568-463b-88dd-305e132dac82</t>
  </si>
  <si>
    <t>1 hour, 25 Mins, 11 Sec</t>
  </si>
  <si>
    <t>lysrybt4</t>
  </si>
  <si>
    <t>THIRUNAGARI SHEELA</t>
  </si>
  <si>
    <t>21211a04q3@bvrit.ac.in</t>
  </si>
  <si>
    <t>21211A04Q3</t>
  </si>
  <si>
    <t>2279db59-1537-4ba7-934d-e295d0dff110</t>
  </si>
  <si>
    <t>1 hour, 12 Mins, 34 Sec</t>
  </si>
  <si>
    <t>650e2637-e142-4403-918c-4ffb4948e2d0</t>
  </si>
  <si>
    <t>78c4e1b6-6e11-4d5e-9a00-c320311cd5bd</t>
  </si>
  <si>
    <t>9578dda2-a541-4d02-a770-a04b824c975c</t>
  </si>
  <si>
    <t>1 hour, 45 Mins, 8 Sec</t>
  </si>
  <si>
    <t>26b76f21-8012-4f03-8521-fb1e97f6e02c</t>
  </si>
  <si>
    <t>1 hour, 16 Mins, 4 Sec</t>
  </si>
  <si>
    <t>6ae8c1ba-ae5c-469c-b35a-bb662ac45fb9</t>
  </si>
  <si>
    <t>2 hours, 23 Mins, 50 Sec</t>
  </si>
  <si>
    <t>845cd766-115d-4f75-98ae-8130c419ef46</t>
  </si>
  <si>
    <t>1 hour, 29 Mins, 24 Sec</t>
  </si>
  <si>
    <t>7e00260a-fea4-4bcf-a0a3-e4d2e6786145</t>
  </si>
  <si>
    <t>9 Mins, 6 Sec</t>
  </si>
  <si>
    <t>cef7f686-7a17-497d-8881-5a80eb5b36df</t>
  </si>
  <si>
    <t>8139a5e4-860f-4a8f-ae3e-93e17fdeec2e</t>
  </si>
  <si>
    <t>1 hour, 40 Mins, 59 Sec</t>
  </si>
  <si>
    <t>03af6175-c506-41e3-b2d7-d1d1ff06e0b5</t>
  </si>
  <si>
    <t>8 Mins, 52 Sec</t>
  </si>
  <si>
    <t>01d726e9-946b-4ead-8c9a-2e56a792fc96</t>
  </si>
  <si>
    <t>ec3c9a8d-4386-4dbe-8849-f2cb33c0281e</t>
  </si>
  <si>
    <t>20 Mins, 4 Sec</t>
  </si>
  <si>
    <t>50f6e8d1-0164-45ae-87a4-6dfe393a2dfc</t>
  </si>
  <si>
    <t>18 Mins, 51 Sec</t>
  </si>
  <si>
    <t>e02569ac-abdf-41a6-bb19-8bae93689832</t>
  </si>
  <si>
    <t>35 Mins, 56 Sec</t>
  </si>
  <si>
    <t>lysryzfy</t>
  </si>
  <si>
    <t>PRANEETH KUMAR</t>
  </si>
  <si>
    <t>21211a0259@bvrit.ac.in</t>
  </si>
  <si>
    <t>21211A0259</t>
  </si>
  <si>
    <t>e7d9505e-f39d-4d64-be29-36b7b9f31d27</t>
  </si>
  <si>
    <t>26 Mins, 16 Sec</t>
  </si>
  <si>
    <t>b494f76f-98b8-4f9a-b3dc-8ee19b658ddc</t>
  </si>
  <si>
    <t>6c1b4f67-3eb7-4687-a812-d844cdb0c9ba</t>
  </si>
  <si>
    <t>22 Mins, 10 Sec</t>
  </si>
  <si>
    <t>lysrz0bt</t>
  </si>
  <si>
    <t>ODDEPALLI PREMJYOTHI</t>
  </si>
  <si>
    <t>22215a0209@bvrit.ac.in</t>
  </si>
  <si>
    <t>22215a0209</t>
  </si>
  <si>
    <t>9201cb23-39e6-4fd8-bcec-7619eca6ac69</t>
  </si>
  <si>
    <t>583f381d-9a86-4667-b630-300e43dcc4af</t>
  </si>
  <si>
    <t>e24b010c-67fa-4dac-80b9-fa254a1c456d</t>
  </si>
  <si>
    <t>1 hour, 49 Mins, 53 Sec</t>
  </si>
  <si>
    <t>399f113e-ff9e-42ee-ac6e-62b3d6f96556</t>
  </si>
  <si>
    <t>3 Mins, 44 Sec</t>
  </si>
  <si>
    <t>ad381be7-d582-4d13-bab8-343c0234b9ca</t>
  </si>
  <si>
    <t>4 Mins, 9 Sec</t>
  </si>
  <si>
    <t>3d822abf-94a3-4ef6-a898-dc4cd542e507</t>
  </si>
  <si>
    <t>7da5eca4-ef2d-4fd2-90d4-7463ccd91895</t>
  </si>
  <si>
    <t>12 Mins, 47 Sec</t>
  </si>
  <si>
    <t>lysrzikj</t>
  </si>
  <si>
    <t>R R BALARISHNA</t>
  </si>
  <si>
    <t>21211a0292@bvrit.ac.in</t>
  </si>
  <si>
    <t>21211A0292</t>
  </si>
  <si>
    <t>4c62d298-699a-4471-99f2-eb6f9e740b8f</t>
  </si>
  <si>
    <t>8 Mins, 24 Sec</t>
  </si>
  <si>
    <t>b5ab837f-a779-4fb0-adc2-cb13612001f3</t>
  </si>
  <si>
    <t>5 Mins, 22 Sec</t>
  </si>
  <si>
    <t>6478ea4f-b357-44c2-869c-057b144b2122</t>
  </si>
  <si>
    <t>1 hour, 39 Mins, 6 Sec</t>
  </si>
  <si>
    <t>d77417f7-6069-47da-ad6f-7ec5dd30041d</t>
  </si>
  <si>
    <t>3 Mins, 43 Sec</t>
  </si>
  <si>
    <t>0b98de8b-ca9c-488e-a0a5-0907df28a98d</t>
  </si>
  <si>
    <t>1c6ca5ff-6c90-40fe-b3c0-c47aa817ee59</t>
  </si>
  <si>
    <t>38f4229c-4940-437d-9561-f69569ef26dd</t>
  </si>
  <si>
    <t>52 Mins, 41 Sec</t>
  </si>
  <si>
    <t>21437056-51aa-4873-92a9-f383fdf59539</t>
  </si>
  <si>
    <t>d4ef53b2-72b9-4225-9e2a-fc145363c557</t>
  </si>
  <si>
    <t>35 Mins, 26 Sec</t>
  </si>
  <si>
    <t>96f12e55-5548-4b2b-9c2f-182e858aaa4d</t>
  </si>
  <si>
    <t>13 Mins, 17 Sec</t>
  </si>
  <si>
    <t>dd886120-89ae-4d67-af89-eeb35b153c6a</t>
  </si>
  <si>
    <t>e8d539a6-995a-435f-984d-e2bc4dbb7810</t>
  </si>
  <si>
    <t>2 hours, 6 Mins, 42 Sec</t>
  </si>
  <si>
    <t>06ae82c3-d328-4407-b10b-638d89eea34a</t>
  </si>
  <si>
    <t>13 Mins, 4 Sec</t>
  </si>
  <si>
    <t>lysrzzgc</t>
  </si>
  <si>
    <t>CHINTHALA SAITHI</t>
  </si>
  <si>
    <t>21211a1226@bvrit.ac.in</t>
  </si>
  <si>
    <t>21211a1226</t>
  </si>
  <si>
    <t>372cb3b4-a372-47d0-8059-ed957e748e22</t>
  </si>
  <si>
    <t>1 hour, 40 Sec</t>
  </si>
  <si>
    <t>ee149432-6ecf-4f2d-a9e2-1c41fb2b16ae</t>
  </si>
  <si>
    <t>lysrzzrz</t>
  </si>
  <si>
    <t>DEEPESH SREECHARAN M</t>
  </si>
  <si>
    <t>21211a1230@bvrit.ac.in</t>
  </si>
  <si>
    <t>21211a1230</t>
  </si>
  <si>
    <t>6fae3674-cbd0-433e-a192-337399fa3fb4</t>
  </si>
  <si>
    <t>51 Mins, 48 Sec</t>
  </si>
  <si>
    <t>33993205-eeb9-4226-bbaa-6fbcd7348b72</t>
  </si>
  <si>
    <t>1 hour, 41 Mins, 1 Sec</t>
  </si>
  <si>
    <t>39391c82-717f-4eb9-b322-fb5951dcdd3c</t>
  </si>
  <si>
    <t>2 hours, 6 Mins, 12 Sec</t>
  </si>
  <si>
    <t>423a9167-6b1a-45c5-b097-2515fe4b415b</t>
  </si>
  <si>
    <t>51 Mins, 45 Sec</t>
  </si>
  <si>
    <t>2d9fd250-a031-41d0-a6fb-913e751fb349</t>
  </si>
  <si>
    <t>1 hour, 25 Mins, 51 Sec</t>
  </si>
  <si>
    <t>b7324776-0a20-46b1-ae05-118849f4abe4</t>
  </si>
  <si>
    <t>1 hour, 29 Mins, 20 Sec</t>
  </si>
  <si>
    <t>7eca5135-3003-4e69-aefd-505b35f179cc</t>
  </si>
  <si>
    <t>31 Mins, 58 Sec</t>
  </si>
  <si>
    <t>88bf3d5f-be24-491f-b04b-d31eb5b1642c</t>
  </si>
  <si>
    <t>1 hour, 37 Mins, 17 Sec</t>
  </si>
  <si>
    <t>b718845f-dbc1-49a1-b98b-441e33bb0e4c</t>
  </si>
  <si>
    <t>1 hour, 26 Mins, 58 Sec</t>
  </si>
  <si>
    <t>995fc3c2-29c9-44b0-85a9-165df8fe0cb6</t>
  </si>
  <si>
    <t>1 hour, 16 Mins, 58 Sec</t>
  </si>
  <si>
    <t>30146c9b-3aec-4f04-a146-faae6cb950de</t>
  </si>
  <si>
    <t>59 Mins, 58 Sec</t>
  </si>
  <si>
    <t>d6cf5cf6-74e4-44c9-8979-f3cc0c12e376</t>
  </si>
  <si>
    <t>1 hour, 15 Mins, 48 Sec</t>
  </si>
  <si>
    <t>aae091e0-28c6-4773-a26a-b31a95d0c02c</t>
  </si>
  <si>
    <t>4a41065b-8a2f-4e90-983b-a794b4ef50c9</t>
  </si>
  <si>
    <t>1 hour, 7 Mins, 26 Sec</t>
  </si>
  <si>
    <t>3f3cb1e2-db9e-4913-b6fd-2fe046d09646</t>
  </si>
  <si>
    <t>lyss0f7x</t>
  </si>
  <si>
    <t>M SAI MANIKANTA</t>
  </si>
  <si>
    <t>21211a1266@bvrit.ac.in</t>
  </si>
  <si>
    <t>21211A1266</t>
  </si>
  <si>
    <t>b857a66d-c451-4b14-8a3c-5eb2360cf901</t>
  </si>
  <si>
    <t>0946e8d1-bd3f-4531-82ba-281bd2f28a7c</t>
  </si>
  <si>
    <t>c9b45404-ebf3-4527-83c6-15f465491a7b</t>
  </si>
  <si>
    <t>1 hour, 9 Mins, 4 Sec</t>
  </si>
  <si>
    <t>07a8ea8f-9604-40af-957f-7bc0226d6d73</t>
  </si>
  <si>
    <t>32 Mins, 26 Sec</t>
  </si>
  <si>
    <t>553375c4-9cb5-4045-9402-dbd30de33d9e</t>
  </si>
  <si>
    <t>lyss0h4b</t>
  </si>
  <si>
    <t>PALLE SAMPATH</t>
  </si>
  <si>
    <t>21211a1288@bvrit.ac.in</t>
  </si>
  <si>
    <t>21211a1288</t>
  </si>
  <si>
    <t>b6f26af5-24c2-4692-859f-b1f0868eea46</t>
  </si>
  <si>
    <t>1 hour, 21 Mins, 23 Sec</t>
  </si>
  <si>
    <t>af46e8f6-b7ae-445f-a963-4e0fa59d1fe8</t>
  </si>
  <si>
    <t>1 hour, 41 Mins, 58 Sec</t>
  </si>
  <si>
    <t>42e89256-cea8-4066-a39a-f1260e8233c4</t>
  </si>
  <si>
    <t>1bb095f4-8d00-4aad-ad4b-71fdaf76d1af</t>
  </si>
  <si>
    <t>17 Mins, 16 Sec</t>
  </si>
  <si>
    <t>c31b1199-040c-4d32-87e4-1e49f5b2fb5b</t>
  </si>
  <si>
    <t>d60e93db-6596-486b-b133-66ed38dd46e1</t>
  </si>
  <si>
    <t>0795d438-fe9a-4703-b9f7-91f49d0392ee</t>
  </si>
  <si>
    <t>54 Mins, 48 Sec</t>
  </si>
  <si>
    <t>fbd7e9f8-44d5-4f0f-9646-81dd7850dee6</t>
  </si>
  <si>
    <t>17 Mins, 1 Sec</t>
  </si>
  <si>
    <t>31a278ab-1825-4579-827f-0063503cd89b</t>
  </si>
  <si>
    <t>0b0def77-cd83-4e8e-8e87-2de6a5fc69bc</t>
  </si>
  <si>
    <t>1 hour, 36 Mins, 22 Sec</t>
  </si>
  <si>
    <t>lyss0jrt</t>
  </si>
  <si>
    <t>NAICY ULLURI</t>
  </si>
  <si>
    <t>b0890bc9-beb3-4642-8f29-891b70004fd5</t>
  </si>
  <si>
    <t>fce40c4a-18d9-4a9c-90c6-f00624969fcc</t>
  </si>
  <si>
    <t>7 Mins, 14 Sec</t>
  </si>
  <si>
    <t>a93b96e9-66cd-4fb9-9bc6-077606acb763</t>
  </si>
  <si>
    <t>7 Mins, 56 Sec</t>
  </si>
  <si>
    <t>850b8063-85a6-4266-ab7e-4ae7e69b6516</t>
  </si>
  <si>
    <t>1 hour, 10 Mins, 41 Sec</t>
  </si>
  <si>
    <t>7aee9649-1d22-4a86-bd21-b34770e1e365</t>
  </si>
  <si>
    <t>1 hour, 6 Mins, 44 Sec</t>
  </si>
  <si>
    <t>80b6bfc0-78c4-4ee5-81b5-60ad515584b1</t>
  </si>
  <si>
    <t>e74cbf09-faef-4dd7-95cd-79327d66be8f</t>
  </si>
  <si>
    <t>59 Mins, 16 Sec</t>
  </si>
  <si>
    <t>7f848aaf-eb47-4015-8459-5945d1168585</t>
  </si>
  <si>
    <t>12 Mins, 20 Sec</t>
  </si>
  <si>
    <t>74dd8958-98d0-4599-a9d4-e590546c85cd</t>
  </si>
  <si>
    <t>e3e4bdb2-4323-49c7-8919-d9ec66934b2d</t>
  </si>
  <si>
    <t>1fa8eb08-ec0c-44bb-83e7-e7d60ba92f27</t>
  </si>
  <si>
    <t>23 Mins, 5 Sec</t>
  </si>
  <si>
    <t>9bf090fa-d125-4325-a33a-456dbb5cc53a</t>
  </si>
  <si>
    <t>Total Students eligible for Capgemini</t>
  </si>
  <si>
    <t>APT</t>
  </si>
  <si>
    <t>NON APT</t>
  </si>
  <si>
    <t>Students without BACKLOGS</t>
  </si>
  <si>
    <t>Students having 1 BACKLOG</t>
  </si>
  <si>
    <t>Students having 2 BACKLOGS</t>
  </si>
  <si>
    <t>Mangement Students Count</t>
  </si>
  <si>
    <t>Number of Management Students Placed</t>
  </si>
  <si>
    <t>Number of Management Unplaced Students</t>
  </si>
  <si>
    <t>Management Above 9 CGPA</t>
  </si>
  <si>
    <t>Management Above 8 CGPA</t>
  </si>
  <si>
    <t>Management Above 7 CGPA</t>
  </si>
  <si>
    <t>Management Students having backlog</t>
  </si>
  <si>
    <t>Convenor Students Count</t>
  </si>
  <si>
    <t>Number of Convenor Students placed</t>
  </si>
  <si>
    <t>Number of Convenor Unplaced Students</t>
  </si>
  <si>
    <t>Convenor Above 9 CGPA</t>
  </si>
  <si>
    <t>Convenor Above 8 CGPA</t>
  </si>
  <si>
    <t>Convenor Above 7 CGPA</t>
  </si>
  <si>
    <t xml:space="preserve">Convenor Students Having backlogs </t>
  </si>
  <si>
    <t>Counsellors</t>
  </si>
  <si>
    <t>SECTIONS</t>
  </si>
  <si>
    <t>Mr. Md. Shabbeer</t>
  </si>
  <si>
    <t>Mrs. P. Jhansi Devi</t>
  </si>
  <si>
    <t>Ms. D. Ravalika</t>
  </si>
  <si>
    <t>Mrs. Ch. Sreedevi</t>
  </si>
  <si>
    <t>Mrs. M. Shereesha Reddy</t>
  </si>
  <si>
    <t>Mrs. B. Usha Sri</t>
  </si>
  <si>
    <t>Mrs. V. Nirosha</t>
  </si>
  <si>
    <t>Mrs.V V S Lakshmi Kanthety</t>
  </si>
  <si>
    <t>Mrs. D. Nagasudha</t>
  </si>
  <si>
    <t>Mr. V. Punna Rao</t>
  </si>
  <si>
    <t>Mr. PSRB Shashank</t>
  </si>
  <si>
    <t>Mrs. G. Prathyusha</t>
  </si>
  <si>
    <t>Mr. Manzoor Hussain</t>
  </si>
  <si>
    <t>Mrs. T. Veneela</t>
  </si>
  <si>
    <t>Mrs. G. Vindya</t>
  </si>
  <si>
    <t>Faculty shortnames in the list</t>
  </si>
  <si>
    <t>Countof students assigned</t>
  </si>
  <si>
    <t>Dr. Ch. Madhu Babu</t>
  </si>
  <si>
    <t>Dr. L. Pallavi</t>
  </si>
  <si>
    <t>Mr. S. Dinesh Krishnan</t>
  </si>
  <si>
    <t>Mr. M. Maravarman</t>
  </si>
  <si>
    <t>Mr. M. Manzoor Hussain</t>
  </si>
  <si>
    <t>COUNSELORS NAME</t>
  </si>
  <si>
    <t>Short Name</t>
  </si>
  <si>
    <t>Student count</t>
  </si>
  <si>
    <t>Screentest-1</t>
  </si>
  <si>
    <t>Qualified/NA</t>
  </si>
  <si>
    <t>Screentest-2</t>
  </si>
  <si>
    <t>Screentest Marks obtained</t>
  </si>
  <si>
    <t>Screentest marks obtained</t>
  </si>
  <si>
    <t>5t3</t>
  </si>
  <si>
    <t>st1</t>
  </si>
  <si>
    <t>st2</t>
  </si>
  <si>
    <t>2 test</t>
  </si>
  <si>
    <t>1 test</t>
  </si>
  <si>
    <t>offers</t>
  </si>
  <si>
    <t>filter</t>
  </si>
  <si>
    <t>21211a05k6</t>
  </si>
  <si>
    <t>21211a05y0</t>
  </si>
  <si>
    <t>21211a05t9</t>
  </si>
  <si>
    <t>21211a0559</t>
  </si>
  <si>
    <t>21211a05h3</t>
  </si>
  <si>
    <t>21211a05f9</t>
  </si>
  <si>
    <t>21211a05h1</t>
  </si>
  <si>
    <t>22215a0530</t>
  </si>
  <si>
    <t>21211a05w8</t>
  </si>
  <si>
    <t>21211a05x2</t>
  </si>
  <si>
    <t>21211a05j9</t>
  </si>
  <si>
    <t>21211a05y6</t>
  </si>
  <si>
    <t>21211a05w7</t>
  </si>
  <si>
    <t>21211a05g9</t>
  </si>
  <si>
    <t>22215a0513</t>
  </si>
  <si>
    <t>21211a0580</t>
  </si>
  <si>
    <t>21211a0553</t>
  </si>
  <si>
    <t>22215a0511</t>
  </si>
  <si>
    <t>21211a05a1</t>
  </si>
  <si>
    <t>21211a05k4</t>
  </si>
  <si>
    <t>21211a05g8</t>
  </si>
  <si>
    <t>22215a0512</t>
  </si>
  <si>
    <t>21211a05v8</t>
  </si>
  <si>
    <t>21211a05d1</t>
  </si>
  <si>
    <t>21211a05a9</t>
  </si>
  <si>
    <t>22215a0523</t>
  </si>
  <si>
    <t>21211a05w2</t>
  </si>
  <si>
    <t>21211a05h8</t>
  </si>
  <si>
    <t>21211a0526</t>
  </si>
  <si>
    <t>21211a0558</t>
  </si>
  <si>
    <t>21211a05x0</t>
  </si>
  <si>
    <t>21211a0513</t>
  </si>
  <si>
    <t>21211a0581</t>
  </si>
  <si>
    <t>22215a0501</t>
  </si>
  <si>
    <t>21211a0587</t>
  </si>
  <si>
    <t>21211a0585</t>
  </si>
  <si>
    <t>21211a05r4</t>
  </si>
  <si>
    <t>21211a05g6</t>
  </si>
  <si>
    <t>21211a05p1</t>
  </si>
  <si>
    <t>21211a0582</t>
  </si>
  <si>
    <t>21211a05e9</t>
  </si>
  <si>
    <t>21211a0555</t>
  </si>
  <si>
    <t>22215a0504</t>
  </si>
  <si>
    <t>21211a0517</t>
  </si>
  <si>
    <t>21211a05d7</t>
  </si>
  <si>
    <t>21211a0533</t>
  </si>
  <si>
    <t>21211a05h9</t>
  </si>
  <si>
    <t>Sl.no.</t>
  </si>
  <si>
    <t>HT No</t>
  </si>
  <si>
    <t>Backlogs</t>
  </si>
  <si>
    <t>VYSHNAVI AKULA</t>
  </si>
  <si>
    <t>AMBATI SAHITHI REDDY</t>
  </si>
  <si>
    <t>ANJALI KUMARI MAHTO</t>
  </si>
  <si>
    <t>ANNAPU REDDY ARUN KUMAR REDDY</t>
  </si>
  <si>
    <t>A MURALI KRISHNA</t>
  </si>
  <si>
    <t>AVNS KARTIK</t>
  </si>
  <si>
    <t>BADAVATH KRISHNAVENI</t>
  </si>
  <si>
    <t>BANDARI SAI JYOTHI</t>
  </si>
  <si>
    <t>BATHULA VENKATARAMANA</t>
  </si>
  <si>
    <t>ANUDEEP REDDY BAVANTHULA</t>
  </si>
  <si>
    <t>BEJUGAM SAI TEJA</t>
  </si>
  <si>
    <t>BHIMIREDDY SASIKANTH REDDY</t>
  </si>
  <si>
    <t>BOOLA PRANAY</t>
  </si>
  <si>
    <t xml:space="preserve">BUTTAGALLA VINOD </t>
  </si>
  <si>
    <t>CHAUHAN PRUTHVI RAJ</t>
  </si>
  <si>
    <t>CHIGULLAPALLY DIVIJA</t>
  </si>
  <si>
    <t>CHIKILI VISHWAS SHASTRY</t>
  </si>
  <si>
    <t>CHOPPADHANDI VENKATESH</t>
  </si>
  <si>
    <t>PRAMODH DAIDA</t>
  </si>
  <si>
    <t>DASARISUBBAYYAGARI NANDHUSAGAR</t>
  </si>
  <si>
    <t>DEBBATA KOUSTHUBHA</t>
  </si>
  <si>
    <t>DEEPTHI PRIYADARSHINI P</t>
  </si>
  <si>
    <t>DESHAVATH NAVEEN</t>
  </si>
  <si>
    <t>EDARA SAI PRADEEP</t>
  </si>
  <si>
    <t>EMMADI BALA KRISHNA</t>
  </si>
  <si>
    <t>GANDHAM ALEKHYA</t>
  </si>
  <si>
    <t>GANGAVARAPU RAGHUVEER CHAITANYA</t>
  </si>
  <si>
    <t>GATLA RAHUL</t>
  </si>
  <si>
    <t>GOLLAPALLY SRIJA</t>
  </si>
  <si>
    <t>GOPANPALLY KEVIN</t>
  </si>
  <si>
    <t xml:space="preserve">GORLE DINESH NAIDU </t>
  </si>
  <si>
    <t>VANKUDOTH SHRAVYA</t>
  </si>
  <si>
    <t>HARISH KUMAR VADLURI</t>
  </si>
  <si>
    <t>INDUKURI GIRIDHARA VENKATA RAMESH VARMA</t>
  </si>
  <si>
    <t>J TEJASHWI</t>
  </si>
  <si>
    <t>JADA SRIKANTH</t>
  </si>
  <si>
    <t>KANKANALA ANISHWAR</t>
  </si>
  <si>
    <t>KOLUSU PRADEEP</t>
  </si>
  <si>
    <t>KOMMULA BINDHU SRI</t>
  </si>
  <si>
    <t>KONDA CHAITHANYA KRISHNA</t>
  </si>
  <si>
    <t>KUNTI PAVAN SAI</t>
  </si>
  <si>
    <t>PEDDI RAJU TEJA</t>
  </si>
  <si>
    <t>RISHANKA MADAMSHETTI</t>
  </si>
  <si>
    <t>MADDIPUDI NAVYA SRI</t>
  </si>
  <si>
    <t>MANDALA SHASHANK REDDY</t>
  </si>
  <si>
    <t>MATTA MANJUNATH GOUD</t>
  </si>
  <si>
    <t>ANNU MEGHANA</t>
  </si>
  <si>
    <t>MUSAPETA HEMANTH SAI</t>
  </si>
  <si>
    <t>MUSUNURU YAMINI</t>
  </si>
  <si>
    <t>NADIMIDODDI JESSICA SHULAMITE</t>
  </si>
  <si>
    <t>CIRGIR NEHA</t>
  </si>
  <si>
    <t>VATHSAVAYI NEHA</t>
  </si>
  <si>
    <t>NETHUNURI SAI PRANEETH</t>
  </si>
  <si>
    <t>NUNE SAI TEJA</t>
  </si>
  <si>
    <t xml:space="preserve"> ODUGU KRISHNA CHANDRA</t>
  </si>
  <si>
    <t>P LAKSHMI SAI SINDHUJA</t>
  </si>
  <si>
    <t>PATHAKOTA SIVA SAI PRANAV</t>
  </si>
  <si>
    <t>PALLAVI POLA</t>
  </si>
  <si>
    <t>PALLEBOINA VENKATA NAGA GURUSAI</t>
  </si>
  <si>
    <t>PASAGADUGULA SHRAVANTHI</t>
  </si>
  <si>
    <t>PASHAMVARSHIKA REDDY</t>
  </si>
  <si>
    <t>PASHIPALA ROHITH</t>
  </si>
  <si>
    <t>PATLOLLA JAYAKRISHNA REDDY</t>
  </si>
  <si>
    <t>P  YUGANDHAR</t>
  </si>
  <si>
    <t>GANAPAVARAPU POOJITHA LAKSHMI</t>
  </si>
  <si>
    <t>P  SAI PAVAN ABHIRAM</t>
  </si>
  <si>
    <t>CHARAN CHANDU POTLA</t>
  </si>
  <si>
    <t>POTPALLY JOSEPH RAJ</t>
  </si>
  <si>
    <t>P NIYATI</t>
  </si>
  <si>
    <t>GANESH PULABOYINA</t>
  </si>
  <si>
    <t>PUTTA GANESH</t>
  </si>
  <si>
    <t>RAJIPETA UDAY KUMAR</t>
  </si>
  <si>
    <t>RAVULA VIHAASITH</t>
  </si>
  <si>
    <t>SADDI POOJITHA</t>
  </si>
  <si>
    <t>SEETHAGARI HARSHAVARDHAN REDDY</t>
  </si>
  <si>
    <t>TADIKIMALLA PRAVEEN MAHAN</t>
  </si>
  <si>
    <t>VANGALA ASHWANTHI REDDY</t>
  </si>
  <si>
    <t>VEERBHADRAPOLLA SAI KIRAN</t>
  </si>
  <si>
    <t>JASTA ABHINAV</t>
  </si>
  <si>
    <t>RAMAVATH NIKITHA</t>
  </si>
  <si>
    <t>GUNDU RAJVARUN</t>
  </si>
  <si>
    <t>PARLAPELLI RAKESH</t>
  </si>
  <si>
    <t>ANKAMPALLY SHIVA KUMAR</t>
  </si>
  <si>
    <t>P SHIVA BANU</t>
  </si>
  <si>
    <t>ENUGU VISHNUVARDHAN REDDY</t>
  </si>
  <si>
    <t xml:space="preserve">DASARI TRINATH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</si>
</sst>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mm-yyyy"/>
    <numFmt numFmtId="165" formatCode="d-mmmm-yyyy"/>
    <numFmt numFmtId="166" formatCode="d&quot;-&quot;mmm&quot;-&quot;yyyy"/>
    <numFmt numFmtId="167" formatCode="dd-mmm-yyyy"/>
    <numFmt numFmtId="168" formatCode="mm/dd/yyyy"/>
    <numFmt numFmtId="169" formatCode="m/d/yyyy"/>
    <numFmt numFmtId="170" formatCode="0.0"/>
    <numFmt numFmtId="171" formatCode="m-d-yyyy, h:mm:ss am/pm"/>
  </numFmts>
  <fonts count="41">
    <font>
      <sz val="11.0"/>
      <color rgb="FF000000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/>
    <font>
      <color theme="1"/>
      <name val="Calibri"/>
      <scheme val="minor"/>
    </font>
    <font>
      <color rgb="FFFFFFFF"/>
      <name val="Calibri"/>
      <scheme val="minor"/>
    </font>
    <font>
      <sz val="10.0"/>
      <color rgb="FFFFFFFF"/>
      <name val="Arial"/>
    </font>
    <font>
      <sz val="10.0"/>
      <color theme="1"/>
      <name val="Calibri"/>
      <scheme val="minor"/>
    </font>
    <font>
      <b/>
      <sz val="8.0"/>
      <color theme="1"/>
      <name val="Verdana"/>
    </font>
    <font>
      <sz val="8.0"/>
      <color rgb="FF000000"/>
      <name val="Verdana"/>
    </font>
    <font>
      <sz val="10.0"/>
      <color theme="1"/>
      <name val="Arial"/>
    </font>
    <font>
      <sz val="8.0"/>
      <color theme="1"/>
      <name val="Verdana"/>
    </font>
    <font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sz val="8.0"/>
      <color theme="1"/>
      <name val="Bookman Old Style"/>
    </font>
    <font>
      <sz val="8.0"/>
      <color rgb="FF222222"/>
      <name val="Bookman Old Style"/>
    </font>
    <font>
      <b/>
      <sz val="12.0"/>
      <color theme="1"/>
      <name val="Calibri"/>
      <scheme val="minor"/>
    </font>
    <font>
      <b/>
      <sz val="8.0"/>
      <color rgb="FFFFFFFF"/>
      <name val="&quot;Bookman Old Style&quot;"/>
    </font>
    <font>
      <b/>
      <sz val="8.0"/>
      <color rgb="FF000000"/>
      <name val="&quot;Bookman Old Style&quot;"/>
    </font>
    <font>
      <sz val="8.0"/>
      <color rgb="FF000000"/>
      <name val="&quot;Bookman Old Style&quot;"/>
    </font>
    <font>
      <sz val="8.0"/>
      <color rgb="FF000000"/>
      <name val="&quot;ȫookman Old Style\&quot;&quot;"/>
    </font>
    <font>
      <sz val="8.0"/>
      <color rgb="FF222222"/>
      <name val="&quot;Bookman Old Style&quot;"/>
    </font>
    <font>
      <color rgb="FF000000"/>
      <name val="Calibri"/>
      <scheme val="minor"/>
    </font>
    <font>
      <b/>
      <sz val="14.0"/>
      <color rgb="FF000000"/>
      <name val="Calibri"/>
      <scheme val="minor"/>
    </font>
    <font>
      <b/>
      <color theme="1"/>
      <name val="Alice"/>
    </font>
    <font>
      <color theme="1"/>
      <name val="Alice"/>
    </font>
    <font>
      <sz val="8.0"/>
      <color theme="1"/>
      <name val="Alice"/>
    </font>
    <font>
      <u/>
      <color rgb="FF1155CC"/>
      <name val="Alice"/>
    </font>
    <font>
      <u/>
      <color rgb="FF1155CC"/>
      <name val="Alice"/>
    </font>
    <font>
      <u/>
      <color rgb="FF0000FF"/>
      <name val="Alice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9.0"/>
      <color theme="1"/>
      <name val="Calibri"/>
      <scheme val="minor"/>
    </font>
    <font>
      <sz val="19.0"/>
      <color rgb="FFFFFFFF"/>
      <name val="Calibri"/>
      <scheme val="minor"/>
    </font>
    <font>
      <sz val="19.0"/>
      <color theme="1"/>
      <name val="Arial"/>
    </font>
    <font>
      <sz val="11.0"/>
      <color rgb="FF000000"/>
      <name val="&quot;Aptos Narrow&quot;"/>
    </font>
    <font>
      <color rgb="FF434343"/>
      <name val="Roboto"/>
    </font>
    <font>
      <sz val="11.0"/>
      <color theme="1"/>
      <name val="Aptos Narrow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8E7FC"/>
        <bgColor rgb="FFE8E7FC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11" fontId="5" numFmtId="0" xfId="0" applyAlignment="1" applyFill="1" applyFont="1">
      <alignment readingOrder="0"/>
    </xf>
    <xf borderId="5" fillId="11" fontId="6" numFmtId="0" xfId="0" applyAlignment="1" applyBorder="1" applyFont="1">
      <alignment horizontal="left" readingOrder="0" vertical="center"/>
    </xf>
    <xf borderId="0" fillId="0" fontId="7" numFmtId="0" xfId="0" applyFont="1"/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0" fontId="4" numFmtId="0" xfId="0" applyFont="1"/>
    <xf borderId="0" fillId="0" fontId="1" numFmtId="0" xfId="0" applyAlignment="1" applyFont="1">
      <alignment readingOrder="0"/>
    </xf>
    <xf borderId="1" fillId="0" fontId="1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7" fillId="0" fontId="1" numFmtId="0" xfId="0" applyBorder="1" applyFont="1"/>
    <xf borderId="7" fillId="12" fontId="8" numFmtId="0" xfId="0" applyAlignment="1" applyBorder="1" applyFill="1" applyFont="1">
      <alignment horizontal="center" readingOrder="0" shrinkToFit="0" vertical="center" wrapText="1"/>
    </xf>
    <xf borderId="1" fillId="12" fontId="8" numFmtId="2" xfId="0" applyAlignment="1" applyBorder="1" applyFont="1" applyNumberFormat="1">
      <alignment horizontal="center" shrinkToFit="0" vertical="center" wrapText="1"/>
    </xf>
    <xf borderId="0" fillId="0" fontId="1" numFmtId="0" xfId="0" applyFont="1"/>
    <xf borderId="0" fillId="0" fontId="4" numFmtId="0" xfId="0" applyFont="1"/>
    <xf borderId="0" fillId="0" fontId="4" numFmtId="2" xfId="0" applyFont="1" applyNumberFormat="1"/>
    <xf borderId="2" fillId="0" fontId="1" numFmtId="0" xfId="0" applyBorder="1" applyFont="1"/>
    <xf borderId="1" fillId="0" fontId="1" numFmtId="0" xfId="0" applyAlignment="1" applyBorder="1" applyFont="1">
      <alignment horizontal="right" vertical="bottom"/>
    </xf>
    <xf borderId="1" fillId="11" fontId="9" numFmtId="0" xfId="0" applyAlignment="1" applyBorder="1" applyFont="1">
      <alignment readingOrder="0" shrinkToFit="0" vertical="bottom" wrapText="0"/>
    </xf>
    <xf borderId="1" fillId="12" fontId="10" numFmtId="0" xfId="0" applyAlignment="1" applyBorder="1" applyFont="1">
      <alignment horizontal="left" readingOrder="0" vertical="center"/>
    </xf>
    <xf borderId="1" fillId="11" fontId="1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5" fillId="13" fontId="9" numFmtId="0" xfId="0" applyAlignment="1" applyBorder="1" applyFill="1" applyFont="1">
      <alignment readingOrder="0" shrinkToFit="0" vertical="bottom" wrapText="0"/>
    </xf>
    <xf borderId="5" fillId="12" fontId="10" numFmtId="0" xfId="0" applyAlignment="1" applyBorder="1" applyFont="1">
      <alignment horizontal="left" readingOrder="0" vertical="center"/>
    </xf>
    <xf borderId="1" fillId="13" fontId="11" numFmtId="0" xfId="0" applyAlignment="1" applyBorder="1" applyFont="1">
      <alignment readingOrder="0" vertical="bottom"/>
    </xf>
    <xf borderId="5" fillId="11" fontId="9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vertical="bottom"/>
    </xf>
    <xf borderId="1" fillId="13" fontId="13" numFmtId="0" xfId="0" applyAlignment="1" applyBorder="1" applyFont="1">
      <alignment vertical="bottom"/>
    </xf>
    <xf borderId="1" fillId="11" fontId="13" numFmtId="0" xfId="0" applyAlignment="1" applyBorder="1" applyFont="1">
      <alignment vertical="bottom"/>
    </xf>
    <xf borderId="5" fillId="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5" fillId="12" fontId="10" numFmtId="0" xfId="0" applyAlignment="1" applyBorder="1" applyFont="1">
      <alignment horizontal="right" readingOrder="0" vertical="center"/>
    </xf>
    <xf borderId="1" fillId="12" fontId="10" numFmtId="0" xfId="0" applyAlignment="1" applyBorder="1" applyFont="1">
      <alignment horizontal="right" readingOrder="0" vertical="center"/>
    </xf>
    <xf borderId="5" fillId="12" fontId="10" numFmtId="0" xfId="0" applyAlignment="1" applyBorder="1" applyFont="1">
      <alignment readingOrder="0" vertical="center"/>
    </xf>
    <xf borderId="1" fillId="12" fontId="10" numFmtId="0" xfId="0" applyAlignment="1" applyBorder="1" applyFont="1">
      <alignment readingOrder="0" vertical="center"/>
    </xf>
    <xf borderId="1" fillId="11" fontId="11" numFmtId="0" xfId="0" applyAlignment="1" applyBorder="1" applyFont="1">
      <alignment readingOrder="0"/>
    </xf>
    <xf borderId="5" fillId="12" fontId="14" numFmtId="0" xfId="0" applyAlignment="1" applyBorder="1" applyFont="1">
      <alignment readingOrder="0" vertical="center"/>
    </xf>
    <xf borderId="1" fillId="12" fontId="14" numFmtId="0" xfId="0" applyAlignment="1" applyBorder="1" applyFont="1">
      <alignment readingOrder="0" vertical="center"/>
    </xf>
    <xf borderId="5" fillId="10" fontId="10" numFmtId="0" xfId="0" applyAlignment="1" applyBorder="1" applyFont="1">
      <alignment horizontal="left" readingOrder="0" vertical="center"/>
    </xf>
    <xf borderId="1" fillId="10" fontId="10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shrinkToFit="0" vertical="bottom" wrapText="0"/>
    </xf>
    <xf borderId="5" fillId="14" fontId="15" numFmtId="0" xfId="0" applyAlignment="1" applyBorder="1" applyFill="1" applyFont="1">
      <alignment readingOrder="0"/>
    </xf>
    <xf borderId="1" fillId="14" fontId="15" numFmtId="0" xfId="0" applyAlignment="1" applyBorder="1" applyFont="1">
      <alignment readingOrder="0"/>
    </xf>
    <xf borderId="5" fillId="11" fontId="16" numFmtId="0" xfId="0" applyAlignment="1" applyBorder="1" applyFont="1">
      <alignment readingOrder="0"/>
    </xf>
    <xf borderId="1" fillId="11" fontId="16" numFmtId="0" xfId="0" applyAlignment="1" applyBorder="1" applyFont="1">
      <alignment readingOrder="0"/>
    </xf>
    <xf borderId="0" fillId="15" fontId="17" numFmtId="0" xfId="0" applyFill="1" applyFont="1"/>
    <xf borderId="0" fillId="16" fontId="18" numFmtId="0" xfId="0" applyAlignment="1" applyFill="1" applyFont="1">
      <alignment horizontal="center" readingOrder="0" shrinkToFit="0" wrapText="1"/>
    </xf>
    <xf borderId="1" fillId="17" fontId="19" numFmtId="0" xfId="0" applyAlignment="1" applyBorder="1" applyFill="1" applyFont="1">
      <alignment readingOrder="0" shrinkToFit="0" wrapText="1"/>
    </xf>
    <xf borderId="1" fillId="16" fontId="18" numFmtId="0" xfId="0" applyAlignment="1" applyBorder="1" applyFont="1">
      <alignment horizontal="center" readingOrder="0" shrinkToFit="0" vertical="center" wrapText="1"/>
    </xf>
    <xf borderId="4" fillId="16" fontId="1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1" fillId="0" fontId="20" numFmtId="164" xfId="0" applyAlignment="1" applyBorder="1" applyFont="1" applyNumberFormat="1">
      <alignment horizontal="right" readingOrder="0" shrinkToFit="0" vertical="bottom" wrapText="0"/>
    </xf>
    <xf borderId="1" fillId="18" fontId="20" numFmtId="0" xfId="0" applyAlignment="1" applyBorder="1" applyFill="1" applyFont="1">
      <alignment horizontal="center" readingOrder="0"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1" fillId="0" fontId="20" numFmtId="0" xfId="0" applyAlignment="1" applyBorder="1" applyFont="1">
      <alignment horizontal="right" readingOrder="0" shrinkToFit="0" vertical="bottom" wrapText="0"/>
    </xf>
    <xf borderId="1" fillId="18" fontId="21" numFmtId="0" xfId="0" applyAlignment="1" applyBorder="1" applyFont="1">
      <alignment horizontal="center" readingOrder="0" shrinkToFit="0" vertical="bottom" wrapText="0"/>
    </xf>
    <xf borderId="5" fillId="18" fontId="21" numFmtId="0" xfId="0" applyAlignment="1" applyBorder="1" applyFont="1">
      <alignment horizontal="center" readingOrder="0" shrinkToFit="0" vertical="bottom" wrapText="0"/>
    </xf>
    <xf borderId="1" fillId="0" fontId="20" numFmtId="165" xfId="0" applyAlignment="1" applyBorder="1" applyFont="1" applyNumberFormat="1">
      <alignment horizontal="right" readingOrder="0"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11" fontId="20" numFmtId="0" xfId="0" applyAlignment="1" applyBorder="1" applyFont="1">
      <alignment readingOrder="0" shrinkToFit="0" vertical="bottom" wrapText="0"/>
    </xf>
    <xf borderId="1" fillId="11" fontId="20" numFmtId="164" xfId="0" applyAlignment="1" applyBorder="1" applyFont="1" applyNumberFormat="1">
      <alignment horizontal="right" readingOrder="0" shrinkToFit="0" vertical="bottom" wrapText="0"/>
    </xf>
    <xf borderId="1" fillId="11" fontId="20" numFmtId="0" xfId="0" applyAlignment="1" applyBorder="1" applyFont="1">
      <alignment horizontal="center" shrinkToFit="0" vertical="bottom" wrapText="0"/>
    </xf>
    <xf borderId="1" fillId="19" fontId="20" numFmtId="0" xfId="0" applyAlignment="1" applyBorder="1" applyFill="1" applyFont="1">
      <alignment horizontal="center" readingOrder="0" shrinkToFit="0" vertical="bottom" wrapText="0"/>
    </xf>
    <xf borderId="1" fillId="11" fontId="20" numFmtId="0" xfId="0" applyAlignment="1" applyBorder="1" applyFont="1">
      <alignment horizontal="right" readingOrder="0" shrinkToFit="0" vertical="bottom" wrapText="0"/>
    </xf>
    <xf borderId="5" fillId="19" fontId="21" numFmtId="0" xfId="0" applyAlignment="1" applyBorder="1" applyFont="1">
      <alignment horizontal="center" readingOrder="0" shrinkToFit="0" vertical="bottom" wrapText="0"/>
    </xf>
    <xf borderId="1" fillId="11" fontId="22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vertical="bottom"/>
    </xf>
    <xf borderId="1" fillId="0" fontId="15" numFmtId="166" xfId="0" applyAlignment="1" applyBorder="1" applyFont="1" applyNumberFormat="1">
      <alignment horizontal="right" vertical="bottom"/>
    </xf>
    <xf borderId="0" fillId="11" fontId="2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7" xfId="0" applyAlignment="1" applyBorder="1" applyFont="1" applyNumberFormat="1">
      <alignment readingOrder="0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11" fontId="24" numFmtId="0" xfId="0" applyAlignment="1" applyFont="1">
      <alignment horizontal="center"/>
    </xf>
    <xf borderId="0" fillId="11" fontId="23" numFmtId="0" xfId="0" applyFont="1"/>
    <xf borderId="1" fillId="0" fontId="25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/>
    </xf>
    <xf borderId="4" fillId="0" fontId="25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readingOrder="0"/>
    </xf>
    <xf borderId="5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 readingOrder="0"/>
    </xf>
    <xf borderId="8" fillId="0" fontId="26" numFmtId="0" xfId="0" applyAlignment="1" applyBorder="1" applyFont="1">
      <alignment readingOrder="0" shrinkToFit="0" wrapText="1"/>
    </xf>
    <xf borderId="8" fillId="0" fontId="26" numFmtId="11" xfId="0" applyAlignment="1" applyBorder="1" applyFont="1" applyNumberFormat="1">
      <alignment horizontal="center" readingOrder="0"/>
    </xf>
    <xf borderId="8" fillId="0" fontId="27" numFmtId="0" xfId="0" applyAlignment="1" applyBorder="1" applyFont="1">
      <alignment horizontal="center" readingOrder="0" shrinkToFit="0" wrapText="1"/>
    </xf>
    <xf borderId="8" fillId="0" fontId="28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0" fillId="0" fontId="12" numFmtId="168" xfId="0" applyAlignment="1" applyFont="1" applyNumberFormat="1">
      <alignment readingOrder="0"/>
    </xf>
    <xf borderId="8" fillId="0" fontId="29" numFmtId="0" xfId="0" applyBorder="1" applyFont="1"/>
    <xf borderId="5" fillId="0" fontId="26" numFmtId="0" xfId="0" applyAlignment="1" applyBorder="1" applyFont="1">
      <alignment horizontal="center" readingOrder="0"/>
    </xf>
    <xf borderId="8" fillId="0" fontId="30" numFmtId="0" xfId="0" applyAlignment="1" applyBorder="1" applyFont="1">
      <alignment readingOrder="0"/>
    </xf>
    <xf borderId="0" fillId="0" fontId="12" numFmtId="169" xfId="0" applyAlignment="1" applyFont="1" applyNumberFormat="1">
      <alignment readingOrder="0"/>
    </xf>
    <xf borderId="0" fillId="0" fontId="4" numFmtId="11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12" numFmtId="0" xfId="0" applyFont="1"/>
    <xf borderId="0" fillId="0" fontId="4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0" fillId="0" fontId="4" numFmtId="11" xfId="0" applyAlignment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1" numFmtId="0" xfId="0" applyAlignment="1" applyFont="1">
      <alignment horizontal="center" readingOrder="0" shrinkToFit="0" wrapText="0"/>
    </xf>
    <xf borderId="0" fillId="0" fontId="32" numFmtId="0" xfId="0" applyAlignment="1" applyFont="1">
      <alignment horizontal="center" shrinkToFit="0" wrapText="0"/>
    </xf>
    <xf borderId="0" fillId="0" fontId="31" numFmtId="0" xfId="0" applyAlignment="1" applyFont="1">
      <alignment horizontal="center" shrinkToFit="0" vertical="bottom" wrapText="0"/>
    </xf>
    <xf borderId="1" fillId="0" fontId="31" numFmtId="0" xfId="0" applyAlignment="1" applyBorder="1" applyFont="1">
      <alignment horizontal="center" readingOrder="0" shrinkToFit="0" wrapText="0"/>
    </xf>
    <xf borderId="4" fillId="0" fontId="31" numFmtId="0" xfId="0" applyAlignment="1" applyBorder="1" applyFont="1">
      <alignment horizontal="center" readingOrder="0" shrinkToFit="0" wrapText="0"/>
    </xf>
    <xf borderId="4" fillId="0" fontId="32" numFmtId="0" xfId="0" applyAlignment="1" applyBorder="1" applyFont="1">
      <alignment horizontal="center" shrinkToFit="0" wrapText="0"/>
    </xf>
    <xf borderId="4" fillId="0" fontId="31" numFmtId="0" xfId="0" applyAlignment="1" applyBorder="1" applyFont="1">
      <alignment horizontal="center" shrinkToFit="0" vertical="bottom" wrapText="0"/>
    </xf>
    <xf borderId="5" fillId="0" fontId="33" numFmtId="0" xfId="0" applyAlignment="1" applyBorder="1" applyFont="1">
      <alignment horizontal="center" readingOrder="0" shrinkToFit="0" wrapText="0"/>
    </xf>
    <xf borderId="8" fillId="0" fontId="33" numFmtId="0" xfId="0" applyAlignment="1" applyBorder="1" applyFont="1">
      <alignment horizontal="center" readingOrder="0" shrinkToFit="0" wrapText="0"/>
    </xf>
    <xf borderId="8" fillId="0" fontId="33" numFmtId="170" xfId="0" applyAlignment="1" applyBorder="1" applyFont="1" applyNumberFormat="1">
      <alignment horizontal="center" readingOrder="0" shrinkToFit="0" wrapText="0"/>
    </xf>
    <xf borderId="8" fillId="0" fontId="33" numFmtId="171" xfId="0" applyAlignment="1" applyBorder="1" applyFont="1" applyNumberFormat="1">
      <alignment horizontal="center" readingOrder="0" shrinkToFit="0" wrapText="0"/>
    </xf>
    <xf borderId="8" fillId="0" fontId="32" numFmtId="0" xfId="0" applyAlignment="1" applyBorder="1" applyFont="1">
      <alignment horizontal="center" shrinkToFit="0" wrapText="0"/>
    </xf>
    <xf borderId="8" fillId="0" fontId="32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shrinkToFit="0" vertical="bottom" wrapText="0"/>
    </xf>
    <xf borderId="1" fillId="0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readingOrder="0" shrinkToFit="0" wrapText="1"/>
    </xf>
    <xf borderId="0" fillId="0" fontId="34" numFmtId="0" xfId="0" applyAlignment="1" applyFont="1">
      <alignment horizontal="center" shrinkToFit="0" vertical="center" wrapText="1"/>
    </xf>
    <xf borderId="1" fillId="0" fontId="36" numFmtId="0" xfId="0" applyAlignment="1" applyBorder="1" applyFont="1">
      <alignment horizontal="left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readingOrder="0" shrinkToFit="0" wrapText="1"/>
    </xf>
    <xf borderId="1" fillId="0" fontId="34" numFmtId="0" xfId="0" applyAlignment="1" applyBorder="1" applyFont="1">
      <alignment shrinkToFit="0" wrapText="1"/>
    </xf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1" fillId="0" fontId="37" numFmtId="0" xfId="0" applyAlignment="1" applyBorder="1" applyFont="1">
      <alignment readingOrder="0" shrinkToFit="0" vertical="bottom" wrapText="0"/>
    </xf>
    <xf borderId="9" fillId="11" fontId="38" numFmtId="0" xfId="0" applyBorder="1" applyFont="1"/>
    <xf borderId="5" fillId="0" fontId="37" numFmtId="0" xfId="0" applyAlignment="1" applyBorder="1" applyFont="1">
      <alignment readingOrder="0" shrinkToFit="0" vertical="bottom" wrapText="0"/>
    </xf>
    <xf borderId="10" fillId="11" fontId="38" numFmtId="0" xfId="0" applyBorder="1" applyFont="1"/>
    <xf borderId="10" fillId="20" fontId="38" numFmtId="0" xfId="0" applyBorder="1" applyFill="1" applyFont="1"/>
    <xf borderId="9" fillId="20" fontId="38" numFmtId="0" xfId="0" applyBorder="1" applyFont="1"/>
    <xf borderId="1" fillId="0" fontId="39" numFmtId="0" xfId="0" applyAlignment="1" applyBorder="1" applyFont="1">
      <alignment vertical="top"/>
    </xf>
    <xf borderId="11" fillId="20" fontId="38" numFmtId="0" xfId="0" applyAlignment="1" applyBorder="1" applyFont="1">
      <alignment readingOrder="0" shrinkToFit="0" wrapText="0"/>
    </xf>
    <xf borderId="12" fillId="11" fontId="38" numFmtId="0" xfId="0" applyAlignment="1" applyBorder="1" applyFont="1">
      <alignment readingOrder="0" shrinkToFit="0" wrapText="0"/>
    </xf>
    <xf borderId="10" fillId="20" fontId="38" numFmtId="0" xfId="0" applyAlignment="1" applyBorder="1" applyFont="1">
      <alignment readingOrder="0"/>
    </xf>
    <xf borderId="1" fillId="0" fontId="40" numFmtId="0" xfId="0" applyAlignment="1" applyBorder="1" applyFont="1">
      <alignment horizontal="center"/>
    </xf>
    <xf borderId="0" fillId="0" fontId="40" numFmtId="0" xfId="0" applyAlignment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Placement graph/Section wise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dashboard'!$A$2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'Analysis dashboard'!$A$3:$A$7</c:f>
              <c:numCache/>
            </c:numRef>
          </c:val>
        </c:ser>
        <c:ser>
          <c:idx val="1"/>
          <c:order val="1"/>
          <c:tx>
            <c:strRef>
              <c:f>'Analysis dashboard'!$E$2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'Analysis dashboard'!$E$3:$E$7</c:f>
              <c:numCache/>
            </c:numRef>
          </c:val>
        </c:ser>
        <c:ser>
          <c:idx val="2"/>
          <c:order val="2"/>
          <c:tx>
            <c:strRef>
              <c:f>'Analysis dashboard'!$H$2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'Analysis dashboard'!$H$3:$H$7</c:f>
              <c:numCache/>
            </c:numRef>
          </c:val>
        </c:ser>
        <c:ser>
          <c:idx val="3"/>
          <c:order val="3"/>
          <c:tx>
            <c:strRef>
              <c:f>'Analysis dashboard'!$K$2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'Analysis dashboard'!$K$3:$K$7</c:f>
              <c:numCache/>
            </c:numRef>
          </c:val>
        </c:ser>
        <c:ser>
          <c:idx val="4"/>
          <c:order val="4"/>
          <c:tx>
            <c:strRef>
              <c:f>'Analysis dashboard'!$N$2</c:f>
            </c:strRef>
          </c:tx>
          <c:val>
            <c:numRef>
              <c:f>'Analysis dashboard'!$N$3:$N$7</c:f>
              <c:numCache/>
            </c:numRef>
          </c:val>
        </c:ser>
        <c:axId val="2046386884"/>
        <c:axId val="624062278"/>
      </c:barChart>
      <c:catAx>
        <c:axId val="2046386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062278"/>
      </c:catAx>
      <c:valAx>
        <c:axId val="624062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386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'Analysis dashboard'!$A$13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dashboard'!$E$25</c:f>
            </c:strRef>
          </c:cat>
          <c:val>
            <c:numRef>
              <c:f>'Analysis dashboard'!$A$14:$A$18</c:f>
              <c:numCache/>
            </c:numRef>
          </c:val>
        </c:ser>
        <c:ser>
          <c:idx val="1"/>
          <c:order val="1"/>
          <c:tx>
            <c:strRef>
              <c:f>'Analysis dashboard'!$E$13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dashboard'!$E$25</c:f>
            </c:strRef>
          </c:cat>
          <c:val>
            <c:numRef>
              <c:f>'Analysis dashboard'!$E$14:$E$18</c:f>
              <c:numCache/>
            </c:numRef>
          </c:val>
        </c:ser>
        <c:ser>
          <c:idx val="2"/>
          <c:order val="2"/>
          <c:tx>
            <c:strRef>
              <c:f>'Analysis dashboard'!$H$13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dashboard'!$E$25</c:f>
            </c:strRef>
          </c:cat>
          <c:val>
            <c:numRef>
              <c:f>'Analysis dashboard'!$H$14:$H$18</c:f>
              <c:numCache/>
            </c:numRef>
          </c:val>
        </c:ser>
        <c:ser>
          <c:idx val="3"/>
          <c:order val="3"/>
          <c:tx>
            <c:strRef>
              <c:f>'Analysis dashboard'!$K$13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dashboard'!$E$25</c:f>
            </c:strRef>
          </c:cat>
          <c:val>
            <c:numRef>
              <c:f>'Analysis dashboard'!$K$14:$K$18</c:f>
              <c:numCache/>
            </c:numRef>
          </c:val>
        </c:ser>
        <c:ser>
          <c:idx val="4"/>
          <c:order val="4"/>
          <c:tx>
            <c:strRef>
              <c:f>'Analysis dashboard'!$N$13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dashboard'!$E$25</c:f>
            </c:strRef>
          </c:cat>
          <c:val>
            <c:numRef>
              <c:f>'Analysis dashboard'!$N$14:$N$18</c:f>
              <c:numCache/>
            </c:numRef>
          </c:val>
        </c:ser>
        <c:ser>
          <c:idx val="5"/>
          <c:order val="5"/>
          <c:tx>
            <c:strRef>
              <c:f>'Analysis dashboard'!$Q$13</c:f>
            </c:strRef>
          </c:tx>
          <c:cat>
            <c:strRef>
              <c:f>'Analysis dashboard'!$E$25</c:f>
            </c:strRef>
          </c:cat>
          <c:val>
            <c:numRef>
              <c:f>'Analysis dashboard'!$Q$14:$Q$18</c:f>
              <c:numCache/>
            </c:numRef>
          </c:val>
        </c:ser>
        <c:axId val="1646291301"/>
        <c:axId val="1392195469"/>
      </c:barChart>
      <c:catAx>
        <c:axId val="1646291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195469"/>
      </c:catAx>
      <c:valAx>
        <c:axId val="1392195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291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Stacked view/ Section wise 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'Analysis dashboard'!$E$13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dashboard'!$A$14:$A$18</c:f>
            </c:strRef>
          </c:cat>
          <c:val>
            <c:numRef>
              <c:f>'Analysis dashboard'!$E$14:$E$18</c:f>
              <c:numCache/>
            </c:numRef>
          </c:val>
        </c:ser>
        <c:ser>
          <c:idx val="1"/>
          <c:order val="1"/>
          <c:tx>
            <c:strRef>
              <c:f>'Analysis dashboard'!$K$13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dashboard'!$A$14:$A$18</c:f>
            </c:strRef>
          </c:cat>
          <c:val>
            <c:numRef>
              <c:f>'Analysis dashboard'!$K$14:$K$18</c:f>
              <c:numCache/>
            </c:numRef>
          </c:val>
        </c:ser>
        <c:ser>
          <c:idx val="2"/>
          <c:order val="2"/>
          <c:tx>
            <c:strRef>
              <c:f>'Analysis dashboard'!$N$13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dashboard'!$A$14:$A$18</c:f>
            </c:strRef>
          </c:cat>
          <c:val>
            <c:numRef>
              <c:f>'Analysis dashboard'!$N$14:$N$18</c:f>
              <c:numCache/>
            </c:numRef>
          </c:val>
        </c:ser>
        <c:ser>
          <c:idx val="3"/>
          <c:order val="3"/>
          <c:tx>
            <c:strRef>
              <c:f>'Analysis dashboard'!$Q$13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dashboard'!$A$14:$A$18</c:f>
            </c:strRef>
          </c:cat>
          <c:val>
            <c:numRef>
              <c:f>'Analysis dashboard'!$Q$14:$Q$18</c:f>
              <c:numCache/>
            </c:numRef>
          </c:val>
        </c:ser>
        <c:overlap val="100"/>
        <c:axId val="2076846441"/>
        <c:axId val="653623039"/>
      </c:barChart>
      <c:catAx>
        <c:axId val="2076846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623039"/>
      </c:catAx>
      <c:valAx>
        <c:axId val="653623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8464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314325</xdr:colOff>
      <xdr:row>1</xdr:row>
      <xdr:rowOff>0</xdr:rowOff>
    </xdr:from>
    <xdr:ext cx="5429250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314325</xdr:colOff>
      <xdr:row>11</xdr:row>
      <xdr:rowOff>114300</xdr:rowOff>
    </xdr:from>
    <xdr:ext cx="5429250" cy="3114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314325</xdr:colOff>
      <xdr:row>24</xdr:row>
      <xdr:rowOff>76200</xdr:rowOff>
    </xdr:from>
    <xdr:ext cx="5429250" cy="4162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11" width="8.71"/>
    <col customWidth="1" min="12" max="12" width="10.57"/>
    <col customWidth="1" min="13" max="13" width="8.71"/>
    <col customWidth="1" min="14" max="14" width="9.29"/>
    <col customWidth="1" min="15" max="16" width="8.71"/>
    <col customWidth="1" min="17" max="19" width="10.71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3</v>
      </c>
      <c r="G2" s="4" t="s">
        <v>4</v>
      </c>
      <c r="H2" s="5" t="s">
        <v>6</v>
      </c>
      <c r="I2" s="5" t="s">
        <v>3</v>
      </c>
      <c r="J2" s="5" t="s">
        <v>4</v>
      </c>
      <c r="K2" s="6" t="s">
        <v>7</v>
      </c>
      <c r="L2" s="6" t="s">
        <v>8</v>
      </c>
      <c r="M2" s="6" t="s">
        <v>9</v>
      </c>
      <c r="N2" s="7" t="s">
        <v>10</v>
      </c>
      <c r="O2" s="7" t="s">
        <v>11</v>
      </c>
      <c r="P2" s="7" t="s">
        <v>12</v>
      </c>
      <c r="Q2" s="8" t="s">
        <v>13</v>
      </c>
      <c r="R2" s="8" t="s">
        <v>11</v>
      </c>
      <c r="S2" s="8" t="s">
        <v>12</v>
      </c>
    </row>
    <row r="3">
      <c r="A3" s="2" t="s">
        <v>14</v>
      </c>
      <c r="B3" s="9">
        <f>COUNTIF('Analysis data'!$C:$C,$A$3)</f>
        <v>72</v>
      </c>
      <c r="C3" s="9">
        <f>COUNTIFS('Analysis data'!$C:$C,$A$3,'Analysis data'!$H:$H,"male")</f>
        <v>47</v>
      </c>
      <c r="D3" s="9">
        <f>COUNTIFS('Analysis data'!$C:$C,$A$3,'Analysis data'!$H:$H,"female")</f>
        <v>25</v>
      </c>
      <c r="E3" s="10">
        <f>COUNTIFS('Analysis data'!$C:$C,$A$3,'Analysis data'!$G:$G,"pass")</f>
        <v>59</v>
      </c>
      <c r="F3" s="10">
        <f>COUNTIFS('Analysis data'!$C:$C,$A$3,'Analysis data'!$H:$H,"male",'Analysis data'!$G:$G,"pass")</f>
        <v>37</v>
      </c>
      <c r="G3" s="10">
        <f>COUNTIFS('Analysis data'!$C:$C,$A$3,'Analysis data'!$H:$H,"female",'Analysis data'!$G:$G,"pass")</f>
        <v>22</v>
      </c>
      <c r="H3" s="11">
        <f>COUNTIFS('Analysis data'!$C:$C,$A$3,'Analysis data'!$L:$L,"&lt;&gt;0")</f>
        <v>53</v>
      </c>
      <c r="I3" s="11">
        <f>COUNTIFS('Analysis data'!$C:$C,$A$3,'Analysis data'!$L:$L,"&lt;&gt;0",'Analysis data'!$H:$H,"male")</f>
        <v>36</v>
      </c>
      <c r="J3" s="11">
        <f>COUNTIFS('Analysis data'!$C:$C,$A$3,'Analysis data'!$L:$L,"&lt;&gt;0",'Analysis data'!$H:$H,"FEmale")</f>
        <v>17</v>
      </c>
      <c r="K3" s="12">
        <f>SUMIFS('Analysis data'!$L$2:$L$358,'Analysis data'!$C$2:$C$358,"a",'Analysis data'!$L$2:$L$358,"&gt;0")</f>
        <v>104</v>
      </c>
      <c r="L3" s="12">
        <f>SUMIFS('Analysis data'!$L$2:$L$358,'Analysis data'!$C$2:$C$358,"a",'Analysis data'!$H$2:$H$358,"male",'Analysis data'!$L$2:$L$358,"&gt;0")</f>
        <v>70</v>
      </c>
      <c r="M3" s="12">
        <f>SUMIFS('Analysis data'!$L$2:$L$358,'Analysis data'!$C$2:$C$358,"a",'Analysis data'!$H$2:$H$358,"female",'Analysis data'!$L$2:$L$358,"&gt;0")</f>
        <v>34</v>
      </c>
      <c r="N3" s="13">
        <f>COUNTIFS('Analysis data'!$C$2:$C$358,"A",'Analysis data'!$L$2:$L$358,"&gt;1")</f>
        <v>29</v>
      </c>
      <c r="O3" s="13">
        <f>COUNTIFS('Analysis data'!$C$2:$C$358,"A",'Analysis data'!$L$2:$L$358,"&gt;1",'Analysis data'!$H$2:$H$358,"male")</f>
        <v>21</v>
      </c>
      <c r="P3" s="13">
        <f>COUNTIFS('Analysis data'!$C$2:$C$358,"A",'Analysis data'!$L$2:$L$358,"&gt;1",'Analysis data'!$H$2:$H$358,"female")</f>
        <v>8</v>
      </c>
      <c r="Q3" s="8">
        <f>COUNTIFS('Analysis data'!$C:$C,$A$3,'Analysis data'!$G:$G,"pass",'Analysis data'!$L:$L,"0")</f>
        <v>10</v>
      </c>
      <c r="R3" s="8">
        <f>COUNTIFS('Analysis data'!$C:$C,$A$3,'Analysis data'!$G:$G,"pass",'Analysis data'!$L:$L,"0",'Analysis data'!$H:$H,"male")</f>
        <v>5</v>
      </c>
      <c r="S3" s="8">
        <f>COUNTIFS('Analysis data'!$C:$C,$A$3,'Analysis data'!$G:$G,"pass",'Analysis data'!$L:$L,"0",'Analysis data'!$H:$H,"FEmale")</f>
        <v>5</v>
      </c>
    </row>
    <row r="4">
      <c r="A4" s="2" t="s">
        <v>15</v>
      </c>
      <c r="B4" s="9">
        <f>COUNTIF('Analysis data'!$C:$C,$A$4)</f>
        <v>72</v>
      </c>
      <c r="C4" s="9">
        <f>COUNTIFS('Analysis data'!$C:$C,$A$4,'Analysis data'!$H:$H,"male")</f>
        <v>44</v>
      </c>
      <c r="D4" s="9">
        <f>COUNTIFS('Analysis data'!$C:$C,$A$4,'Analysis data'!$H:$H,"female")</f>
        <v>28</v>
      </c>
      <c r="E4" s="10">
        <f>COUNTIFS('Analysis data'!$C:$C,$A$4,'Analysis data'!$G:$G,"pass")</f>
        <v>60</v>
      </c>
      <c r="F4" s="10">
        <f>COUNTIFS('Analysis data'!$C:$C,$A$4,'Analysis data'!$H:$H,"male",'Analysis data'!$G:$G,"pass")</f>
        <v>33</v>
      </c>
      <c r="G4" s="10">
        <f>COUNTIFS('Analysis data'!$C:$C,$A$4,'Analysis data'!$H:$H,"female",'Analysis data'!$G:$G,"pass")</f>
        <v>27</v>
      </c>
      <c r="H4" s="11">
        <f>COUNTIFS('Analysis data'!$C:$C,$A$4,'Analysis data'!$L:$L,"&lt;&gt;0")</f>
        <v>50</v>
      </c>
      <c r="I4" s="11">
        <f>COUNTIFS('Analysis data'!$C:$C,$A$4,'Analysis data'!$L:$L,"&lt;&gt;0",'Analysis data'!$H:$H,"male")</f>
        <v>29</v>
      </c>
      <c r="J4" s="11">
        <f>COUNTIFS('Analysis data'!$C:$C,$A$4,'Analysis data'!$L:$L,"&lt;&gt;0",'Analysis data'!$H:$H,"FEmale")</f>
        <v>21</v>
      </c>
      <c r="K4" s="12">
        <f>SUMIFS('Analysis data'!$L$2:$L$358,'Analysis data'!$C$2:$C$358,"b",'Analysis data'!$L$2:$L$358,"&gt;0")</f>
        <v>100</v>
      </c>
      <c r="L4" s="12">
        <f>SUMIFS('Analysis data'!$L$2:$L$358,'Analysis data'!$C$2:$C$358,"b",'Analysis data'!$H$2:$H$358,"male",'Analysis data'!$L$2:$L$358,"&gt;0")</f>
        <v>58</v>
      </c>
      <c r="M4" s="12">
        <f>SUMIFS('Analysis data'!$L$2:$L$358,'Analysis data'!$C$2:$C$358,"b",'Analysis data'!$H$2:$H$358,"female",'Analysis data'!$L$2:$L$358,"&gt;0")</f>
        <v>42</v>
      </c>
      <c r="N4" s="13">
        <f>COUNTIFS('Analysis data'!$C$2:$C$358,"b",'Analysis data'!$L$2:$L$358,"&gt;1")</f>
        <v>30</v>
      </c>
      <c r="O4" s="13">
        <f>COUNTIFS('Analysis data'!$C$2:$C$358,"b",'Analysis data'!$L$2:$L$358,"&gt;1",'Analysis data'!$H$2:$H$358,"male")</f>
        <v>17</v>
      </c>
      <c r="P4" s="13">
        <f>COUNTIFS('Analysis data'!$C$2:$C$358,"b",'Analysis data'!$L$2:$L$358,"&gt;1",'Analysis data'!$H$2:$H$358,"female")</f>
        <v>13</v>
      </c>
      <c r="Q4" s="8">
        <f>COUNTIFS('Analysis data'!$C:$C,$A$4,'Analysis data'!$G:$G,"pass",'Analysis data'!$L:$L,"0")</f>
        <v>12</v>
      </c>
      <c r="R4" s="8">
        <f>COUNTIFS('Analysis data'!$C:$C,$A$4,'Analysis data'!$G:$G,"pass",'Analysis data'!$L:$L,"0",'Analysis data'!$H:$H,"male")</f>
        <v>6</v>
      </c>
      <c r="S4" s="8">
        <f>COUNTIFS('Analysis data'!$C:$C,$A$4,'Analysis data'!$G:$G,"pass",'Analysis data'!$L:$L,"0",'Analysis data'!$H:$H,"FEmale")</f>
        <v>6</v>
      </c>
    </row>
    <row r="5">
      <c r="A5" s="2" t="s">
        <v>16</v>
      </c>
      <c r="B5" s="9">
        <f>COUNTIF('Analysis data'!$C:$C,$A$5)</f>
        <v>71</v>
      </c>
      <c r="C5" s="9">
        <f>COUNTIFS('Analysis data'!$C:$C,$A$5,'Analysis data'!$H:$H,"male")</f>
        <v>49</v>
      </c>
      <c r="D5" s="9">
        <f>COUNTIFS('Analysis data'!$C:$C,$A$5,'Analysis data'!$H:$H,"female")</f>
        <v>22</v>
      </c>
      <c r="E5" s="10">
        <f>COUNTIFS('Analysis data'!$C:$C,$A$5,'Analysis data'!$G:$G,"pass")</f>
        <v>57</v>
      </c>
      <c r="F5" s="10">
        <f>COUNTIFS('Analysis data'!$C:$C,$A$5,'Analysis data'!$H:$H,"male",'Analysis data'!$G:$G,"pass")</f>
        <v>38</v>
      </c>
      <c r="G5" s="10">
        <f>COUNTIFS('Analysis data'!$C:$C,$A$5,'Analysis data'!$H:$H,"female",'Analysis data'!$G:$G,"pass")</f>
        <v>19</v>
      </c>
      <c r="H5" s="11">
        <f>COUNTIFS('Analysis data'!$C:$C,$A$5,'Analysis data'!$L:$L,"&lt;&gt;0")</f>
        <v>54</v>
      </c>
      <c r="I5" s="11">
        <f>COUNTIFS('Analysis data'!$C:$C,$A$5,'Analysis data'!$L:$L,"&lt;&gt;0",'Analysis data'!$H:$H,"male")</f>
        <v>36</v>
      </c>
      <c r="J5" s="11">
        <f>COUNTIFS('Analysis data'!$C:$C,$A$5,'Analysis data'!$L:$L,"&lt;&gt;0",'Analysis data'!$H:$H,"FEmale")</f>
        <v>18</v>
      </c>
      <c r="K5" s="12">
        <f>SUMIFS('Analysis data'!$L$2:$L$358,'Analysis data'!$C$2:$C$358,"c",'Analysis data'!$L$2:$L$358,"&gt;0")</f>
        <v>95</v>
      </c>
      <c r="L5" s="12">
        <f>SUMIFS('Analysis data'!$L$2:$L$358,'Analysis data'!$C$2:$C$358,"c",'Analysis data'!$H$2:$H$358,"male",'Analysis data'!$L$2:$L$358,"&gt;0")</f>
        <v>65</v>
      </c>
      <c r="M5" s="12">
        <f>SUMIFS('Analysis data'!$L$2:$L$358,'Analysis data'!$C$2:$C$358,"c",'Analysis data'!$H$2:$H$358,"female",'Analysis data'!$L$2:$L$358,"&gt;0")</f>
        <v>30</v>
      </c>
      <c r="N5" s="13">
        <f>COUNTIFS('Analysis data'!$C$2:$C$358,"c",'Analysis data'!$L$2:$L$358,"&gt;1")</f>
        <v>30</v>
      </c>
      <c r="O5" s="13">
        <f>COUNTIFS('Analysis data'!$C$2:$C$358,"c",'Analysis data'!$L$2:$L$358,"&gt;1",'Analysis data'!$H$2:$H$358,"male")</f>
        <v>20</v>
      </c>
      <c r="P5" s="13">
        <f>COUNTIFS('Analysis data'!$C$2:$C$358,"c",'Analysis data'!$L$2:$L$358,"&gt;1",'Analysis data'!$H$2:$H$358,"female")</f>
        <v>10</v>
      </c>
      <c r="Q5" s="8">
        <f>COUNTIFS('Analysis data'!$C:$C,$A$5,'Analysis data'!$G:$G,"pass",'Analysis data'!$L:$L,"0")</f>
        <v>6</v>
      </c>
      <c r="R5" s="8">
        <f>COUNTIFS('Analysis data'!$C:$C,$A$5,'Analysis data'!$G:$G,"pass",'Analysis data'!$L:$L,"0",'Analysis data'!$H:$H,"male")</f>
        <v>4</v>
      </c>
      <c r="S5" s="8">
        <f>COUNTIFS('Analysis data'!$C:$C,$A$5,'Analysis data'!$G:$G,"pass",'Analysis data'!$L:$L,"0",'Analysis data'!$H:$H,"FEmale")</f>
        <v>2</v>
      </c>
    </row>
    <row r="6">
      <c r="A6" s="2" t="s">
        <v>17</v>
      </c>
      <c r="B6" s="9">
        <f>COUNTIF('Analysis data'!$C:$C,$A$6)</f>
        <v>71</v>
      </c>
      <c r="C6" s="9">
        <f>COUNTIFS('Analysis data'!$C:$C,$A$6,'Analysis data'!$H:$H,"male")</f>
        <v>37</v>
      </c>
      <c r="D6" s="9">
        <f>COUNTIFS('Analysis data'!$C:$C,$A$6,'Analysis data'!$H:$H,"female")</f>
        <v>34</v>
      </c>
      <c r="E6" s="10">
        <f>COUNTIFS('Analysis data'!$C:$C,$A$6,'Analysis data'!$G:$G,"pass")</f>
        <v>63</v>
      </c>
      <c r="F6" s="10">
        <f>COUNTIFS('Analysis data'!$C:$C,$A$6,'Analysis data'!$H:$H,"male",'Analysis data'!$G:$G,"pass")</f>
        <v>31</v>
      </c>
      <c r="G6" s="10">
        <f>COUNTIFS('Analysis data'!$C:$C,$A$6,'Analysis data'!$H:$H,"female",'Analysis data'!$G:$G,"pass")</f>
        <v>32</v>
      </c>
      <c r="H6" s="11">
        <f>COUNTIFS('Analysis data'!$C:$C,$A$6,'Analysis data'!$L:$L,"&lt;&gt;0")</f>
        <v>49</v>
      </c>
      <c r="I6" s="11">
        <f>COUNTIFS('Analysis data'!$C:$C,$A$6,'Analysis data'!$L:$L,"&lt;&gt;0",'Analysis data'!$H:$H,"male")</f>
        <v>23</v>
      </c>
      <c r="J6" s="11">
        <f>COUNTIFS('Analysis data'!$C:$C,$A$6,'Analysis data'!$L:$L,"&lt;&gt;0",'Analysis data'!$H:$H,"FEmale")</f>
        <v>26</v>
      </c>
      <c r="K6" s="12">
        <f>SUMIFS('Analysis data'!$L$2:$L$358,'Analysis data'!$C$2:$C$358,"d",'Analysis data'!$L$2:$L$358,"&gt;0")</f>
        <v>94</v>
      </c>
      <c r="L6" s="12">
        <f>SUMIFS('Analysis data'!$L$2:$L$358,'Analysis data'!$C$2:$C$358,"d",'Analysis data'!$H$2:$H$358,"male",'Analysis data'!$L$2:$L$358,"&gt;0")</f>
        <v>42</v>
      </c>
      <c r="M6" s="12">
        <f>SUMIFS('Analysis data'!$L$2:$L$358,'Analysis data'!$C$2:$C$358,"d",'Analysis data'!$H$2:$H$358,"female",'Analysis data'!$L$2:$L$358,"&gt;0")</f>
        <v>52</v>
      </c>
      <c r="N6" s="13">
        <f>COUNTIFS('Analysis data'!$C$2:$C$358,"d",'Analysis data'!$L$2:$L$358,"&gt;1")</f>
        <v>28</v>
      </c>
      <c r="O6" s="13">
        <f>COUNTIFS('Analysis data'!$C$2:$C$358,"d",'Analysis data'!$L$2:$L$358,"&gt;1",'Analysis data'!$H$2:$H$358,"male")</f>
        <v>12</v>
      </c>
      <c r="P6" s="13">
        <f>COUNTIFS('Analysis data'!$C$2:$C$358,"d",'Analysis data'!$L$2:$L$358,"&gt;1",'Analysis data'!$H$2:$H$358,"female")</f>
        <v>16</v>
      </c>
      <c r="Q6" s="8">
        <f>COUNTIFS('Analysis data'!$C:$C,$A$6,'Analysis data'!$G:$G,"pass",'Analysis data'!$L:$L,"0")</f>
        <v>16</v>
      </c>
      <c r="R6" s="8">
        <f>COUNTIFS('Analysis data'!$C:$C,$A$6,'Analysis data'!$G:$G,"pass",'Analysis data'!$L:$L,"0",'Analysis data'!$H:$H,"male")</f>
        <v>9</v>
      </c>
      <c r="S6" s="8">
        <f>COUNTIFS('Analysis data'!$C:$C,$A$6,'Analysis data'!$G:$G,"pass",'Analysis data'!$L:$L,"0",'Analysis data'!$H:$H,"FEmale")</f>
        <v>7</v>
      </c>
    </row>
    <row r="7">
      <c r="A7" s="2" t="s">
        <v>18</v>
      </c>
      <c r="B7" s="9">
        <f>COUNTIF('Analysis data'!$C:$C,$A$7)</f>
        <v>71</v>
      </c>
      <c r="C7" s="9">
        <f>COUNTIFS('Analysis data'!$C:$C,$A$7,'Analysis data'!$H:$H,"male")</f>
        <v>44</v>
      </c>
      <c r="D7" s="9">
        <f>COUNTIFS('Analysis data'!$C:$C,$A$7,'Analysis data'!$H:$H,"female")</f>
        <v>27</v>
      </c>
      <c r="E7" s="10">
        <f>COUNTIFS('Analysis data'!$C:$C,$A$7,'Analysis data'!$G:$G,"pass")</f>
        <v>62</v>
      </c>
      <c r="F7" s="10">
        <f>COUNTIFS('Analysis data'!$C:$C,$A$7,'Analysis data'!$H:$H,"male",'Analysis data'!$G:$G,"pass")</f>
        <v>36</v>
      </c>
      <c r="G7" s="10">
        <f>COUNTIFS('Analysis data'!$C:$C,$A$7,'Analysis data'!$H:$H,"female",'Analysis data'!$G:$G,"pass")</f>
        <v>26</v>
      </c>
      <c r="H7" s="11">
        <f>COUNTIFS('Analysis data'!$C:$C,$A$7,'Analysis data'!$L:$L,"&lt;&gt;0")</f>
        <v>53</v>
      </c>
      <c r="I7" s="11">
        <f>COUNTIFS('Analysis data'!$C:$C,$A$7,'Analysis data'!$L:$L,"&lt;&gt;0",'Analysis data'!$H:$H,"male")</f>
        <v>31</v>
      </c>
      <c r="J7" s="11">
        <f>COUNTIFS('Analysis data'!$C:$C,$A$7,'Analysis data'!$L:$L,"&lt;&gt;0",'Analysis data'!$H:$H,"FEmale")</f>
        <v>22</v>
      </c>
      <c r="K7" s="12">
        <f>SUMIFS('Analysis data'!$L$2:$L$358,'Analysis data'!$C$2:$C$358,"e",'Analysis data'!$L$2:$L$358,"&gt;0")</f>
        <v>111</v>
      </c>
      <c r="L7" s="12">
        <f>SUMIFS('Analysis data'!$L$2:$L$358,'Analysis data'!$C$2:$C$358,"e",'Analysis data'!$H$2:$H$358,"male",'Analysis data'!$L$2:$L$358,"&gt;0")</f>
        <v>60</v>
      </c>
      <c r="M7" s="12">
        <f>SUMIFS('Analysis data'!$L$2:$L$358,'Analysis data'!$C$2:$C$358,"e",'Analysis data'!$H$2:$H$358,"female",'Analysis data'!$L$2:$L$358,"&gt;0")</f>
        <v>51</v>
      </c>
      <c r="N7" s="13">
        <f>COUNTIFS('Analysis data'!$C$2:$C$358,"e",'Analysis data'!$L$2:$L$358,"&gt;1")</f>
        <v>32</v>
      </c>
      <c r="O7" s="13">
        <f>COUNTIFS('Analysis data'!$C$2:$C$358,"e",'Analysis data'!$L$2:$L$358,"&gt;1",'Analysis data'!$H$2:$H$358,"male")</f>
        <v>16</v>
      </c>
      <c r="P7" s="13">
        <f>COUNTIFS('Analysis data'!$C$2:$C$358,"e",'Analysis data'!$L$2:$L$358,"&gt;1",'Analysis data'!$H$2:$H$358,"female")</f>
        <v>16</v>
      </c>
      <c r="Q7" s="8">
        <f>COUNTIFS('Analysis data'!$C:$C,$A$7,'Analysis data'!$G:$G,"pass",'Analysis data'!$L:$L,"0")</f>
        <v>10</v>
      </c>
      <c r="R7" s="8">
        <f>COUNTIFS('Analysis data'!$C:$C,$A$7,'Analysis data'!$G:$G,"pass",'Analysis data'!$L:$L,"0",'Analysis data'!$H:$H,"male")</f>
        <v>6</v>
      </c>
      <c r="S7" s="8">
        <f>COUNTIFS('Analysis data'!$C:$C,$A$7,'Analysis data'!$G:$G,"pass",'Analysis data'!$L:$L,"0",'Analysis data'!$H:$H,"FEmale")</f>
        <v>4</v>
      </c>
    </row>
    <row r="8">
      <c r="A8" s="2"/>
      <c r="B8" s="9">
        <f t="shared" ref="B8:S8" si="1">SUM(B3:B7)</f>
        <v>357</v>
      </c>
      <c r="C8" s="9">
        <f t="shared" si="1"/>
        <v>221</v>
      </c>
      <c r="D8" s="9">
        <f t="shared" si="1"/>
        <v>136</v>
      </c>
      <c r="E8" s="10">
        <f t="shared" si="1"/>
        <v>301</v>
      </c>
      <c r="F8" s="10">
        <f t="shared" si="1"/>
        <v>175</v>
      </c>
      <c r="G8" s="10">
        <f t="shared" si="1"/>
        <v>126</v>
      </c>
      <c r="H8" s="11">
        <f t="shared" si="1"/>
        <v>259</v>
      </c>
      <c r="I8" s="11">
        <f t="shared" si="1"/>
        <v>155</v>
      </c>
      <c r="J8" s="11">
        <f t="shared" si="1"/>
        <v>104</v>
      </c>
      <c r="K8" s="12">
        <f t="shared" si="1"/>
        <v>504</v>
      </c>
      <c r="L8" s="12">
        <f t="shared" si="1"/>
        <v>295</v>
      </c>
      <c r="M8" s="12">
        <f t="shared" si="1"/>
        <v>209</v>
      </c>
      <c r="N8" s="13">
        <f t="shared" si="1"/>
        <v>149</v>
      </c>
      <c r="O8" s="13">
        <f t="shared" si="1"/>
        <v>86</v>
      </c>
      <c r="P8" s="13">
        <f t="shared" si="1"/>
        <v>63</v>
      </c>
      <c r="Q8" s="8">
        <f t="shared" si="1"/>
        <v>54</v>
      </c>
      <c r="R8" s="8">
        <f t="shared" si="1"/>
        <v>30</v>
      </c>
      <c r="S8" s="8">
        <f t="shared" si="1"/>
        <v>24</v>
      </c>
    </row>
    <row r="12">
      <c r="A12" s="14" t="s">
        <v>19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</row>
    <row r="13">
      <c r="A13" s="2" t="s">
        <v>1</v>
      </c>
      <c r="B13" s="3" t="s">
        <v>2</v>
      </c>
      <c r="C13" s="3" t="s">
        <v>3</v>
      </c>
      <c r="D13" s="3" t="s">
        <v>4</v>
      </c>
      <c r="E13" s="17" t="s">
        <v>20</v>
      </c>
      <c r="F13" s="4" t="s">
        <v>3</v>
      </c>
      <c r="G13" s="4" t="s">
        <v>4</v>
      </c>
      <c r="H13" s="18" t="s">
        <v>21</v>
      </c>
      <c r="I13" s="18" t="s">
        <v>11</v>
      </c>
      <c r="J13" s="18" t="s">
        <v>12</v>
      </c>
      <c r="K13" s="5" t="s">
        <v>22</v>
      </c>
      <c r="L13" s="19" t="s">
        <v>11</v>
      </c>
      <c r="M13" s="19" t="s">
        <v>12</v>
      </c>
      <c r="N13" s="6" t="s">
        <v>23</v>
      </c>
      <c r="O13" s="6" t="s">
        <v>11</v>
      </c>
      <c r="P13" s="6" t="s">
        <v>12</v>
      </c>
      <c r="Q13" s="20" t="s">
        <v>24</v>
      </c>
      <c r="R13" s="21" t="s">
        <v>11</v>
      </c>
      <c r="S13" s="21" t="s">
        <v>12</v>
      </c>
    </row>
    <row r="14">
      <c r="A14" s="2" t="s">
        <v>14</v>
      </c>
      <c r="B14" s="9">
        <f>COUNTIF('Analysis data'!$C:$C,$A$3)</f>
        <v>72</v>
      </c>
      <c r="C14" s="9">
        <f>COUNTIFS('Analysis data'!$C:$C,$A$3,'Analysis data'!$H:$H,"male")</f>
        <v>47</v>
      </c>
      <c r="D14" s="9">
        <f>COUNTIFS('Analysis data'!$C:$C,$A$3,'Analysis data'!$H:$H,"female")</f>
        <v>25</v>
      </c>
      <c r="E14" s="10">
        <f>COUNTIFS('Analysis data'!$C:$C,$A$3,'Analysis data'!$G:$G,"pass")</f>
        <v>59</v>
      </c>
      <c r="F14" s="10">
        <f>COUNTIFS('Analysis data'!$C:$C,$A$3,'Analysis data'!$H:$H,"male",'Analysis data'!$G:$G,"pass")</f>
        <v>37</v>
      </c>
      <c r="G14" s="10">
        <f>COUNTIFS('Analysis data'!$C:$C,$A$3,'Analysis data'!$H:$H,"female",'Analysis data'!$G:$G,"pass")</f>
        <v>22</v>
      </c>
      <c r="H14" s="18">
        <f>COUNTIFS('Analysis data'!$C:$C,$A$3,'Analysis data'!$F:$F,"&lt;&gt;0")</f>
        <v>13</v>
      </c>
      <c r="I14" s="18">
        <f>COUNTIFS('Analysis data'!$C:$C,$A$3,'Analysis data'!$F:$F,"&lt;&gt;0",'Analysis data'!$H:$H,"male")</f>
        <v>10</v>
      </c>
      <c r="J14" s="18">
        <f>COUNTIFS('Analysis data'!$C:$C,$A$3,'Analysis data'!$F:$F,"&lt;&gt;0",'Analysis data'!$H:$H,"female")</f>
        <v>3</v>
      </c>
      <c r="K14" s="5">
        <f>COUNTIFS('Analysis data'!$C:$C,$A$3,'Analysis data'!$F:$F,"1")</f>
        <v>7</v>
      </c>
      <c r="L14" s="5">
        <f>COUNTIFS('Analysis data'!$C:$C,$A$3,'Analysis data'!$F:$F,"1",'Analysis data'!$H:$H,"male")</f>
        <v>6</v>
      </c>
      <c r="M14" s="5">
        <f>COUNTIFS('Analysis data'!$C:$C,$A$3,'Analysis data'!$F:$F,"1",'Analysis data'!$H:$H,"female")</f>
        <v>1</v>
      </c>
      <c r="N14" s="6">
        <f>COUNTIFS('Analysis data'!$C:$C,$A$3,'Analysis data'!$F:$F,"2")</f>
        <v>2</v>
      </c>
      <c r="O14" s="6">
        <f>COUNTIFS('Analysis data'!$C:$C,$A$3,'Analysis data'!$F:$F,"2",'Analysis data'!$H:$H,"male")</f>
        <v>2</v>
      </c>
      <c r="P14" s="6">
        <f>COUNTIFS('Analysis data'!$C:$C,$A$3,'Analysis data'!$F:$F,"2",'Analysis data'!$H:$H,"female")</f>
        <v>0</v>
      </c>
      <c r="Q14" s="21">
        <f>COUNTIFS('Analysis data'!$C:$C,$A$3,'Analysis data'!$F:$F,"&gt;2")</f>
        <v>4</v>
      </c>
      <c r="R14" s="21">
        <f>COUNTIFS('Analysis data'!$C:$C,$A$3,'Analysis data'!$F:$F,"&gt;2",'Analysis data'!$H:$H,"male")</f>
        <v>2</v>
      </c>
      <c r="S14" s="21">
        <f>COUNTIFS('Analysis data'!$C:$C,$A$3,'Analysis data'!$F:$F,"&gt;2",'Analysis data'!$H:$H,"female")</f>
        <v>2</v>
      </c>
    </row>
    <row r="15">
      <c r="A15" s="2" t="s">
        <v>15</v>
      </c>
      <c r="B15" s="9">
        <f>COUNTIF('Analysis data'!$C:$C,$A$4)</f>
        <v>72</v>
      </c>
      <c r="C15" s="9">
        <f>COUNTIFS('Analysis data'!$C:$C,$A$4,'Analysis data'!$H:$H,"male")</f>
        <v>44</v>
      </c>
      <c r="D15" s="9">
        <f>COUNTIFS('Analysis data'!$C:$C,$A$4,'Analysis data'!$H:$H,"female")</f>
        <v>28</v>
      </c>
      <c r="E15" s="10">
        <f>COUNTIFS('Analysis data'!$C:$C,$A$4,'Analysis data'!$G:$G,"pass")</f>
        <v>60</v>
      </c>
      <c r="F15" s="10">
        <f>COUNTIFS('Analysis data'!$C:$C,$A$4,'Analysis data'!$H:$H,"male",'Analysis data'!$G:$G,"pass")</f>
        <v>33</v>
      </c>
      <c r="G15" s="10">
        <f>COUNTIFS('Analysis data'!$C:$C,$A$4,'Analysis data'!$H:$H,"female",'Analysis data'!$G:$G,"pass")</f>
        <v>27</v>
      </c>
      <c r="H15" s="18">
        <f>COUNTIFS('Analysis data'!$C:$C,$A$4,'Analysis data'!$F:$F,"&lt;&gt;0")</f>
        <v>11</v>
      </c>
      <c r="I15" s="18">
        <f>COUNTIFS('Analysis data'!$C:$C,$A$4,'Analysis data'!$F:$F,"&lt;&gt;0",'Analysis data'!$H:$H,"male")</f>
        <v>10</v>
      </c>
      <c r="J15" s="18">
        <f>COUNTIFS('Analysis data'!$C:$C,$A$4,'Analysis data'!$F:$F,"&lt;&gt;0",'Analysis data'!$H:$H,"female")</f>
        <v>1</v>
      </c>
      <c r="K15" s="5">
        <f>COUNTIFS('Analysis data'!$C:$C,$A$4,'Analysis data'!$F:$F,"1")</f>
        <v>5</v>
      </c>
      <c r="L15" s="5">
        <f>COUNTIFS('Analysis data'!$C:$C,$A$4,'Analysis data'!$F:$F,"1",'Analysis data'!$H:$H,"male")</f>
        <v>4</v>
      </c>
      <c r="M15" s="5">
        <f>COUNTIFS('Analysis data'!$C:$C,$A$4,'Analysis data'!$F:$F,"1",'Analysis data'!$H:$H,"female")</f>
        <v>1</v>
      </c>
      <c r="N15" s="6">
        <f>COUNTIFS('Analysis data'!$C:$C,$A$4,'Analysis data'!$F:$F,"2")</f>
        <v>2</v>
      </c>
      <c r="O15" s="6">
        <f>COUNTIFS('Analysis data'!$C:$C,$A$4,'Analysis data'!$F:$F,"2",'Analysis data'!$H:$H,"male")</f>
        <v>2</v>
      </c>
      <c r="P15" s="6">
        <f>COUNTIFS('Analysis data'!$C:$C,$A$4,'Analysis data'!$F:$F,"2",'Analysis data'!$H:$H,"female")</f>
        <v>0</v>
      </c>
      <c r="Q15" s="21">
        <f>COUNTIFS('Analysis data'!$C:$C,$A$4,'Analysis data'!$F:$F,"&gt;2")</f>
        <v>4</v>
      </c>
      <c r="R15" s="21">
        <f>COUNTIFS('Analysis data'!$C:$C,$A$4,'Analysis data'!$F:$F,"&gt;2",'Analysis data'!$H:$H,"male")</f>
        <v>4</v>
      </c>
      <c r="S15" s="21">
        <f>COUNTIFS('Analysis data'!$C:$C,$A$4,'Analysis data'!$F:$F,"&gt;2",'Analysis data'!$H:$H,"female")</f>
        <v>0</v>
      </c>
    </row>
    <row r="16">
      <c r="A16" s="2" t="s">
        <v>16</v>
      </c>
      <c r="B16" s="9">
        <f>COUNTIF('Analysis data'!$C:$C,$A$5)</f>
        <v>71</v>
      </c>
      <c r="C16" s="9">
        <f>COUNTIFS('Analysis data'!$C:$C,$A$5,'Analysis data'!$H:$H,"male")</f>
        <v>49</v>
      </c>
      <c r="D16" s="9">
        <f>COUNTIFS('Analysis data'!$C:$C,$A$5,'Analysis data'!$H:$H,"female")</f>
        <v>22</v>
      </c>
      <c r="E16" s="10">
        <f>COUNTIFS('Analysis data'!$C:$C,$A$5,'Analysis data'!$G:$G,"pass")</f>
        <v>57</v>
      </c>
      <c r="F16" s="10">
        <f>COUNTIFS('Analysis data'!$C:$C,$A$5,'Analysis data'!$H:$H,"male",'Analysis data'!$G:$G,"pass")</f>
        <v>38</v>
      </c>
      <c r="G16" s="10">
        <f>COUNTIFS('Analysis data'!$C:$C,$A$5,'Analysis data'!$H:$H,"female",'Analysis data'!$G:$G,"pass")</f>
        <v>19</v>
      </c>
      <c r="H16" s="18">
        <f>COUNTIFS('Analysis data'!$C:$C,$A$5,'Analysis data'!$F:$F,"&lt;&gt;0")</f>
        <v>14</v>
      </c>
      <c r="I16" s="18">
        <f>COUNTIFS('Analysis data'!$C:$C,$A$5,'Analysis data'!$F:$F,"&lt;&gt;0",'Analysis data'!$H:$H,"male")</f>
        <v>11</v>
      </c>
      <c r="J16" s="18">
        <f>COUNTIFS('Analysis data'!$C:$C,$A$5,'Analysis data'!$F:$F,"&lt;&gt;0",'Analysis data'!$H:$H,"female")</f>
        <v>3</v>
      </c>
      <c r="K16" s="5">
        <f>COUNTIFS('Analysis data'!$C:$C,$A$5,'Analysis data'!$F:$F,"1")</f>
        <v>8</v>
      </c>
      <c r="L16" s="5">
        <f>COUNTIFS('Analysis data'!$C:$C,$A$5,'Analysis data'!$F:$F,"1",'Analysis data'!$H:$H,"male")</f>
        <v>6</v>
      </c>
      <c r="M16" s="5">
        <f>COUNTIFS('Analysis data'!$C:$C,$A$5,'Analysis data'!$F:$F,"1",'Analysis data'!$H:$H,"female")</f>
        <v>2</v>
      </c>
      <c r="N16" s="6">
        <f>COUNTIFS('Analysis data'!$C:$C,$A$5,'Analysis data'!$F:$F,"2")</f>
        <v>1</v>
      </c>
      <c r="O16" s="6">
        <f>COUNTIFS('Analysis data'!$C:$C,$A$5,'Analysis data'!$F:$F,"2",'Analysis data'!$H:$H,"male")</f>
        <v>1</v>
      </c>
      <c r="P16" s="6">
        <f>COUNTIFS('Analysis data'!$C:$C,$A$5,'Analysis data'!$F:$F,"2",'Analysis data'!$H:$H,"female")</f>
        <v>0</v>
      </c>
      <c r="Q16" s="21">
        <f>COUNTIFS('Analysis data'!$C:$C,$A$5,'Analysis data'!$F:$F,"&gt;2")</f>
        <v>5</v>
      </c>
      <c r="R16" s="21">
        <f>COUNTIFS('Analysis data'!$C:$C,$A$5,'Analysis data'!$F:$F,"&gt;2",'Analysis data'!$H:$H,"male")</f>
        <v>4</v>
      </c>
      <c r="S16" s="21">
        <f>COUNTIFS('Analysis data'!$C:$C,$A$5,'Analysis data'!$F:$F,"&gt;2",'Analysis data'!$H:$H,"female")</f>
        <v>1</v>
      </c>
    </row>
    <row r="17">
      <c r="A17" s="2" t="s">
        <v>17</v>
      </c>
      <c r="B17" s="9">
        <f>COUNTIF('Analysis data'!$C:$C,$A$6)</f>
        <v>71</v>
      </c>
      <c r="C17" s="9">
        <f>COUNTIFS('Analysis data'!$C:$C,$A$6,'Analysis data'!$H:$H,"male")</f>
        <v>37</v>
      </c>
      <c r="D17" s="9">
        <f>COUNTIFS('Analysis data'!$C:$C,$A$6,'Analysis data'!$H:$H,"female")</f>
        <v>34</v>
      </c>
      <c r="E17" s="10">
        <f>COUNTIFS('Analysis data'!$C:$C,$A$6,'Analysis data'!$G:$G,"pass")</f>
        <v>63</v>
      </c>
      <c r="F17" s="10">
        <f>COUNTIFS('Analysis data'!$C:$C,$A$6,'Analysis data'!$H:$H,"male",'Analysis data'!$G:$G,"pass")</f>
        <v>31</v>
      </c>
      <c r="G17" s="10">
        <f>COUNTIFS('Analysis data'!$C:$C,$A$6,'Analysis data'!$H:$H,"female",'Analysis data'!$G:$G,"pass")</f>
        <v>32</v>
      </c>
      <c r="H17" s="18">
        <f>COUNTIFS('Analysis data'!$C:$C,$A$6,'Analysis data'!$F:$F,"&lt;&gt;0")</f>
        <v>8</v>
      </c>
      <c r="I17" s="18">
        <f>COUNTIFS('Analysis data'!$C:$C,$A$6,'Analysis data'!$F:$F,"&lt;&gt;0",'Analysis data'!$H:$H,"male")</f>
        <v>6</v>
      </c>
      <c r="J17" s="18">
        <f>COUNTIFS('Analysis data'!$C:$C,$A$6,'Analysis data'!$F:$F,"&lt;&gt;0",'Analysis data'!$H:$H,"female")</f>
        <v>2</v>
      </c>
      <c r="K17" s="5">
        <f>COUNTIFS('Analysis data'!$C:$C,$A$6,'Analysis data'!$F:$F,"1")</f>
        <v>4</v>
      </c>
      <c r="L17" s="5">
        <f>COUNTIFS('Analysis data'!$C:$C,$A$6,'Analysis data'!$F:$F,"1",'Analysis data'!$H:$H,"male")</f>
        <v>2</v>
      </c>
      <c r="M17" s="5">
        <f>COUNTIFS('Analysis data'!$C:$C,$A$6,'Analysis data'!$F:$F,"1",'Analysis data'!$H:$H,"female")</f>
        <v>2</v>
      </c>
      <c r="N17" s="6">
        <f>COUNTIFS('Analysis data'!$C:$C,$A$6,'Analysis data'!$F:$F,"2")</f>
        <v>1</v>
      </c>
      <c r="O17" s="6">
        <f>COUNTIFS('Analysis data'!$C:$C,$A$6,'Analysis data'!$F:$F,"2",'Analysis data'!$H:$H,"male")</f>
        <v>1</v>
      </c>
      <c r="P17" s="6">
        <f>COUNTIFS('Analysis data'!$C:$C,$A$6,'Analysis data'!$F:$F,"2",'Analysis data'!$H:$H,"female")</f>
        <v>0</v>
      </c>
      <c r="Q17" s="21">
        <f>COUNTIFS('Analysis data'!$C:$C,$A$6,'Analysis data'!$F:$F,"&gt;2")</f>
        <v>3</v>
      </c>
      <c r="R17" s="21">
        <f>COUNTIFS('Analysis data'!$C:$C,$A$6,'Analysis data'!$F:$F,"&gt;2",'Analysis data'!$H:$H,"male")</f>
        <v>3</v>
      </c>
      <c r="S17" s="21">
        <f>COUNTIFS('Analysis data'!$C:$C,$A$6,'Analysis data'!$F:$F,"&gt;2",'Analysis data'!$H:$H,"female")</f>
        <v>0</v>
      </c>
    </row>
    <row r="18">
      <c r="A18" s="2" t="s">
        <v>18</v>
      </c>
      <c r="B18" s="9">
        <f>COUNTIF('Analysis data'!$C:$C,$A$7)</f>
        <v>71</v>
      </c>
      <c r="C18" s="9">
        <f>COUNTIFS('Analysis data'!$C:$C,$A$7,'Analysis data'!$H:$H,"male")</f>
        <v>44</v>
      </c>
      <c r="D18" s="9">
        <f>COUNTIFS('Analysis data'!$C:$C,$A$7,'Analysis data'!$H:$H,"female")</f>
        <v>27</v>
      </c>
      <c r="E18" s="10">
        <f>COUNTIFS('Analysis data'!$C:$C,$A$7,'Analysis data'!$G:$G,"pass")</f>
        <v>62</v>
      </c>
      <c r="F18" s="10">
        <f>COUNTIFS('Analysis data'!$C:$C,$A$7,'Analysis data'!$H:$H,"male",'Analysis data'!$G:$G,"pass")</f>
        <v>36</v>
      </c>
      <c r="G18" s="10">
        <f>COUNTIFS('Analysis data'!$C:$C,$A$7,'Analysis data'!$H:$H,"female",'Analysis data'!$G:$G,"pass")</f>
        <v>26</v>
      </c>
      <c r="H18" s="18">
        <f>COUNTIFS('Analysis data'!$C:$C,$A$7,'Analysis data'!$F:$F,"&lt;&gt;0")</f>
        <v>9</v>
      </c>
      <c r="I18" s="18">
        <f>COUNTIFS('Analysis data'!$C:$C,$A$7,'Analysis data'!$F:$F,"&lt;&gt;0",'Analysis data'!$H:$H,"male")</f>
        <v>8</v>
      </c>
      <c r="J18" s="18">
        <f>COUNTIFS('Analysis data'!$C:$C,$A$7,'Analysis data'!$F:$F,"&lt;&gt;0",'Analysis data'!$H:$H,"female")</f>
        <v>1</v>
      </c>
      <c r="K18" s="5">
        <f>COUNTIFS('Analysis data'!$C:$C,$A$7,'Analysis data'!$F:$F,"1")</f>
        <v>4</v>
      </c>
      <c r="L18" s="5">
        <f>COUNTIFS('Analysis data'!$C:$C,$A$7,'Analysis data'!$F:$F,"1",'Analysis data'!$H:$H,"male")</f>
        <v>4</v>
      </c>
      <c r="M18" s="5">
        <f>COUNTIFS('Analysis data'!$C:$C,$A$7,'Analysis data'!$F:$F,"1",'Analysis data'!$H:$H,"female")</f>
        <v>0</v>
      </c>
      <c r="N18" s="6">
        <f>COUNTIFS('Analysis data'!$C:$C,$A$7,'Analysis data'!$F:$F,"2")</f>
        <v>0</v>
      </c>
      <c r="O18" s="6">
        <f>COUNTIFS('Analysis data'!$C:$C,$A$7,'Analysis data'!$F:$F,"2",'Analysis data'!$H:$H,"male")</f>
        <v>0</v>
      </c>
      <c r="P18" s="6">
        <f>COUNTIFS('Analysis data'!$C:$C,$A$7,'Analysis data'!$F:$F,"2",'Analysis data'!$H:$H,"female")</f>
        <v>0</v>
      </c>
      <c r="Q18" s="21">
        <f>COUNTIFS('Analysis data'!$C:$C,$A$7,'Analysis data'!$F:$F,"&gt;2")</f>
        <v>5</v>
      </c>
      <c r="R18" s="21">
        <f>COUNTIFS('Analysis data'!$C:$C,$A$7,'Analysis data'!$F:$F,"&gt;2",'Analysis data'!$H:$H,"male")</f>
        <v>4</v>
      </c>
      <c r="S18" s="21">
        <f>COUNTIFS('Analysis data'!$C:$C,$A$7,'Analysis data'!$F:$F,"&gt;2",'Analysis data'!$H:$H,"female")</f>
        <v>1</v>
      </c>
    </row>
    <row r="19">
      <c r="A19" s="2"/>
      <c r="B19" s="9">
        <f t="shared" ref="B19:S19" si="2">SUM(B14:B18)</f>
        <v>357</v>
      </c>
      <c r="C19" s="9">
        <f t="shared" si="2"/>
        <v>221</v>
      </c>
      <c r="D19" s="9">
        <f t="shared" si="2"/>
        <v>136</v>
      </c>
      <c r="E19" s="10">
        <f t="shared" si="2"/>
        <v>301</v>
      </c>
      <c r="F19" s="10">
        <f t="shared" si="2"/>
        <v>175</v>
      </c>
      <c r="G19" s="10">
        <f t="shared" si="2"/>
        <v>126</v>
      </c>
      <c r="H19" s="18">
        <f t="shared" si="2"/>
        <v>55</v>
      </c>
      <c r="I19" s="18">
        <f t="shared" si="2"/>
        <v>45</v>
      </c>
      <c r="J19" s="18">
        <f t="shared" si="2"/>
        <v>10</v>
      </c>
      <c r="K19" s="5">
        <f t="shared" si="2"/>
        <v>28</v>
      </c>
      <c r="L19" s="5">
        <f t="shared" si="2"/>
        <v>22</v>
      </c>
      <c r="M19" s="5">
        <f t="shared" si="2"/>
        <v>6</v>
      </c>
      <c r="N19" s="6">
        <f t="shared" si="2"/>
        <v>6</v>
      </c>
      <c r="O19" s="6">
        <f t="shared" si="2"/>
        <v>6</v>
      </c>
      <c r="P19" s="6">
        <f t="shared" si="2"/>
        <v>0</v>
      </c>
      <c r="Q19" s="21">
        <f t="shared" si="2"/>
        <v>21</v>
      </c>
      <c r="R19" s="21">
        <f t="shared" si="2"/>
        <v>17</v>
      </c>
      <c r="S19" s="21">
        <f t="shared" si="2"/>
        <v>4</v>
      </c>
    </row>
    <row r="22">
      <c r="A22" s="22" t="s">
        <v>25</v>
      </c>
      <c r="H22" s="22" t="s">
        <v>26</v>
      </c>
    </row>
    <row r="23">
      <c r="A23" s="2" t="s">
        <v>1</v>
      </c>
      <c r="B23" s="3" t="s">
        <v>2</v>
      </c>
      <c r="C23" s="3" t="s">
        <v>3</v>
      </c>
      <c r="D23" s="3" t="s">
        <v>4</v>
      </c>
      <c r="H23" s="2" t="s">
        <v>1</v>
      </c>
      <c r="I23" s="3" t="s">
        <v>2</v>
      </c>
      <c r="J23" s="3" t="s">
        <v>3</v>
      </c>
      <c r="K23" s="3" t="s">
        <v>4</v>
      </c>
    </row>
    <row r="24">
      <c r="A24" s="2" t="s">
        <v>14</v>
      </c>
      <c r="B24" s="9">
        <f>COUNTIFS('Analysis data'!$C:$C,$A$3,'Analysis data'!$I:$I,$F$25)</f>
        <v>19</v>
      </c>
      <c r="C24" s="9">
        <f>COUNTIFS('Analysis data'!$C:$C,$A$3,'Analysis data'!$H:$H,"male",'Analysis data'!$I:$I,$F$25)</f>
        <v>14</v>
      </c>
      <c r="D24" s="9">
        <f>COUNTIFS('Analysis data'!$C:$C,$A$3,'Analysis data'!$H:$H,"female",'Analysis data'!$I:$I,$F$25)</f>
        <v>5</v>
      </c>
      <c r="F24" s="23" t="s">
        <v>27</v>
      </c>
      <c r="H24" s="2" t="s">
        <v>14</v>
      </c>
      <c r="I24" s="9">
        <f>COUNTIFS('Analysis data'!$C:$C,$A$3,'Analysis data'!$I:$I,$F$24)</f>
        <v>53</v>
      </c>
      <c r="J24" s="9">
        <f>COUNTIFS('Analysis data'!$C:$C,$A$3,'Analysis data'!$H:$H,"male",'Analysis data'!$I:$I,$F$24)</f>
        <v>33</v>
      </c>
      <c r="K24" s="9">
        <f>COUNTIFS('Analysis data'!$C:$C,$A$3,'Analysis data'!$H:$H,"female",'Analysis data'!$I:$I,$F$24)</f>
        <v>20</v>
      </c>
    </row>
    <row r="25">
      <c r="A25" s="2" t="s">
        <v>15</v>
      </c>
      <c r="B25" s="9">
        <f>COUNTIFS('Analysis data'!$C:$C,$A$4,'Analysis data'!$I:$I,$F$25)</f>
        <v>23</v>
      </c>
      <c r="C25" s="9">
        <f>COUNTIFS('Analysis data'!$C:$C,$A$4,'Analysis data'!$H:$H,"male",'Analysis data'!$I:$I,$F$25)</f>
        <v>16</v>
      </c>
      <c r="D25" s="9">
        <f>COUNTIFS('Analysis data'!$C:$C,$A$4,'Analysis data'!$H:$H,"female",'Analysis data'!$I:$I,$F$25)</f>
        <v>7</v>
      </c>
      <c r="F25" s="24" t="s">
        <v>28</v>
      </c>
      <c r="H25" s="2" t="s">
        <v>15</v>
      </c>
      <c r="I25" s="9">
        <f>COUNTIFS('Analysis data'!$C:$C,$A$4,'Analysis data'!$I:$I,$F$24)</f>
        <v>48</v>
      </c>
      <c r="J25" s="9">
        <f>COUNTIFS('Analysis data'!$C:$C,$A$4,'Analysis data'!$H:$H,"male",'Analysis data'!$I:$I,$F$24)</f>
        <v>27</v>
      </c>
      <c r="K25" s="9">
        <f>COUNTIFS('Analysis data'!$C:$C,$A$4,'Analysis data'!$H:$H,"female",'Analysis data'!$I:$I,$F$24)</f>
        <v>21</v>
      </c>
    </row>
    <row r="26">
      <c r="A26" s="2" t="s">
        <v>16</v>
      </c>
      <c r="B26" s="9">
        <f>COUNTIFS('Analysis data'!$C:$C,$A$5,'Analysis data'!$I:$I,$F$25)</f>
        <v>22</v>
      </c>
      <c r="C26" s="9">
        <f>COUNTIFS('Analysis data'!$C:$C,$A$5,'Analysis data'!$H:$H,"male",'Analysis data'!$I:$I,$F$25)</f>
        <v>15</v>
      </c>
      <c r="D26" s="9">
        <f>COUNTIFS('Analysis data'!$C:$C,$A$5,'Analysis data'!$H:$H,"female",'Analysis data'!$I:$I,$F$25)</f>
        <v>7</v>
      </c>
      <c r="H26" s="2" t="s">
        <v>16</v>
      </c>
      <c r="I26" s="9">
        <f>COUNTIFS('Analysis data'!$C:$C,$A$5,'Analysis data'!$I:$I,$F$24)</f>
        <v>49</v>
      </c>
      <c r="J26" s="9">
        <f>COUNTIFS('Analysis data'!$C:$C,$A$5,'Analysis data'!$H:$H,"male",'Analysis data'!$I:$I,$F$24)</f>
        <v>34</v>
      </c>
      <c r="K26" s="9">
        <f>COUNTIFS('Analysis data'!$C:$C,$A$5,'Analysis data'!$H:$H,"female",'Analysis data'!$I:$I,$F$24)</f>
        <v>15</v>
      </c>
    </row>
    <row r="27">
      <c r="A27" s="2" t="s">
        <v>17</v>
      </c>
      <c r="B27" s="9">
        <f>COUNTIFS('Analysis data'!$C:$C,$A$6,'Analysis data'!$I:$I,$F$25)</f>
        <v>19</v>
      </c>
      <c r="C27" s="9">
        <f>COUNTIFS('Analysis data'!$C:$C,$A$6,'Analysis data'!$H:$H,"male",'Analysis data'!$I:$I,$F$25)</f>
        <v>8</v>
      </c>
      <c r="D27" s="9">
        <f>COUNTIFS('Analysis data'!$C:$C,$A$6,'Analysis data'!$H:$H,"female",'Analysis data'!$I:$I,$F$25)</f>
        <v>11</v>
      </c>
      <c r="H27" s="2" t="s">
        <v>17</v>
      </c>
      <c r="I27" s="9">
        <f>COUNTIFS('Analysis data'!$C:$C,$A$6,'Analysis data'!$I:$I,$F$24)</f>
        <v>52</v>
      </c>
      <c r="J27" s="9">
        <f>COUNTIFS('Analysis data'!$C:$C,$A$6,'Analysis data'!$H:$H,"male",'Analysis data'!$I:$I,$F$24)</f>
        <v>29</v>
      </c>
      <c r="K27" s="9">
        <f>COUNTIFS('Analysis data'!$C:$C,$A$6,'Analysis data'!$H:$H,"female",'Analysis data'!$I:$I,$F$24)</f>
        <v>23</v>
      </c>
    </row>
    <row r="28">
      <c r="A28" s="2" t="s">
        <v>18</v>
      </c>
      <c r="B28" s="9">
        <f>COUNTIFS('Analysis data'!$C:$C,$A$7,'Analysis data'!$I:$I,$F$25)</f>
        <v>15</v>
      </c>
      <c r="C28" s="9">
        <f>COUNTIFS('Analysis data'!$C:$C,$A$7,'Analysis data'!$H:$H,"male",'Analysis data'!$I:$I,$F$25)</f>
        <v>12</v>
      </c>
      <c r="D28" s="9">
        <f>COUNTIFS('Analysis data'!$C:$C,$A$7,'Analysis data'!$H:$H,"female",'Analysis data'!$I:$I,$F$25)</f>
        <v>3</v>
      </c>
      <c r="H28" s="2" t="s">
        <v>18</v>
      </c>
      <c r="I28" s="9">
        <f>COUNTIFS('Analysis data'!$C:$C,$A$7,'Analysis data'!$I:$I,$F$24)</f>
        <v>55</v>
      </c>
      <c r="J28" s="9">
        <f>COUNTIFS('Analysis data'!$C:$C,$A$7,'Analysis data'!$H:$H,"male",'Analysis data'!$I:$I,$F$24)</f>
        <v>31</v>
      </c>
      <c r="K28" s="9">
        <f>COUNTIFS('Analysis data'!$C:$C,$A$7,'Analysis data'!$H:$H,"female",'Analysis data'!$I:$I,$F$24)</f>
        <v>24</v>
      </c>
    </row>
    <row r="29">
      <c r="A29" s="2"/>
      <c r="B29" s="9">
        <f t="shared" ref="B29:D29" si="3">SUM(B24:B28)</f>
        <v>98</v>
      </c>
      <c r="C29" s="9">
        <f t="shared" si="3"/>
        <v>65</v>
      </c>
      <c r="D29" s="9">
        <f t="shared" si="3"/>
        <v>33</v>
      </c>
      <c r="H29" s="2"/>
      <c r="I29" s="9">
        <f t="shared" ref="I29:K29" si="4">SUM(I24:I28)</f>
        <v>257</v>
      </c>
      <c r="J29" s="9">
        <f t="shared" si="4"/>
        <v>154</v>
      </c>
      <c r="K29" s="9">
        <f t="shared" si="4"/>
        <v>103</v>
      </c>
    </row>
    <row r="31">
      <c r="A31" s="2" t="s">
        <v>1</v>
      </c>
      <c r="B31" s="4" t="s">
        <v>5</v>
      </c>
      <c r="C31" s="4" t="s">
        <v>3</v>
      </c>
      <c r="D31" s="4" t="s">
        <v>4</v>
      </c>
      <c r="H31" s="2" t="s">
        <v>1</v>
      </c>
      <c r="I31" s="4" t="s">
        <v>5</v>
      </c>
      <c r="J31" s="4" t="s">
        <v>3</v>
      </c>
      <c r="K31" s="4" t="s">
        <v>4</v>
      </c>
    </row>
    <row r="32">
      <c r="A32" s="2" t="s">
        <v>14</v>
      </c>
      <c r="B32" s="10">
        <f>COUNTIFS('Analysis data'!$C:$C,$A$3,'Analysis data'!$G:$G,"pass",'Analysis data'!$I:$I,$F$25)</f>
        <v>12</v>
      </c>
      <c r="C32" s="10">
        <f>COUNTIFS('Analysis data'!$C:$C,$A$3,'Analysis data'!$H:$H,"male",'Analysis data'!$G:$G,"pass",'Analysis data'!$I:$I,$F$25)</f>
        <v>9</v>
      </c>
      <c r="D32" s="10">
        <f>COUNTIFS('Analysis data'!$C:$C,$A$3,'Analysis data'!$H:$H,"female",'Analysis data'!$G:$G,"pass",'Analysis data'!$I:$I,$F$25)</f>
        <v>3</v>
      </c>
      <c r="H32" s="2" t="s">
        <v>14</v>
      </c>
      <c r="I32" s="10">
        <f>COUNTIFS('Analysis data'!$C:$C,$A$3,'Analysis data'!$G:$G,"pass",'Analysis data'!$I:$I,$F$24)</f>
        <v>47</v>
      </c>
      <c r="J32" s="10">
        <f>COUNTIFS('Analysis data'!$C:$C,$A$3,'Analysis data'!$H:$H,"male",'Analysis data'!$G:$G,"pass",'Analysis data'!$I:$I,$F$24)</f>
        <v>28</v>
      </c>
      <c r="K32" s="10">
        <f>COUNTIFS('Analysis data'!$C:$C,$A$3,'Analysis data'!$H:$H,"female",'Analysis data'!$G:$G,"pass",'Analysis data'!$I:$I,$F$24)</f>
        <v>19</v>
      </c>
    </row>
    <row r="33">
      <c r="A33" s="2" t="s">
        <v>15</v>
      </c>
      <c r="B33" s="10">
        <f>COUNTIFS('Analysis data'!$C:$C,$A$4,'Analysis data'!$G:$G,"pass",'Analysis data'!$I:$I,$F$25)</f>
        <v>19</v>
      </c>
      <c r="C33" s="10">
        <f>COUNTIFS('Analysis data'!$C:$C,$A$4,'Analysis data'!$H:$H,"male",'Analysis data'!$G:$G,"pass",'Analysis data'!$I:$I,$F$25)</f>
        <v>12</v>
      </c>
      <c r="D33" s="10">
        <f>COUNTIFS('Analysis data'!$C:$C,$A$4,'Analysis data'!$H:$H,"female",'Analysis data'!$G:$G,"pass",'Analysis data'!$I:$I,$F$25)</f>
        <v>7</v>
      </c>
      <c r="H33" s="2" t="s">
        <v>15</v>
      </c>
      <c r="I33" s="10">
        <f>COUNTIFS('Analysis data'!$C:$C,$A$4,'Analysis data'!$G:$G,"pass",'Analysis data'!$I:$I,$F$24)</f>
        <v>40</v>
      </c>
      <c r="J33" s="10">
        <f>COUNTIFS('Analysis data'!$C:$C,$A$4,'Analysis data'!$H:$H,"male",'Analysis data'!$G:$G,"pass",'Analysis data'!$I:$I,$F$24)</f>
        <v>20</v>
      </c>
      <c r="K33" s="10">
        <f>COUNTIFS('Analysis data'!$C:$C,$A$4,'Analysis data'!$H:$H,"female",'Analysis data'!$G:$G,"pass",'Analysis data'!$I:$I,$F$24)</f>
        <v>20</v>
      </c>
    </row>
    <row r="34">
      <c r="A34" s="2" t="s">
        <v>16</v>
      </c>
      <c r="B34" s="10">
        <f>COUNTIFS('Analysis data'!$C:$C,$A$5,'Analysis data'!$G:$G,"pass",'Analysis data'!$I:$I,$F$25)</f>
        <v>17</v>
      </c>
      <c r="C34" s="10">
        <f>COUNTIFS('Analysis data'!$C:$C,$A$5,'Analysis data'!$H:$H,"male",'Analysis data'!$G:$G,"pass",'Analysis data'!$I:$I,$F$25)</f>
        <v>11</v>
      </c>
      <c r="D34" s="10">
        <f>COUNTIFS('Analysis data'!$C:$C,$A$5,'Analysis data'!$H:$H,"female",'Analysis data'!$G:$G,"pass",'Analysis data'!$I:$I,$F$25)</f>
        <v>6</v>
      </c>
      <c r="H34" s="2" t="s">
        <v>16</v>
      </c>
      <c r="I34" s="10">
        <f>COUNTIFS('Analysis data'!$C:$C,$A$5,'Analysis data'!$G:$G,"pass",'Analysis data'!$I:$I,$F$24)</f>
        <v>40</v>
      </c>
      <c r="J34" s="10">
        <f>COUNTIFS('Analysis data'!$C:$C,$A$5,'Analysis data'!$H:$H,"male",'Analysis data'!$G:$G,"pass",'Analysis data'!$I:$I,$F$24)</f>
        <v>27</v>
      </c>
      <c r="K34" s="10">
        <f>COUNTIFS('Analysis data'!$C:$C,$A$5,'Analysis data'!$H:$H,"female",'Analysis data'!$G:$G,"pass",'Analysis data'!$I:$I,$F$24)</f>
        <v>13</v>
      </c>
    </row>
    <row r="35">
      <c r="A35" s="2" t="s">
        <v>17</v>
      </c>
      <c r="B35" s="10">
        <f>COUNTIFS('Analysis data'!$C:$C,$A$6,'Analysis data'!$G:$G,"pass",'Analysis data'!$I:$I,$F$25)</f>
        <v>18</v>
      </c>
      <c r="C35" s="10">
        <f>COUNTIFS('Analysis data'!$C:$C,$A$6,'Analysis data'!$H:$H,"male",'Analysis data'!$G:$G,"pass",'Analysis data'!$I:$I,$F$25)</f>
        <v>8</v>
      </c>
      <c r="D35" s="10">
        <f>COUNTIFS('Analysis data'!$C:$C,$A$6,'Analysis data'!$H:$H,"female",'Analysis data'!$G:$G,"pass",'Analysis data'!$I:$I,$F$25)</f>
        <v>10</v>
      </c>
      <c r="H35" s="2" t="s">
        <v>17</v>
      </c>
      <c r="I35" s="10">
        <f>COUNTIFS('Analysis data'!$C:$C,$A$6,'Analysis data'!$G:$G,"pass",'Analysis data'!$I:$I,$F$24)</f>
        <v>45</v>
      </c>
      <c r="J35" s="10">
        <f>COUNTIFS('Analysis data'!$C:$C,$A$6,'Analysis data'!$H:$H,"male",'Analysis data'!$G:$G,"pass",'Analysis data'!$I:$I,$F$24)</f>
        <v>23</v>
      </c>
      <c r="K35" s="10">
        <f>COUNTIFS('Analysis data'!$C:$C,$A$6,'Analysis data'!$H:$H,"female",'Analysis data'!$G:$G,"pass",'Analysis data'!$I:$I,$F$24)</f>
        <v>22</v>
      </c>
    </row>
    <row r="36">
      <c r="A36" s="2" t="s">
        <v>18</v>
      </c>
      <c r="B36" s="10">
        <f>COUNTIFS('Analysis data'!$C:$C,$A$7,'Analysis data'!$G:$G,"pass",'Analysis data'!$I:$I,$F$25)</f>
        <v>12</v>
      </c>
      <c r="C36" s="10">
        <f>COUNTIFS('Analysis data'!$C:$C,$A$7,'Analysis data'!$H:$H,"male",'Analysis data'!$G:$G,"pass",'Analysis data'!$I:$I,$F$25)</f>
        <v>9</v>
      </c>
      <c r="D36" s="10">
        <f>COUNTIFS('Analysis data'!$C:$C,$A$7,'Analysis data'!$H:$H,"female",'Analysis data'!$G:$G,"pass",'Analysis data'!$I:$I,$F$25)</f>
        <v>3</v>
      </c>
      <c r="H36" s="2" t="s">
        <v>18</v>
      </c>
      <c r="I36" s="10">
        <f>COUNTIFS('Analysis data'!$C:$C,$A$7,'Analysis data'!$G:$G,"pass",'Analysis data'!$I:$I,$F$24)</f>
        <v>49</v>
      </c>
      <c r="J36" s="10">
        <f>COUNTIFS('Analysis data'!$C:$C,$A$7,'Analysis data'!$H:$H,"male",'Analysis data'!$G:$G,"pass",'Analysis data'!$I:$I,$F$24)</f>
        <v>26</v>
      </c>
      <c r="K36" s="10">
        <f>COUNTIFS('Analysis data'!$C:$C,$A$7,'Analysis data'!$H:$H,"female",'Analysis data'!$G:$G,"pass",'Analysis data'!$I:$I,$F$24)</f>
        <v>23</v>
      </c>
    </row>
    <row r="37">
      <c r="A37" s="2"/>
      <c r="B37" s="10">
        <f t="shared" ref="B37:D37" si="5">SUM(B32:B36)</f>
        <v>78</v>
      </c>
      <c r="C37" s="10">
        <f t="shared" si="5"/>
        <v>49</v>
      </c>
      <c r="D37" s="10">
        <f t="shared" si="5"/>
        <v>29</v>
      </c>
      <c r="H37" s="2"/>
      <c r="I37" s="10">
        <f t="shared" ref="I37:K37" si="6">SUM(I32:I36)</f>
        <v>221</v>
      </c>
      <c r="J37" s="10">
        <f t="shared" si="6"/>
        <v>124</v>
      </c>
      <c r="K37" s="10">
        <f t="shared" si="6"/>
        <v>97</v>
      </c>
    </row>
    <row r="40">
      <c r="A40" s="2" t="s">
        <v>1</v>
      </c>
      <c r="B40" s="5" t="s">
        <v>6</v>
      </c>
      <c r="C40" s="5" t="s">
        <v>3</v>
      </c>
      <c r="D40" s="5" t="s">
        <v>4</v>
      </c>
      <c r="H40" s="2" t="s">
        <v>1</v>
      </c>
      <c r="I40" s="5" t="s">
        <v>6</v>
      </c>
      <c r="J40" s="5" t="s">
        <v>3</v>
      </c>
      <c r="K40" s="5" t="s">
        <v>4</v>
      </c>
    </row>
    <row r="41">
      <c r="A41" s="2" t="s">
        <v>14</v>
      </c>
      <c r="B41" s="11">
        <f>COUNTIFS('Analysis data'!$C:$C,$A$3,'Analysis data'!$L:$L,"&lt;&gt;0",'Analysis data'!$I:$I,$F$25)</f>
        <v>12</v>
      </c>
      <c r="C41" s="11">
        <f>COUNTIFS('Analysis data'!$C:$C,$A$3,'Analysis data'!$L:$L,"&lt;&gt;0",'Analysis data'!$H:$H,"male",'Analysis data'!$I:$I,$F$25)</f>
        <v>10</v>
      </c>
      <c r="D41" s="11">
        <f>COUNTIFS('Analysis data'!$C:$C,$A$3,'Analysis data'!$L:$L,"&lt;&gt;0",'Analysis data'!$H:$H,"FEmale",'Analysis data'!$I:$I,$F$25)</f>
        <v>2</v>
      </c>
      <c r="H41" s="2" t="s">
        <v>14</v>
      </c>
      <c r="I41" s="11">
        <f>COUNTIFS('Analysis data'!$C:$C,$A$3,'Analysis data'!$L:$L,"&lt;&gt;0",'Analysis data'!$I:$I,$F$24)</f>
        <v>41</v>
      </c>
      <c r="J41" s="11">
        <f>COUNTIFS('Analysis data'!$C:$C,$A$3,'Analysis data'!$L:$L,"&lt;&gt;0",'Analysis data'!$H:$H,"male",'Analysis data'!$I:$I,$F$24)</f>
        <v>26</v>
      </c>
      <c r="K41" s="11">
        <f>COUNTIFS('Analysis data'!$C:$C,$A$3,'Analysis data'!$L:$L,"&lt;&gt;0",'Analysis data'!$H:$H,"FEmale",'Analysis data'!$I:$I,$F$24)</f>
        <v>15</v>
      </c>
    </row>
    <row r="42">
      <c r="A42" s="2" t="s">
        <v>15</v>
      </c>
      <c r="B42" s="11">
        <f>COUNTIFS('Analysis data'!$C:$C,$A$4,'Analysis data'!$L:$L,"&lt;&gt;0",'Analysis data'!$I:$I,$F$25)</f>
        <v>16</v>
      </c>
      <c r="C42" s="11">
        <f>COUNTIFS('Analysis data'!$C:$C,$A$4,'Analysis data'!$L:$L,"&lt;&gt;0",'Analysis data'!$H:$H,"male",'Analysis data'!$I:$I,$F$25)</f>
        <v>10</v>
      </c>
      <c r="D42" s="11">
        <f>COUNTIFS('Analysis data'!$C:$C,$A$4,'Analysis data'!$L:$L,"&lt;&gt;0",'Analysis data'!$H:$H,"FEmale",'Analysis data'!$I:$I,$F$25)</f>
        <v>6</v>
      </c>
      <c r="H42" s="2" t="s">
        <v>15</v>
      </c>
      <c r="I42" s="11">
        <f>COUNTIFS('Analysis data'!$C:$C,$A$4,'Analysis data'!$L:$L,"&lt;&gt;0",'Analysis data'!$I:$I,$F$24)</f>
        <v>34</v>
      </c>
      <c r="J42" s="11">
        <f>COUNTIFS('Analysis data'!$C:$C,$A$4,'Analysis data'!$L:$L,"&lt;&gt;0",'Analysis data'!$H:$H,"male",'Analysis data'!$I:$I,$F$24)</f>
        <v>19</v>
      </c>
      <c r="K42" s="11">
        <f>COUNTIFS('Analysis data'!$C:$C,$A$4,'Analysis data'!$L:$L,"&lt;&gt;0",'Analysis data'!$H:$H,"FEmale",'Analysis data'!$I:$I,$F$24)</f>
        <v>15</v>
      </c>
    </row>
    <row r="43">
      <c r="A43" s="2" t="s">
        <v>16</v>
      </c>
      <c r="B43" s="11">
        <f>COUNTIFS('Analysis data'!$C:$C,$A$5,'Analysis data'!$L:$L,"&lt;&gt;0",'Analysis data'!$I:$I,$F$25)</f>
        <v>15</v>
      </c>
      <c r="C43" s="11">
        <f>COUNTIFS('Analysis data'!$C:$C,$A$5,'Analysis data'!$L:$L,"&lt;&gt;0",'Analysis data'!$H:$H,"male",'Analysis data'!$I:$I,$F$25)</f>
        <v>9</v>
      </c>
      <c r="D43" s="11">
        <f>COUNTIFS('Analysis data'!$C:$C,$A$5,'Analysis data'!$L:$L,"&lt;&gt;0",'Analysis data'!$H:$H,"FEmale",'Analysis data'!$I:$I,$F$25)</f>
        <v>6</v>
      </c>
      <c r="H43" s="2" t="s">
        <v>16</v>
      </c>
      <c r="I43" s="11">
        <f>COUNTIFS('Analysis data'!$C:$C,$A$5,'Analysis data'!$L:$L,"&lt;&gt;0",'Analysis data'!$I:$I,$F$24)</f>
        <v>39</v>
      </c>
      <c r="J43" s="11">
        <f>COUNTIFS('Analysis data'!$C:$C,$A$5,'Analysis data'!$L:$L,"&lt;&gt;0",'Analysis data'!$H:$H,"male",'Analysis data'!$I:$I,$F$24)</f>
        <v>27</v>
      </c>
      <c r="K43" s="11">
        <f>COUNTIFS('Analysis data'!$C:$C,$A$5,'Analysis data'!$L:$L,"&lt;&gt;0",'Analysis data'!$H:$H,"FEmale",'Analysis data'!$I:$I,$F$24)</f>
        <v>12</v>
      </c>
    </row>
    <row r="44">
      <c r="A44" s="2" t="s">
        <v>17</v>
      </c>
      <c r="B44" s="11">
        <f>COUNTIFS('Analysis data'!$C:$C,$A$6,'Analysis data'!$L:$L,"&lt;&gt;0",'Analysis data'!$I:$I,$F$25)</f>
        <v>13</v>
      </c>
      <c r="C44" s="11">
        <f>COUNTIFS('Analysis data'!$C:$C,$A$6,'Analysis data'!$L:$L,"&lt;&gt;0",'Analysis data'!$H:$H,"male",'Analysis data'!$I:$I,$F$25)</f>
        <v>6</v>
      </c>
      <c r="D44" s="11">
        <f>COUNTIFS('Analysis data'!$C:$C,$A$6,'Analysis data'!$L:$L,"&lt;&gt;0",'Analysis data'!$H:$H,"FEmale",'Analysis data'!$I:$I,$F$25)</f>
        <v>7</v>
      </c>
      <c r="H44" s="2" t="s">
        <v>17</v>
      </c>
      <c r="I44" s="11">
        <f>COUNTIFS('Analysis data'!$C:$C,$A$6,'Analysis data'!$L:$L,"&lt;&gt;0",'Analysis data'!$I:$I,$F$24)</f>
        <v>36</v>
      </c>
      <c r="J44" s="11">
        <f>COUNTIFS('Analysis data'!$C:$C,$A$6,'Analysis data'!$L:$L,"&lt;&gt;0",'Analysis data'!$H:$H,"male",'Analysis data'!$I:$I,$F$24)</f>
        <v>17</v>
      </c>
      <c r="K44" s="11">
        <f>COUNTIFS('Analysis data'!$C:$C,$A$6,'Analysis data'!$L:$L,"&lt;&gt;0",'Analysis data'!$H:$H,"FEmale",'Analysis data'!$I:$I,$F$24)</f>
        <v>19</v>
      </c>
    </row>
    <row r="45">
      <c r="A45" s="2" t="s">
        <v>18</v>
      </c>
      <c r="B45" s="11">
        <f>COUNTIFS('Analysis data'!$C:$C,$A$7,'Analysis data'!$L:$L,"&lt;&gt;0",'Analysis data'!$I:$I,$F$25)</f>
        <v>12</v>
      </c>
      <c r="C45" s="11">
        <f>COUNTIFS('Analysis data'!$C:$C,$A$7,'Analysis data'!$L:$L,"&lt;&gt;0",'Analysis data'!$H:$H,"male",'Analysis data'!$I:$I,$F$25)</f>
        <v>9</v>
      </c>
      <c r="D45" s="11">
        <f>COUNTIFS('Analysis data'!$C:$C,$A$7,'Analysis data'!$L:$L,"&lt;&gt;0",'Analysis data'!$H:$H,"FEmale",'Analysis data'!$I:$I,$F$25)</f>
        <v>3</v>
      </c>
      <c r="H45" s="2" t="s">
        <v>18</v>
      </c>
      <c r="I45" s="11">
        <f>COUNTIFS('Analysis data'!$C:$C,$A$7,'Analysis data'!$L:$L,"&lt;&gt;0",'Analysis data'!$I:$I,$F$24)</f>
        <v>40</v>
      </c>
      <c r="J45" s="11">
        <f>COUNTIFS('Analysis data'!$C:$C,$A$7,'Analysis data'!$L:$L,"&lt;&gt;0",'Analysis data'!$H:$H,"male",'Analysis data'!$I:$I,$F$24)</f>
        <v>21</v>
      </c>
      <c r="K45" s="11">
        <f>COUNTIFS('Analysis data'!$C:$C,$A$7,'Analysis data'!$L:$L,"&lt;&gt;0",'Analysis data'!$H:$H,"FEmale",'Analysis data'!$I:$I,$F$24)</f>
        <v>19</v>
      </c>
    </row>
    <row r="46">
      <c r="A46" s="2"/>
      <c r="B46" s="11">
        <f t="shared" ref="B46:D46" si="7">SUM(B41:B45)</f>
        <v>68</v>
      </c>
      <c r="C46" s="11">
        <f t="shared" si="7"/>
        <v>44</v>
      </c>
      <c r="D46" s="11">
        <f t="shared" si="7"/>
        <v>24</v>
      </c>
      <c r="H46" s="2"/>
      <c r="I46" s="11">
        <f t="shared" ref="I46:K46" si="8">SUM(I41:I45)</f>
        <v>190</v>
      </c>
      <c r="J46" s="11">
        <f t="shared" si="8"/>
        <v>110</v>
      </c>
      <c r="K46" s="11">
        <f t="shared" si="8"/>
        <v>80</v>
      </c>
    </row>
    <row r="52">
      <c r="A52" s="2" t="s">
        <v>1</v>
      </c>
      <c r="B52" s="19" t="s">
        <v>29</v>
      </c>
      <c r="C52" s="19" t="s">
        <v>30</v>
      </c>
      <c r="D52" s="19" t="s">
        <v>31</v>
      </c>
      <c r="W52" s="25"/>
    </row>
    <row r="53">
      <c r="A53" s="26" t="s">
        <v>14</v>
      </c>
      <c r="B53" s="27">
        <f>COUNTIFS('Analysis data'!$C:$C,A53,'Analysis data'!$E:$E,"&gt;=9")</f>
        <v>6</v>
      </c>
      <c r="C53" s="27">
        <f>COUNTIFS('Analysis data'!$C:$C,A53,'Analysis data'!$E:$E,"&gt;=9",'Analysis data'!$L:$L,"&lt;&gt;0")</f>
        <v>6</v>
      </c>
      <c r="D53" s="27">
        <f>COUNTIFS('Analysis data'!$C:$C,A53,'Analysis data'!$E:$E,"&gt;=9",'Analysis data'!$L:$L,"=0")</f>
        <v>0</v>
      </c>
    </row>
    <row r="54">
      <c r="A54" s="26" t="s">
        <v>15</v>
      </c>
      <c r="B54" s="27">
        <f>COUNTIFS('Analysis data'!$C:$C,A54,'Analysis data'!$E:$E,"&gt;=9")</f>
        <v>15</v>
      </c>
      <c r="C54" s="27">
        <f>COUNTIFS('Analysis data'!$C:$C,A54,'Analysis data'!$E:$E,"&gt;=9",'Analysis data'!$L:$L,"&lt;&gt;0")</f>
        <v>13</v>
      </c>
      <c r="D54" s="27">
        <f>COUNTIFS('Analysis data'!$C:$C,A54,'Analysis data'!$E:$E,"&gt;=9",'Analysis data'!$L:$L,"=0")</f>
        <v>2</v>
      </c>
    </row>
    <row r="55">
      <c r="A55" s="26" t="s">
        <v>16</v>
      </c>
      <c r="B55" s="27">
        <f>COUNTIFS('Analysis data'!$C:$C,A55,'Analysis data'!$E:$E,"&gt;=9")</f>
        <v>3</v>
      </c>
      <c r="C55" s="27">
        <f>COUNTIFS('Analysis data'!$C:$C,A55,'Analysis data'!$E:$E,"&gt;=9",'Analysis data'!$L:$L,"&lt;&gt;0")</f>
        <v>3</v>
      </c>
      <c r="D55" s="27">
        <f>COUNTIFS('Analysis data'!$C:$C,A55,'Analysis data'!$E:$E,"&gt;=9",'Analysis data'!$L:$L,"=0")</f>
        <v>0</v>
      </c>
    </row>
    <row r="56">
      <c r="A56" s="26" t="s">
        <v>17</v>
      </c>
      <c r="B56" s="27">
        <f>COUNTIFS('Analysis data'!$C:$C,A56,'Analysis data'!$E:$E,"&gt;=9")</f>
        <v>6</v>
      </c>
      <c r="C56" s="27">
        <f>COUNTIFS('Analysis data'!$C:$C,A56,'Analysis data'!$E:$E,"&gt;=9",'Analysis data'!$L:$L,"&lt;&gt;0")</f>
        <v>6</v>
      </c>
      <c r="D56" s="27">
        <f>COUNTIFS('Analysis data'!$C:$C,A56,'Analysis data'!$E:$E,"&gt;=9",'Analysis data'!$L:$L,"=0")</f>
        <v>0</v>
      </c>
    </row>
    <row r="57">
      <c r="A57" s="26" t="s">
        <v>18</v>
      </c>
      <c r="B57" s="27">
        <f>COUNTIFS('Analysis data'!$C:$C,A57,'Analysis data'!$E:$E,"&gt;=9")</f>
        <v>7</v>
      </c>
      <c r="C57" s="27">
        <f>COUNTIFS('Analysis data'!$C:$C,A57,'Analysis data'!$E:$E,"&gt;=9",'Analysis data'!$L:$L,"&lt;&gt;0")</f>
        <v>7</v>
      </c>
      <c r="D57" s="27">
        <f>COUNTIFS('Analysis data'!$C:$C,A57,'Analysis data'!$E:$E,"&gt;=9",'Analysis data'!$L:$L,"=0")</f>
        <v>0</v>
      </c>
    </row>
    <row r="58">
      <c r="B58" s="28">
        <f t="shared" ref="B58:D58" si="9">SUM(B53:B57)</f>
        <v>37</v>
      </c>
      <c r="C58" s="28">
        <f t="shared" si="9"/>
        <v>35</v>
      </c>
      <c r="D58" s="28">
        <f t="shared" si="9"/>
        <v>2</v>
      </c>
    </row>
  </sheetData>
  <mergeCells count="4">
    <mergeCell ref="A1:S1"/>
    <mergeCell ref="A12:S12"/>
    <mergeCell ref="A22:D22"/>
    <mergeCell ref="H22:K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12.14"/>
    <col customWidth="1" min="3" max="3" width="9.14"/>
    <col customWidth="1" min="4" max="4" width="45.14"/>
    <col customWidth="1" min="5" max="5" width="8.71"/>
    <col customWidth="1" min="6" max="6" width="21.43"/>
    <col customWidth="1" min="7" max="7" width="13.71"/>
    <col customWidth="1" min="8" max="8" width="8.71"/>
    <col customWidth="1" min="9" max="10" width="25.57"/>
    <col customWidth="1" min="11" max="11" width="80.71"/>
    <col customWidth="1" min="12" max="13" width="8.71"/>
    <col customWidth="1" hidden="1" min="17" max="17" width="21.29"/>
    <col customWidth="1" hidden="1" min="18" max="18" width="20.0"/>
    <col customWidth="1" hidden="1" min="19" max="19" width="17.29"/>
    <col hidden="1" min="20" max="25" width="14.43"/>
  </cols>
  <sheetData>
    <row r="1">
      <c r="A1" s="29" t="s">
        <v>32</v>
      </c>
      <c r="B1" s="30" t="s">
        <v>33</v>
      </c>
      <c r="C1" s="30" t="s">
        <v>34</v>
      </c>
      <c r="D1" s="30" t="s">
        <v>35</v>
      </c>
      <c r="E1" s="31" t="s">
        <v>36</v>
      </c>
      <c r="F1" s="32" t="s">
        <v>37</v>
      </c>
      <c r="G1" s="33" t="s">
        <v>38</v>
      </c>
      <c r="H1" s="34" t="s">
        <v>39</v>
      </c>
      <c r="I1" s="35" t="s">
        <v>40</v>
      </c>
      <c r="J1" s="36" t="s">
        <v>41</v>
      </c>
      <c r="K1" s="36" t="s">
        <v>42</v>
      </c>
      <c r="L1" s="37" t="s">
        <v>43</v>
      </c>
      <c r="Q1" s="38" t="s">
        <v>42</v>
      </c>
      <c r="R1" s="39"/>
      <c r="S1" s="39"/>
      <c r="T1" s="39"/>
    </row>
    <row r="2">
      <c r="A2" s="40">
        <v>1.0</v>
      </c>
      <c r="B2" s="30" t="s">
        <v>44</v>
      </c>
      <c r="C2" s="30" t="s">
        <v>14</v>
      </c>
      <c r="D2" s="30" t="s">
        <v>45</v>
      </c>
      <c r="E2" s="41">
        <v>8.71</v>
      </c>
      <c r="F2" s="33">
        <v>0.0</v>
      </c>
      <c r="G2" s="30" t="str">
        <f t="shared" ref="G2:G358" si="1">IF(E2&gt;0,"PASS","FAIL")</f>
        <v>PASS</v>
      </c>
      <c r="H2" s="42" t="s">
        <v>46</v>
      </c>
      <c r="I2" s="43" t="s">
        <v>27</v>
      </c>
      <c r="J2" s="43">
        <v>0.0</v>
      </c>
      <c r="K2" s="44" t="s">
        <v>47</v>
      </c>
      <c r="L2" s="45">
        <v>2.0</v>
      </c>
      <c r="M2" s="28">
        <f>IFERROR(__xludf.DUMMYFUNCTION("VLOOKUP(B2,IMPORTRANGE(""1CGZ0Bai7Upqd4o8ih3likiFIYVFcX2B2CZFasZGKRII"",""Refined according to Results!B:J""),9,FALSE)"),8.92)</f>
        <v>8.92</v>
      </c>
      <c r="O2" s="22">
        <f>IF(AND(M2=0,N2=0),0,1)</f>
        <v>1</v>
      </c>
      <c r="Q2" s="45" t="s">
        <v>48</v>
      </c>
      <c r="R2" s="45"/>
      <c r="S2" s="45"/>
      <c r="T2" s="45"/>
      <c r="W2" s="28" t="str">
        <f t="array" ref="W2:W18">UNIQUE(Q2:Q358)</f>
        <v>TECH MAHINDRA</v>
      </c>
      <c r="Y2" s="28" t="str">
        <f t="array" ref="Y2:Y22">UNIQUE(W:W)</f>
        <v/>
      </c>
    </row>
    <row r="3">
      <c r="A3" s="40">
        <v>2.0</v>
      </c>
      <c r="B3" s="30" t="s">
        <v>49</v>
      </c>
      <c r="C3" s="30" t="s">
        <v>14</v>
      </c>
      <c r="D3" s="30" t="s">
        <v>50</v>
      </c>
      <c r="E3" s="41">
        <v>7.92</v>
      </c>
      <c r="F3" s="33">
        <v>0.0</v>
      </c>
      <c r="G3" s="30" t="str">
        <f t="shared" si="1"/>
        <v>PASS</v>
      </c>
      <c r="H3" s="46" t="s">
        <v>46</v>
      </c>
      <c r="I3" s="47" t="s">
        <v>27</v>
      </c>
      <c r="J3" s="43">
        <v>0.0</v>
      </c>
      <c r="K3" s="48" t="s">
        <v>51</v>
      </c>
      <c r="L3" s="45">
        <v>4.0</v>
      </c>
      <c r="M3" s="28">
        <f>IFERROR(__xludf.DUMMYFUNCTION("VLOOKUP(B3,IMPORTRANGE(""1CGZ0Bai7Upqd4o8ih3likiFIYVFcX2B2CZFasZGKRII"",""Refined according to Results!B:J""),9,FALSE)"),7.92)</f>
        <v>7.92</v>
      </c>
      <c r="Q3" s="45" t="s">
        <v>48</v>
      </c>
      <c r="R3" s="45"/>
      <c r="S3" s="45"/>
      <c r="T3" s="45"/>
      <c r="W3" s="28" t="s">
        <v>52</v>
      </c>
      <c r="Y3" s="28" t="s">
        <v>48</v>
      </c>
    </row>
    <row r="4">
      <c r="A4" s="40">
        <v>3.0</v>
      </c>
      <c r="B4" s="30" t="s">
        <v>53</v>
      </c>
      <c r="C4" s="30" t="s">
        <v>14</v>
      </c>
      <c r="D4" s="30" t="s">
        <v>54</v>
      </c>
      <c r="E4" s="41">
        <v>8.59</v>
      </c>
      <c r="F4" s="33">
        <v>0.0</v>
      </c>
      <c r="G4" s="30" t="str">
        <f t="shared" si="1"/>
        <v>PASS</v>
      </c>
      <c r="H4" s="49" t="s">
        <v>46</v>
      </c>
      <c r="I4" s="47" t="s">
        <v>27</v>
      </c>
      <c r="J4" s="43">
        <v>0.0</v>
      </c>
      <c r="K4" s="44" t="s">
        <v>52</v>
      </c>
      <c r="L4" s="28">
        <v>1.0</v>
      </c>
      <c r="M4" s="28">
        <f>IFERROR(__xludf.DUMMYFUNCTION("VLOOKUP(B4,IMPORTRANGE(""1CGZ0Bai7Upqd4o8ih3likiFIYVFcX2B2CZFasZGKRII"",""Refined according to Results!B:J""),9,FALSE)"),8.71)</f>
        <v>8.71</v>
      </c>
      <c r="Q4" s="45" t="s">
        <v>52</v>
      </c>
      <c r="R4" s="45"/>
      <c r="S4" s="45"/>
      <c r="T4" s="45"/>
      <c r="W4" s="28">
        <v>0.0</v>
      </c>
      <c r="Y4" s="28" t="s">
        <v>52</v>
      </c>
    </row>
    <row r="5">
      <c r="A5" s="40">
        <v>4.0</v>
      </c>
      <c r="B5" s="30" t="s">
        <v>55</v>
      </c>
      <c r="C5" s="30" t="s">
        <v>14</v>
      </c>
      <c r="D5" s="30" t="s">
        <v>56</v>
      </c>
      <c r="E5" s="50"/>
      <c r="F5" s="33">
        <v>2.0</v>
      </c>
      <c r="G5" s="30" t="str">
        <f t="shared" si="1"/>
        <v>FAIL</v>
      </c>
      <c r="H5" s="46" t="s">
        <v>46</v>
      </c>
      <c r="I5" s="47" t="s">
        <v>28</v>
      </c>
      <c r="J5" s="43">
        <v>0.0</v>
      </c>
      <c r="K5" s="51"/>
      <c r="L5" s="28">
        <f>LEN(H5)-LEN(SUBSTITUTE(H5," &amp; "," "))</f>
        <v>0</v>
      </c>
      <c r="M5" s="28" t="str">
        <f>IFERROR(__xludf.DUMMYFUNCTION("VLOOKUP(B5,IMPORTRANGE(""1CGZ0Bai7Upqd4o8ih3likiFIYVFcX2B2CZFasZGKRII"",""Refined according to Results!B:J""),9,FALSE)"),"")</f>
        <v/>
      </c>
      <c r="Q5" s="45">
        <v>0.0</v>
      </c>
      <c r="R5" s="45"/>
      <c r="S5" s="45"/>
      <c r="T5" s="45"/>
      <c r="W5" s="28" t="s">
        <v>57</v>
      </c>
      <c r="Y5" s="28">
        <v>0.0</v>
      </c>
    </row>
    <row r="6">
      <c r="A6" s="40">
        <v>5.0</v>
      </c>
      <c r="B6" s="30" t="s">
        <v>58</v>
      </c>
      <c r="C6" s="30" t="s">
        <v>14</v>
      </c>
      <c r="D6" s="30" t="s">
        <v>59</v>
      </c>
      <c r="E6" s="41">
        <v>9.01</v>
      </c>
      <c r="F6" s="33">
        <v>0.0</v>
      </c>
      <c r="G6" s="30" t="str">
        <f t="shared" si="1"/>
        <v>PASS</v>
      </c>
      <c r="H6" s="49" t="s">
        <v>60</v>
      </c>
      <c r="I6" s="47" t="s">
        <v>27</v>
      </c>
      <c r="J6" s="43" t="s">
        <v>61</v>
      </c>
      <c r="K6" s="44" t="s">
        <v>62</v>
      </c>
      <c r="L6" s="28">
        <v>2.0</v>
      </c>
      <c r="M6" s="28">
        <f>IFERROR(__xludf.DUMMYFUNCTION("VLOOKUP(B6,IMPORTRANGE(""1CGZ0Bai7Upqd4o8ih3likiFIYVFcX2B2CZFasZGKRII"",""Refined according to Results!B:J""),9,FALSE)"),9.1)</f>
        <v>9.1</v>
      </c>
      <c r="Q6" s="45" t="s">
        <v>52</v>
      </c>
      <c r="R6" s="45" t="s">
        <v>48</v>
      </c>
      <c r="S6" s="45"/>
      <c r="T6" s="45"/>
      <c r="W6" s="28" t="s">
        <v>63</v>
      </c>
      <c r="Y6" s="28" t="s">
        <v>57</v>
      </c>
    </row>
    <row r="7">
      <c r="A7" s="40">
        <v>6.0</v>
      </c>
      <c r="B7" s="30" t="s">
        <v>64</v>
      </c>
      <c r="C7" s="30" t="s">
        <v>14</v>
      </c>
      <c r="D7" s="30" t="s">
        <v>65</v>
      </c>
      <c r="E7" s="41">
        <v>8.17</v>
      </c>
      <c r="F7" s="33">
        <v>0.0</v>
      </c>
      <c r="G7" s="30" t="str">
        <f t="shared" si="1"/>
        <v>PASS</v>
      </c>
      <c r="H7" s="46" t="s">
        <v>46</v>
      </c>
      <c r="I7" s="47" t="s">
        <v>27</v>
      </c>
      <c r="J7" s="43">
        <v>0.0</v>
      </c>
      <c r="K7" s="48" t="s">
        <v>62</v>
      </c>
      <c r="L7" s="28">
        <v>2.0</v>
      </c>
      <c r="M7" s="28">
        <f>IFERROR(__xludf.DUMMYFUNCTION("VLOOKUP(B7,IMPORTRANGE(""1CGZ0Bai7Upqd4o8ih3likiFIYVFcX2B2CZFasZGKRII"",""Refined according to Results!B:J""),9,FALSE)"),8.4)</f>
        <v>8.4</v>
      </c>
      <c r="Q7" s="45" t="s">
        <v>52</v>
      </c>
      <c r="R7" s="45" t="s">
        <v>48</v>
      </c>
      <c r="S7" s="45"/>
      <c r="T7" s="45"/>
      <c r="W7" s="28" t="s">
        <v>66</v>
      </c>
      <c r="Y7" s="28" t="s">
        <v>63</v>
      </c>
    </row>
    <row r="8">
      <c r="A8" s="40">
        <v>7.0</v>
      </c>
      <c r="B8" s="30" t="s">
        <v>67</v>
      </c>
      <c r="C8" s="30" t="s">
        <v>14</v>
      </c>
      <c r="D8" s="30" t="s">
        <v>68</v>
      </c>
      <c r="E8" s="41">
        <v>8.99</v>
      </c>
      <c r="F8" s="33">
        <v>0.0</v>
      </c>
      <c r="G8" s="30" t="str">
        <f t="shared" si="1"/>
        <v>PASS</v>
      </c>
      <c r="H8" s="49" t="s">
        <v>46</v>
      </c>
      <c r="I8" s="47" t="s">
        <v>27</v>
      </c>
      <c r="J8" s="43">
        <v>0.0</v>
      </c>
      <c r="K8" s="44" t="s">
        <v>52</v>
      </c>
      <c r="L8" s="28">
        <v>1.0</v>
      </c>
      <c r="M8" s="28">
        <f>IFERROR(__xludf.DUMMYFUNCTION("VLOOKUP(B8,IMPORTRANGE(""1CGZ0Bai7Upqd4o8ih3likiFIYVFcX2B2CZFasZGKRII"",""Refined according to Results!B:J""),9,FALSE)"),9.37)</f>
        <v>9.37</v>
      </c>
      <c r="Q8" s="45" t="s">
        <v>52</v>
      </c>
      <c r="R8" s="45"/>
      <c r="S8" s="45"/>
      <c r="T8" s="45"/>
      <c r="W8" s="28" t="s">
        <v>69</v>
      </c>
      <c r="Y8" s="28" t="s">
        <v>66</v>
      </c>
    </row>
    <row r="9">
      <c r="A9" s="40">
        <v>8.0</v>
      </c>
      <c r="B9" s="30" t="s">
        <v>70</v>
      </c>
      <c r="C9" s="30" t="s">
        <v>14</v>
      </c>
      <c r="D9" s="30" t="s">
        <v>71</v>
      </c>
      <c r="E9" s="41">
        <v>6.94</v>
      </c>
      <c r="F9" s="33">
        <v>0.0</v>
      </c>
      <c r="G9" s="30" t="str">
        <f t="shared" si="1"/>
        <v>PASS</v>
      </c>
      <c r="H9" s="46" t="s">
        <v>46</v>
      </c>
      <c r="I9" s="47" t="s">
        <v>27</v>
      </c>
      <c r="J9" s="43">
        <v>0.0</v>
      </c>
      <c r="K9" s="51"/>
      <c r="L9" s="28">
        <f t="shared" ref="L9:L10" si="2">LEN(H9)-LEN(SUBSTITUTE(H9," &amp; "," "))</f>
        <v>0</v>
      </c>
      <c r="M9" s="28">
        <f>IFERROR(__xludf.DUMMYFUNCTION("VLOOKUP(B9,IMPORTRANGE(""1CGZ0Bai7Upqd4o8ih3likiFIYVFcX2B2CZFasZGKRII"",""Refined according to Results!B:J""),9,FALSE)"),7.24)</f>
        <v>7.24</v>
      </c>
      <c r="Q9" s="45">
        <v>0.0</v>
      </c>
      <c r="R9" s="45"/>
      <c r="S9" s="45"/>
      <c r="T9" s="45"/>
      <c r="W9" s="28" t="s">
        <v>72</v>
      </c>
      <c r="Y9" s="28" t="s">
        <v>69</v>
      </c>
    </row>
    <row r="10">
      <c r="A10" s="40">
        <v>9.0</v>
      </c>
      <c r="B10" s="30" t="s">
        <v>73</v>
      </c>
      <c r="C10" s="30" t="s">
        <v>14</v>
      </c>
      <c r="D10" s="30" t="s">
        <v>74</v>
      </c>
      <c r="E10" s="41">
        <v>8.69</v>
      </c>
      <c r="F10" s="33">
        <v>0.0</v>
      </c>
      <c r="G10" s="30" t="str">
        <f t="shared" si="1"/>
        <v>PASS</v>
      </c>
      <c r="H10" s="49" t="s">
        <v>60</v>
      </c>
      <c r="I10" s="47" t="s">
        <v>27</v>
      </c>
      <c r="J10" s="43">
        <v>0.0</v>
      </c>
      <c r="K10" s="52"/>
      <c r="L10" s="28">
        <f t="shared" si="2"/>
        <v>0</v>
      </c>
      <c r="M10" s="28">
        <f>IFERROR(__xludf.DUMMYFUNCTION("VLOOKUP(B10,IMPORTRANGE(""1CGZ0Bai7Upqd4o8ih3likiFIYVFcX2B2CZFasZGKRII"",""Refined according to Results!B:J""),9,FALSE)"),8.56)</f>
        <v>8.56</v>
      </c>
      <c r="Q10" s="45">
        <v>0.0</v>
      </c>
      <c r="R10" s="45"/>
      <c r="S10" s="45"/>
      <c r="T10" s="45"/>
      <c r="W10" s="28" t="s">
        <v>75</v>
      </c>
      <c r="Y10" s="28" t="s">
        <v>72</v>
      </c>
    </row>
    <row r="11">
      <c r="A11" s="40">
        <v>10.0</v>
      </c>
      <c r="B11" s="30" t="s">
        <v>76</v>
      </c>
      <c r="C11" s="30" t="s">
        <v>14</v>
      </c>
      <c r="D11" s="30" t="s">
        <v>77</v>
      </c>
      <c r="E11" s="41">
        <v>9.22</v>
      </c>
      <c r="F11" s="33">
        <v>0.0</v>
      </c>
      <c r="G11" s="30" t="str">
        <f t="shared" si="1"/>
        <v>PASS</v>
      </c>
      <c r="H11" s="46" t="s">
        <v>46</v>
      </c>
      <c r="I11" s="47" t="s">
        <v>27</v>
      </c>
      <c r="J11" s="43">
        <v>0.0</v>
      </c>
      <c r="K11" s="48" t="s">
        <v>78</v>
      </c>
      <c r="L11" s="45">
        <v>3.0</v>
      </c>
      <c r="M11" s="28">
        <f>IFERROR(__xludf.DUMMYFUNCTION("VLOOKUP(B11,IMPORTRANGE(""1CGZ0Bai7Upqd4o8ih3likiFIYVFcX2B2CZFasZGKRII"",""Refined according to Results!B:J""),9,FALSE)"),9.35)</f>
        <v>9.35</v>
      </c>
      <c r="Q11" s="45" t="s">
        <v>57</v>
      </c>
      <c r="R11" s="45" t="s">
        <v>79</v>
      </c>
      <c r="S11" s="45"/>
      <c r="T11" s="45"/>
      <c r="W11" s="28" t="s">
        <v>80</v>
      </c>
      <c r="Y11" s="28" t="s">
        <v>75</v>
      </c>
    </row>
    <row r="12">
      <c r="A12" s="40">
        <v>11.0</v>
      </c>
      <c r="B12" s="30" t="s">
        <v>81</v>
      </c>
      <c r="C12" s="30" t="s">
        <v>14</v>
      </c>
      <c r="D12" s="30" t="s">
        <v>82</v>
      </c>
      <c r="E12" s="50"/>
      <c r="F12" s="33">
        <v>1.0</v>
      </c>
      <c r="G12" s="30" t="str">
        <f t="shared" si="1"/>
        <v>FAIL</v>
      </c>
      <c r="H12" s="49" t="s">
        <v>46</v>
      </c>
      <c r="I12" s="47" t="s">
        <v>28</v>
      </c>
      <c r="J12" s="43">
        <v>0.0</v>
      </c>
      <c r="K12" s="44" t="s">
        <v>83</v>
      </c>
      <c r="L12" s="45">
        <v>2.0</v>
      </c>
      <c r="M12" s="28" t="str">
        <f>IFERROR(__xludf.DUMMYFUNCTION("VLOOKUP(B12,IMPORTRANGE(""1CGZ0Bai7Upqd4o8ih3likiFIYVFcX2B2CZFasZGKRII"",""Refined according to Results!B:J""),9,FALSE)"),"")</f>
        <v/>
      </c>
      <c r="Q12" s="45" t="s">
        <v>48</v>
      </c>
      <c r="R12" s="45"/>
      <c r="S12" s="45"/>
      <c r="T12" s="45"/>
      <c r="W12" s="28" t="s">
        <v>79</v>
      </c>
      <c r="Y12" s="28" t="s">
        <v>80</v>
      </c>
    </row>
    <row r="13">
      <c r="A13" s="40">
        <v>12.0</v>
      </c>
      <c r="B13" s="30" t="s">
        <v>84</v>
      </c>
      <c r="C13" s="30" t="s">
        <v>14</v>
      </c>
      <c r="D13" s="30" t="s">
        <v>85</v>
      </c>
      <c r="E13" s="41">
        <v>8.43</v>
      </c>
      <c r="F13" s="33">
        <v>0.0</v>
      </c>
      <c r="G13" s="30" t="str">
        <f t="shared" si="1"/>
        <v>PASS</v>
      </c>
      <c r="H13" s="46" t="s">
        <v>60</v>
      </c>
      <c r="I13" s="47" t="s">
        <v>27</v>
      </c>
      <c r="J13" s="43">
        <v>0.0</v>
      </c>
      <c r="K13" s="48" t="s">
        <v>86</v>
      </c>
      <c r="L13" s="45">
        <v>3.0</v>
      </c>
      <c r="M13" s="28">
        <f>IFERROR(__xludf.DUMMYFUNCTION("VLOOKUP(B13,IMPORTRANGE(""1CGZ0Bai7Upqd4o8ih3likiFIYVFcX2B2CZFasZGKRII"",""Refined according to Results!B:J""),9,FALSE)"),8.6)</f>
        <v>8.6</v>
      </c>
      <c r="Q13" s="45" t="s">
        <v>52</v>
      </c>
      <c r="R13" s="45" t="s">
        <v>79</v>
      </c>
      <c r="S13" s="45" t="s">
        <v>63</v>
      </c>
      <c r="T13" s="45"/>
      <c r="W13" s="28" t="s">
        <v>87</v>
      </c>
      <c r="Y13" s="28" t="s">
        <v>79</v>
      </c>
    </row>
    <row r="14">
      <c r="A14" s="40">
        <v>13.0</v>
      </c>
      <c r="B14" s="30" t="s">
        <v>88</v>
      </c>
      <c r="C14" s="30" t="s">
        <v>14</v>
      </c>
      <c r="D14" s="30" t="s">
        <v>89</v>
      </c>
      <c r="E14" s="41">
        <v>7.78</v>
      </c>
      <c r="F14" s="33">
        <v>0.0</v>
      </c>
      <c r="G14" s="30" t="str">
        <f t="shared" si="1"/>
        <v>PASS</v>
      </c>
      <c r="H14" s="49" t="s">
        <v>60</v>
      </c>
      <c r="I14" s="47" t="s">
        <v>27</v>
      </c>
      <c r="J14" s="43">
        <v>0.0</v>
      </c>
      <c r="K14" s="44" t="s">
        <v>90</v>
      </c>
      <c r="L14" s="45">
        <v>1.0</v>
      </c>
      <c r="M14" s="28">
        <f>IFERROR(__xludf.DUMMYFUNCTION("VLOOKUP(B14,IMPORTRANGE(""1CGZ0Bai7Upqd4o8ih3likiFIYVFcX2B2CZFasZGKRII"",""Refined according to Results!B:J""),9,FALSE)"),7.69)</f>
        <v>7.69</v>
      </c>
      <c r="Q14" s="45">
        <v>0.0</v>
      </c>
      <c r="R14" s="45"/>
      <c r="S14" s="45"/>
      <c r="T14" s="45"/>
      <c r="W14" s="28" t="s">
        <v>91</v>
      </c>
      <c r="Y14" s="28" t="s">
        <v>87</v>
      </c>
    </row>
    <row r="15">
      <c r="A15" s="40">
        <v>14.0</v>
      </c>
      <c r="B15" s="30" t="s">
        <v>92</v>
      </c>
      <c r="C15" s="30" t="s">
        <v>14</v>
      </c>
      <c r="D15" s="30" t="s">
        <v>93</v>
      </c>
      <c r="E15" s="41">
        <v>8.04</v>
      </c>
      <c r="F15" s="33">
        <v>0.0</v>
      </c>
      <c r="G15" s="30" t="str">
        <f t="shared" si="1"/>
        <v>PASS</v>
      </c>
      <c r="H15" s="46" t="s">
        <v>60</v>
      </c>
      <c r="I15" s="47" t="s">
        <v>27</v>
      </c>
      <c r="J15" s="43">
        <v>0.0</v>
      </c>
      <c r="K15" s="48" t="s">
        <v>90</v>
      </c>
      <c r="L15" s="45">
        <v>1.0</v>
      </c>
      <c r="M15" s="28">
        <f>IFERROR(__xludf.DUMMYFUNCTION("VLOOKUP(B15,IMPORTRANGE(""1CGZ0Bai7Upqd4o8ih3likiFIYVFcX2B2CZFasZGKRII"",""Refined according to Results!B:J""),9,FALSE)"),7.94)</f>
        <v>7.94</v>
      </c>
      <c r="Q15" s="45">
        <v>0.0</v>
      </c>
      <c r="R15" s="45"/>
      <c r="S15" s="45"/>
      <c r="T15" s="45"/>
      <c r="W15" s="28" t="s">
        <v>94</v>
      </c>
      <c r="Y15" s="28" t="s">
        <v>91</v>
      </c>
    </row>
    <row r="16">
      <c r="A16" s="40">
        <v>15.0</v>
      </c>
      <c r="B16" s="30" t="s">
        <v>95</v>
      </c>
      <c r="C16" s="30" t="s">
        <v>14</v>
      </c>
      <c r="D16" s="30" t="s">
        <v>96</v>
      </c>
      <c r="E16" s="41">
        <v>8.47</v>
      </c>
      <c r="F16" s="33">
        <v>0.0</v>
      </c>
      <c r="G16" s="30" t="str">
        <f t="shared" si="1"/>
        <v>PASS</v>
      </c>
      <c r="H16" s="49" t="s">
        <v>46</v>
      </c>
      <c r="I16" s="53" t="s">
        <v>27</v>
      </c>
      <c r="J16" s="54" t="s">
        <v>97</v>
      </c>
      <c r="K16" s="44" t="s">
        <v>98</v>
      </c>
      <c r="L16" s="45">
        <v>4.0</v>
      </c>
      <c r="M16" s="28">
        <f>IFERROR(__xludf.DUMMYFUNCTION("VLOOKUP(B16,IMPORTRANGE(""1CGZ0Bai7Upqd4o8ih3likiFIYVFcX2B2CZFasZGKRII"",""Refined according to Results!B:J""),9,FALSE)"),8.62)</f>
        <v>8.62</v>
      </c>
      <c r="Q16" s="45" t="s">
        <v>52</v>
      </c>
      <c r="R16" s="45" t="s">
        <v>48</v>
      </c>
      <c r="S16" s="45" t="s">
        <v>63</v>
      </c>
      <c r="T16" s="45"/>
      <c r="W16" s="28" t="s">
        <v>99</v>
      </c>
      <c r="Y16" s="28" t="s">
        <v>94</v>
      </c>
    </row>
    <row r="17">
      <c r="A17" s="40">
        <v>16.0</v>
      </c>
      <c r="B17" s="30" t="s">
        <v>100</v>
      </c>
      <c r="C17" s="30" t="s">
        <v>14</v>
      </c>
      <c r="D17" s="30" t="s">
        <v>101</v>
      </c>
      <c r="E17" s="41">
        <v>8.79</v>
      </c>
      <c r="F17" s="33">
        <v>0.0</v>
      </c>
      <c r="G17" s="30" t="str">
        <f t="shared" si="1"/>
        <v>PASS</v>
      </c>
      <c r="H17" s="46" t="s">
        <v>60</v>
      </c>
      <c r="I17" s="47" t="s">
        <v>28</v>
      </c>
      <c r="J17" s="43">
        <v>0.0</v>
      </c>
      <c r="K17" s="48" t="s">
        <v>102</v>
      </c>
      <c r="L17" s="45">
        <v>4.0</v>
      </c>
      <c r="M17" s="28">
        <f>IFERROR(__xludf.DUMMYFUNCTION("VLOOKUP(B17,IMPORTRANGE(""1CGZ0Bai7Upqd4o8ih3likiFIYVFcX2B2CZFasZGKRII"",""Refined according to Results!B:J""),9,FALSE)"),8.79)</f>
        <v>8.79</v>
      </c>
      <c r="Q17" s="45" t="s">
        <v>52</v>
      </c>
      <c r="R17" s="45" t="s">
        <v>48</v>
      </c>
      <c r="S17" s="45" t="s">
        <v>79</v>
      </c>
      <c r="T17" s="45"/>
      <c r="W17" s="28" t="s">
        <v>103</v>
      </c>
      <c r="Y17" s="28" t="s">
        <v>99</v>
      </c>
    </row>
    <row r="18">
      <c r="A18" s="40">
        <v>17.0</v>
      </c>
      <c r="B18" s="30" t="s">
        <v>104</v>
      </c>
      <c r="C18" s="30" t="s">
        <v>14</v>
      </c>
      <c r="D18" s="30" t="s">
        <v>105</v>
      </c>
      <c r="E18" s="41">
        <v>8.78</v>
      </c>
      <c r="F18" s="33">
        <v>0.0</v>
      </c>
      <c r="G18" s="30" t="str">
        <f t="shared" si="1"/>
        <v>PASS</v>
      </c>
      <c r="H18" s="49" t="s">
        <v>60</v>
      </c>
      <c r="I18" s="47" t="s">
        <v>27</v>
      </c>
      <c r="J18" s="43">
        <v>0.0</v>
      </c>
      <c r="K18" s="44" t="s">
        <v>52</v>
      </c>
      <c r="L18" s="28">
        <v>1.0</v>
      </c>
      <c r="M18" s="28">
        <f>IFERROR(__xludf.DUMMYFUNCTION("VLOOKUP(B18,IMPORTRANGE(""1CGZ0Bai7Upqd4o8ih3likiFIYVFcX2B2CZFasZGKRII"",""Refined according to Results!B:J""),9,FALSE)"),8.54)</f>
        <v>8.54</v>
      </c>
      <c r="Q18" s="45" t="s">
        <v>52</v>
      </c>
      <c r="R18" s="45"/>
      <c r="S18" s="45"/>
      <c r="T18" s="45"/>
      <c r="W18" s="28" t="s">
        <v>106</v>
      </c>
      <c r="Y18" s="28" t="s">
        <v>103</v>
      </c>
    </row>
    <row r="19">
      <c r="A19" s="40">
        <v>18.0</v>
      </c>
      <c r="B19" s="30" t="s">
        <v>107</v>
      </c>
      <c r="C19" s="30" t="s">
        <v>14</v>
      </c>
      <c r="D19" s="30" t="s">
        <v>108</v>
      </c>
      <c r="E19" s="50"/>
      <c r="F19" s="33">
        <v>1.0</v>
      </c>
      <c r="G19" s="30" t="str">
        <f t="shared" si="1"/>
        <v>FAIL</v>
      </c>
      <c r="H19" s="46" t="s">
        <v>46</v>
      </c>
      <c r="I19" s="47" t="s">
        <v>27</v>
      </c>
      <c r="J19" s="43">
        <v>0.0</v>
      </c>
      <c r="K19" s="51"/>
      <c r="L19" s="28">
        <f t="shared" ref="L19:L20" si="3">LEN(H19)-LEN(SUBSTITUTE(H19," &amp; "," "))</f>
        <v>0</v>
      </c>
      <c r="M19" s="28">
        <f>IFERROR(__xludf.DUMMYFUNCTION("VLOOKUP(B19,IMPORTRANGE(""1CGZ0Bai7Upqd4o8ih3likiFIYVFcX2B2CZFasZGKRII"",""Refined according to Results!B:J""),9,FALSE)"),6.45)</f>
        <v>6.45</v>
      </c>
      <c r="Q19" s="45">
        <v>0.0</v>
      </c>
      <c r="R19" s="45"/>
      <c r="S19" s="45"/>
      <c r="T19" s="45"/>
      <c r="W19" s="28" t="str">
        <f t="array" ref="W19:W28">UNIQUE(R6:R358)</f>
        <v>TECH MAHINDRA</v>
      </c>
      <c r="Y19" s="28" t="s">
        <v>106</v>
      </c>
    </row>
    <row r="20">
      <c r="A20" s="40">
        <v>19.0</v>
      </c>
      <c r="B20" s="30" t="s">
        <v>109</v>
      </c>
      <c r="C20" s="30" t="s">
        <v>14</v>
      </c>
      <c r="D20" s="30" t="s">
        <v>110</v>
      </c>
      <c r="E20" s="50"/>
      <c r="F20" s="33">
        <v>1.0</v>
      </c>
      <c r="G20" s="30" t="str">
        <f t="shared" si="1"/>
        <v>FAIL</v>
      </c>
      <c r="H20" s="49" t="s">
        <v>60</v>
      </c>
      <c r="I20" s="47" t="s">
        <v>28</v>
      </c>
      <c r="J20" s="43">
        <v>0.0</v>
      </c>
      <c r="K20" s="52"/>
      <c r="L20" s="28">
        <f t="shared" si="3"/>
        <v>0</v>
      </c>
      <c r="M20" s="28">
        <f>IFERROR(__xludf.DUMMYFUNCTION("VLOOKUP(B20,IMPORTRANGE(""1CGZ0Bai7Upqd4o8ih3likiFIYVFcX2B2CZFasZGKRII"",""Refined according to Results!B:J""),9,FALSE)"),8.12)</f>
        <v>8.12</v>
      </c>
      <c r="Q20" s="45">
        <v>0.0</v>
      </c>
      <c r="R20" s="45"/>
      <c r="S20" s="45"/>
      <c r="T20" s="45"/>
      <c r="W20" s="28"/>
      <c r="Y20" s="28" t="s">
        <v>111</v>
      </c>
    </row>
    <row r="21" ht="15.75" customHeight="1">
      <c r="A21" s="40">
        <v>20.0</v>
      </c>
      <c r="B21" s="30" t="s">
        <v>112</v>
      </c>
      <c r="C21" s="30" t="s">
        <v>14</v>
      </c>
      <c r="D21" s="30" t="s">
        <v>113</v>
      </c>
      <c r="E21" s="41">
        <v>8.41</v>
      </c>
      <c r="F21" s="33">
        <v>0.0</v>
      </c>
      <c r="G21" s="30" t="str">
        <f t="shared" si="1"/>
        <v>PASS</v>
      </c>
      <c r="H21" s="46" t="s">
        <v>46</v>
      </c>
      <c r="I21" s="47" t="s">
        <v>27</v>
      </c>
      <c r="J21" s="43">
        <v>0.0</v>
      </c>
      <c r="K21" s="48" t="s">
        <v>114</v>
      </c>
      <c r="L21" s="45">
        <v>1.0</v>
      </c>
      <c r="M21" s="28">
        <f>IFERROR(__xludf.DUMMYFUNCTION("VLOOKUP(B21,IMPORTRANGE(""1CGZ0Bai7Upqd4o8ih3likiFIYVFcX2B2CZFasZGKRII"",""Refined according to Results!B:J""),9,FALSE)"),8.31)</f>
        <v>8.31</v>
      </c>
      <c r="Q21" s="45">
        <v>0.0</v>
      </c>
      <c r="R21" s="45"/>
      <c r="S21" s="45"/>
      <c r="T21" s="45"/>
      <c r="W21" s="28" t="s">
        <v>79</v>
      </c>
      <c r="Y21" s="28" t="s">
        <v>115</v>
      </c>
    </row>
    <row r="22" ht="15.75" customHeight="1">
      <c r="A22" s="40">
        <v>21.0</v>
      </c>
      <c r="B22" s="30" t="s">
        <v>116</v>
      </c>
      <c r="C22" s="30" t="s">
        <v>14</v>
      </c>
      <c r="D22" s="30" t="s">
        <v>117</v>
      </c>
      <c r="E22" s="41">
        <v>8.42</v>
      </c>
      <c r="F22" s="33">
        <v>0.0</v>
      </c>
      <c r="G22" s="30" t="str">
        <f t="shared" si="1"/>
        <v>PASS</v>
      </c>
      <c r="H22" s="49" t="s">
        <v>46</v>
      </c>
      <c r="I22" s="47" t="s">
        <v>28</v>
      </c>
      <c r="J22" s="43">
        <v>0.0</v>
      </c>
      <c r="K22" s="44" t="s">
        <v>118</v>
      </c>
      <c r="L22" s="45">
        <v>2.0</v>
      </c>
      <c r="M22" s="28">
        <f>IFERROR(__xludf.DUMMYFUNCTION("VLOOKUP(B22,IMPORTRANGE(""1CGZ0Bai7Upqd4o8ih3likiFIYVFcX2B2CZFasZGKRII"",""Refined according to Results!B:J""),9,FALSE)"),8.6)</f>
        <v>8.6</v>
      </c>
      <c r="Q22" s="45" t="s">
        <v>48</v>
      </c>
      <c r="R22" s="45"/>
      <c r="S22" s="45"/>
      <c r="T22" s="45"/>
      <c r="W22" s="28" t="s">
        <v>52</v>
      </c>
      <c r="Y22" s="28" t="s">
        <v>119</v>
      </c>
    </row>
    <row r="23" ht="15.75" customHeight="1">
      <c r="A23" s="40">
        <v>22.0</v>
      </c>
      <c r="B23" s="30" t="s">
        <v>120</v>
      </c>
      <c r="C23" s="30" t="s">
        <v>14</v>
      </c>
      <c r="D23" s="30" t="s">
        <v>121</v>
      </c>
      <c r="E23" s="41">
        <v>8.15</v>
      </c>
      <c r="F23" s="33">
        <v>0.0</v>
      </c>
      <c r="G23" s="30" t="str">
        <f t="shared" si="1"/>
        <v>PASS</v>
      </c>
      <c r="H23" s="46" t="s">
        <v>46</v>
      </c>
      <c r="I23" s="47" t="s">
        <v>28</v>
      </c>
      <c r="J23" s="43">
        <v>0.0</v>
      </c>
      <c r="K23" s="48" t="s">
        <v>122</v>
      </c>
      <c r="L23" s="45">
        <v>2.0</v>
      </c>
      <c r="M23" s="28">
        <f>IFERROR(__xludf.DUMMYFUNCTION("VLOOKUP(B23,IMPORTRANGE(""1CGZ0Bai7Upqd4o8ih3likiFIYVFcX2B2CZFasZGKRII"",""Refined according to Results!B:J""),9,FALSE)"),7.97)</f>
        <v>7.97</v>
      </c>
      <c r="Q23" s="45" t="s">
        <v>63</v>
      </c>
      <c r="R23" s="45"/>
      <c r="S23" s="45"/>
      <c r="T23" s="45"/>
      <c r="W23" s="28" t="s">
        <v>63</v>
      </c>
    </row>
    <row r="24" ht="15.75" customHeight="1">
      <c r="A24" s="40">
        <v>23.0</v>
      </c>
      <c r="B24" s="30" t="s">
        <v>123</v>
      </c>
      <c r="C24" s="30" t="s">
        <v>14</v>
      </c>
      <c r="D24" s="30" t="s">
        <v>124</v>
      </c>
      <c r="E24" s="41">
        <v>9.16</v>
      </c>
      <c r="F24" s="33">
        <v>0.0</v>
      </c>
      <c r="G24" s="30" t="str">
        <f t="shared" si="1"/>
        <v>PASS</v>
      </c>
      <c r="H24" s="49" t="s">
        <v>46</v>
      </c>
      <c r="I24" s="47" t="s">
        <v>27</v>
      </c>
      <c r="J24" s="43">
        <v>0.0</v>
      </c>
      <c r="K24" s="44" t="s">
        <v>125</v>
      </c>
      <c r="L24" s="45">
        <v>2.0</v>
      </c>
      <c r="M24" s="28">
        <f>IFERROR(__xludf.DUMMYFUNCTION("VLOOKUP(B24,IMPORTRANGE(""1CGZ0Bai7Upqd4o8ih3likiFIYVFcX2B2CZFasZGKRII"",""Refined according to Results!B:J""),9,FALSE)"),9.42)</f>
        <v>9.42</v>
      </c>
      <c r="Q24" s="45" t="s">
        <v>52</v>
      </c>
      <c r="R24" s="45"/>
      <c r="S24" s="45"/>
      <c r="T24" s="45"/>
      <c r="W24" s="28" t="s">
        <v>106</v>
      </c>
    </row>
    <row r="25" ht="15.75" customHeight="1">
      <c r="A25" s="40">
        <v>24.0</v>
      </c>
      <c r="B25" s="30" t="s">
        <v>126</v>
      </c>
      <c r="C25" s="30" t="s">
        <v>14</v>
      </c>
      <c r="D25" s="30" t="s">
        <v>127</v>
      </c>
      <c r="E25" s="50"/>
      <c r="F25" s="33">
        <v>3.0</v>
      </c>
      <c r="G25" s="30" t="str">
        <f t="shared" si="1"/>
        <v>FAIL</v>
      </c>
      <c r="H25" s="46" t="s">
        <v>60</v>
      </c>
      <c r="I25" s="47" t="s">
        <v>27</v>
      </c>
      <c r="J25" s="43">
        <v>0.0</v>
      </c>
      <c r="K25" s="51"/>
      <c r="L25" s="28">
        <f>LEN(H25)-LEN(SUBSTITUTE(H25," &amp; "," "))</f>
        <v>0</v>
      </c>
      <c r="M25" s="28" t="str">
        <f>IFERROR(__xludf.DUMMYFUNCTION("VLOOKUP(B25,IMPORTRANGE(""1CGZ0Bai7Upqd4o8ih3likiFIYVFcX2B2CZFasZGKRII"",""Refined according to Results!B:J""),9,FALSE)"),"")</f>
        <v/>
      </c>
      <c r="Q25" s="45">
        <v>0.0</v>
      </c>
      <c r="R25" s="45"/>
      <c r="S25" s="45"/>
      <c r="T25" s="45"/>
      <c r="W25" s="28" t="s">
        <v>66</v>
      </c>
    </row>
    <row r="26" ht="15.75" customHeight="1">
      <c r="A26" s="40">
        <v>25.0</v>
      </c>
      <c r="B26" s="30" t="s">
        <v>128</v>
      </c>
      <c r="C26" s="30" t="s">
        <v>14</v>
      </c>
      <c r="D26" s="30" t="s">
        <v>129</v>
      </c>
      <c r="E26" s="41">
        <v>8.58</v>
      </c>
      <c r="F26" s="33">
        <v>0.0</v>
      </c>
      <c r="G26" s="30" t="str">
        <f t="shared" si="1"/>
        <v>PASS</v>
      </c>
      <c r="H26" s="49" t="s">
        <v>60</v>
      </c>
      <c r="I26" s="47" t="s">
        <v>27</v>
      </c>
      <c r="J26" s="43">
        <v>0.0</v>
      </c>
      <c r="K26" s="44" t="s">
        <v>130</v>
      </c>
      <c r="L26" s="45">
        <v>3.0</v>
      </c>
      <c r="M26" s="28">
        <f>IFERROR(__xludf.DUMMYFUNCTION("VLOOKUP(B26,IMPORTRANGE(""1CGZ0Bai7Upqd4o8ih3likiFIYVFcX2B2CZFasZGKRII"",""Refined according to Results!B:J""),9,FALSE)"),8.73)</f>
        <v>8.73</v>
      </c>
      <c r="Q26" s="45" t="s">
        <v>52</v>
      </c>
      <c r="R26" s="45" t="s">
        <v>48</v>
      </c>
      <c r="S26" s="45"/>
      <c r="T26" s="45"/>
      <c r="W26" s="28" t="s">
        <v>103</v>
      </c>
    </row>
    <row r="27" ht="15.75" customHeight="1">
      <c r="A27" s="40">
        <v>26.0</v>
      </c>
      <c r="B27" s="30" t="s">
        <v>131</v>
      </c>
      <c r="C27" s="30" t="s">
        <v>14</v>
      </c>
      <c r="D27" s="30" t="s">
        <v>132</v>
      </c>
      <c r="E27" s="41">
        <v>8.65</v>
      </c>
      <c r="F27" s="33">
        <v>0.0</v>
      </c>
      <c r="G27" s="30" t="str">
        <f t="shared" si="1"/>
        <v>PASS</v>
      </c>
      <c r="H27" s="46" t="s">
        <v>60</v>
      </c>
      <c r="I27" s="47" t="s">
        <v>27</v>
      </c>
      <c r="J27" s="43">
        <v>0.0</v>
      </c>
      <c r="K27" s="48" t="s">
        <v>133</v>
      </c>
      <c r="L27" s="45">
        <v>2.0</v>
      </c>
      <c r="M27" s="28">
        <f>IFERROR(__xludf.DUMMYFUNCTION("VLOOKUP(B27,IMPORTRANGE(""1CGZ0Bai7Upqd4o8ih3likiFIYVFcX2B2CZFasZGKRII"",""Refined according to Results!B:J""),9,FALSE)"),8.71)</f>
        <v>8.71</v>
      </c>
      <c r="Q27" s="45">
        <v>0.0</v>
      </c>
      <c r="R27" s="45"/>
      <c r="S27" s="45"/>
      <c r="T27" s="45"/>
      <c r="W27" s="28" t="s">
        <v>94</v>
      </c>
    </row>
    <row r="28" ht="15.75" customHeight="1">
      <c r="A28" s="40">
        <v>27.0</v>
      </c>
      <c r="B28" s="30" t="s">
        <v>134</v>
      </c>
      <c r="C28" s="30" t="s">
        <v>14</v>
      </c>
      <c r="D28" s="30" t="s">
        <v>135</v>
      </c>
      <c r="E28" s="41">
        <v>8.25</v>
      </c>
      <c r="F28" s="33">
        <v>0.0</v>
      </c>
      <c r="G28" s="30" t="str">
        <f t="shared" si="1"/>
        <v>PASS</v>
      </c>
      <c r="H28" s="49" t="s">
        <v>46</v>
      </c>
      <c r="I28" s="47" t="s">
        <v>27</v>
      </c>
      <c r="J28" s="43">
        <v>0.0</v>
      </c>
      <c r="K28" s="44" t="s">
        <v>136</v>
      </c>
      <c r="L28" s="45">
        <v>1.0</v>
      </c>
      <c r="M28" s="28">
        <f>IFERROR(__xludf.DUMMYFUNCTION("VLOOKUP(B28,IMPORTRANGE(""1CGZ0Bai7Upqd4o8ih3likiFIYVFcX2B2CZFasZGKRII"",""Refined according to Results!B:J""),9,FALSE)"),8.63)</f>
        <v>8.63</v>
      </c>
      <c r="Q28" s="45">
        <v>0.0</v>
      </c>
      <c r="R28" s="45"/>
      <c r="S28" s="45"/>
      <c r="T28" s="45"/>
      <c r="W28" s="28" t="s">
        <v>111</v>
      </c>
    </row>
    <row r="29" ht="15.75" customHeight="1">
      <c r="A29" s="40">
        <v>28.0</v>
      </c>
      <c r="B29" s="30" t="s">
        <v>137</v>
      </c>
      <c r="C29" s="30" t="s">
        <v>14</v>
      </c>
      <c r="D29" s="30" t="s">
        <v>138</v>
      </c>
      <c r="E29" s="41">
        <v>8.4</v>
      </c>
      <c r="F29" s="33">
        <v>0.0</v>
      </c>
      <c r="G29" s="30" t="str">
        <f t="shared" si="1"/>
        <v>PASS</v>
      </c>
      <c r="H29" s="46" t="s">
        <v>60</v>
      </c>
      <c r="I29" s="47" t="s">
        <v>27</v>
      </c>
      <c r="J29" s="43">
        <v>0.0</v>
      </c>
      <c r="K29" s="48" t="s">
        <v>139</v>
      </c>
      <c r="L29" s="45">
        <v>2.0</v>
      </c>
      <c r="M29" s="28">
        <f>IFERROR(__xludf.DUMMYFUNCTION("VLOOKUP(B29,IMPORTRANGE(""1CGZ0Bai7Upqd4o8ih3likiFIYVFcX2B2CZFasZGKRII"",""Refined according to Results!B:J""),9,FALSE)"),8.18)</f>
        <v>8.18</v>
      </c>
      <c r="Q29" s="45" t="s">
        <v>66</v>
      </c>
      <c r="R29" s="45"/>
      <c r="S29" s="45"/>
      <c r="T29" s="45"/>
      <c r="W29" s="28" t="str">
        <f t="array" ref="W29:W37">UNIQUE(S13:S358)</f>
        <v>LTI Mindtree</v>
      </c>
    </row>
    <row r="30" ht="15.75" customHeight="1">
      <c r="A30" s="40">
        <v>29.0</v>
      </c>
      <c r="B30" s="30" t="s">
        <v>140</v>
      </c>
      <c r="C30" s="30" t="s">
        <v>14</v>
      </c>
      <c r="D30" s="30" t="s">
        <v>141</v>
      </c>
      <c r="E30" s="41">
        <v>8.14</v>
      </c>
      <c r="F30" s="33">
        <v>0.0</v>
      </c>
      <c r="G30" s="30" t="str">
        <f t="shared" si="1"/>
        <v>PASS</v>
      </c>
      <c r="H30" s="49" t="s">
        <v>46</v>
      </c>
      <c r="I30" s="47" t="s">
        <v>27</v>
      </c>
      <c r="J30" s="43">
        <v>0.0</v>
      </c>
      <c r="K30" s="44" t="s">
        <v>52</v>
      </c>
      <c r="L30" s="28">
        <v>1.0</v>
      </c>
      <c r="M30" s="28">
        <f>IFERROR(__xludf.DUMMYFUNCTION("VLOOKUP(B30,IMPORTRANGE(""1CGZ0Bai7Upqd4o8ih3likiFIYVFcX2B2CZFasZGKRII"",""Refined according to Results!B:J""),9,FALSE)"),8.56)</f>
        <v>8.56</v>
      </c>
      <c r="Q30" s="45" t="s">
        <v>52</v>
      </c>
      <c r="R30" s="45"/>
      <c r="S30" s="45"/>
      <c r="T30" s="45"/>
      <c r="W30" s="28"/>
    </row>
    <row r="31" ht="15.75" customHeight="1">
      <c r="A31" s="40">
        <v>30.0</v>
      </c>
      <c r="B31" s="30" t="s">
        <v>142</v>
      </c>
      <c r="C31" s="30" t="s">
        <v>14</v>
      </c>
      <c r="D31" s="30" t="s">
        <v>143</v>
      </c>
      <c r="E31" s="41">
        <v>8.74</v>
      </c>
      <c r="F31" s="33">
        <v>0.0</v>
      </c>
      <c r="G31" s="30" t="str">
        <f t="shared" si="1"/>
        <v>PASS</v>
      </c>
      <c r="H31" s="46" t="s">
        <v>46</v>
      </c>
      <c r="I31" s="47" t="s">
        <v>27</v>
      </c>
      <c r="J31" s="43">
        <v>0.0</v>
      </c>
      <c r="K31" s="48" t="s">
        <v>144</v>
      </c>
      <c r="L31" s="28">
        <v>2.0</v>
      </c>
      <c r="M31" s="28">
        <f>IFERROR(__xludf.DUMMYFUNCTION("VLOOKUP(B31,IMPORTRANGE(""1CGZ0Bai7Upqd4o8ih3likiFIYVFcX2B2CZFasZGKRII"",""Refined according to Results!B:J""),9,FALSE)"),8.99)</f>
        <v>8.99</v>
      </c>
      <c r="Q31" s="45" t="s">
        <v>57</v>
      </c>
      <c r="R31" s="45" t="s">
        <v>52</v>
      </c>
      <c r="S31" s="45"/>
      <c r="T31" s="45"/>
      <c r="W31" s="28" t="s">
        <v>79</v>
      </c>
    </row>
    <row r="32" ht="15.75" customHeight="1">
      <c r="A32" s="40">
        <v>31.0</v>
      </c>
      <c r="B32" s="30" t="s">
        <v>145</v>
      </c>
      <c r="C32" s="30" t="s">
        <v>14</v>
      </c>
      <c r="D32" s="30" t="s">
        <v>146</v>
      </c>
      <c r="E32" s="41">
        <v>8.6</v>
      </c>
      <c r="F32" s="33">
        <v>0.0</v>
      </c>
      <c r="G32" s="30" t="str">
        <f t="shared" si="1"/>
        <v>PASS</v>
      </c>
      <c r="H32" s="49" t="s">
        <v>60</v>
      </c>
      <c r="I32" s="47" t="s">
        <v>27</v>
      </c>
      <c r="J32" s="43">
        <v>0.0</v>
      </c>
      <c r="K32" s="44" t="s">
        <v>66</v>
      </c>
      <c r="L32" s="45">
        <v>1.0</v>
      </c>
      <c r="M32" s="28">
        <f>IFERROR(__xludf.DUMMYFUNCTION("VLOOKUP(B32,IMPORTRANGE(""1CGZ0Bai7Upqd4o8ih3likiFIYVFcX2B2CZFasZGKRII"",""Refined according to Results!B:J""),9,FALSE)"),8.74)</f>
        <v>8.74</v>
      </c>
      <c r="Q32" s="45" t="s">
        <v>66</v>
      </c>
      <c r="R32" s="45"/>
      <c r="S32" s="45"/>
      <c r="T32" s="45"/>
      <c r="W32" s="28" t="s">
        <v>48</v>
      </c>
    </row>
    <row r="33" ht="15.75" customHeight="1">
      <c r="A33" s="40">
        <v>32.0</v>
      </c>
      <c r="B33" s="30" t="s">
        <v>147</v>
      </c>
      <c r="C33" s="30" t="s">
        <v>14</v>
      </c>
      <c r="D33" s="30" t="s">
        <v>148</v>
      </c>
      <c r="E33" s="41">
        <v>8.35</v>
      </c>
      <c r="F33" s="33">
        <v>0.0</v>
      </c>
      <c r="G33" s="30" t="str">
        <f t="shared" si="1"/>
        <v>PASS</v>
      </c>
      <c r="H33" s="46" t="s">
        <v>60</v>
      </c>
      <c r="I33" s="47" t="s">
        <v>27</v>
      </c>
      <c r="J33" s="43">
        <v>0.0</v>
      </c>
      <c r="K33" s="48" t="s">
        <v>52</v>
      </c>
      <c r="L33" s="28">
        <v>1.0</v>
      </c>
      <c r="M33" s="28">
        <f>IFERROR(__xludf.DUMMYFUNCTION("VLOOKUP(B33,IMPORTRANGE(""1CGZ0Bai7Upqd4o8ih3likiFIYVFcX2B2CZFasZGKRII"",""Refined according to Results!B:J""),9,FALSE)"),8.46)</f>
        <v>8.46</v>
      </c>
      <c r="Q33" s="45" t="s">
        <v>52</v>
      </c>
      <c r="R33" s="45"/>
      <c r="S33" s="45"/>
      <c r="T33" s="45"/>
      <c r="W33" s="28" t="s">
        <v>66</v>
      </c>
    </row>
    <row r="34" ht="15.75" customHeight="1">
      <c r="A34" s="40">
        <v>33.0</v>
      </c>
      <c r="B34" s="30" t="s">
        <v>149</v>
      </c>
      <c r="C34" s="30" t="s">
        <v>14</v>
      </c>
      <c r="D34" s="30" t="s">
        <v>150</v>
      </c>
      <c r="E34" s="41">
        <v>8.42</v>
      </c>
      <c r="F34" s="33">
        <v>0.0</v>
      </c>
      <c r="G34" s="30" t="str">
        <f t="shared" si="1"/>
        <v>PASS</v>
      </c>
      <c r="H34" s="49" t="s">
        <v>46</v>
      </c>
      <c r="I34" s="47" t="s">
        <v>28</v>
      </c>
      <c r="J34" s="43">
        <v>0.0</v>
      </c>
      <c r="K34" s="44" t="s">
        <v>151</v>
      </c>
      <c r="L34" s="45">
        <v>2.0</v>
      </c>
      <c r="M34" s="28">
        <f>IFERROR(__xludf.DUMMYFUNCTION("VLOOKUP(B34,IMPORTRANGE(""1CGZ0Bai7Upqd4o8ih3likiFIYVFcX2B2CZFasZGKRII"",""Refined according to Results!B:J""),9,FALSE)"),8.35)</f>
        <v>8.35</v>
      </c>
      <c r="Q34" s="45" t="s">
        <v>52</v>
      </c>
      <c r="R34" s="45"/>
      <c r="S34" s="45"/>
      <c r="T34" s="45"/>
      <c r="W34" s="28" t="s">
        <v>75</v>
      </c>
    </row>
    <row r="35" ht="15.75" customHeight="1">
      <c r="A35" s="40">
        <v>34.0</v>
      </c>
      <c r="B35" s="30" t="s">
        <v>152</v>
      </c>
      <c r="C35" s="30" t="s">
        <v>14</v>
      </c>
      <c r="D35" s="30" t="s">
        <v>153</v>
      </c>
      <c r="E35" s="41">
        <v>7.29</v>
      </c>
      <c r="F35" s="33">
        <v>0.0</v>
      </c>
      <c r="G35" s="30" t="str">
        <f t="shared" si="1"/>
        <v>PASS</v>
      </c>
      <c r="H35" s="46" t="s">
        <v>46</v>
      </c>
      <c r="I35" s="47" t="s">
        <v>28</v>
      </c>
      <c r="J35" s="43">
        <v>0.0</v>
      </c>
      <c r="K35" s="48" t="s">
        <v>154</v>
      </c>
      <c r="L35" s="45">
        <v>1.0</v>
      </c>
      <c r="M35" s="28">
        <f>IFERROR(__xludf.DUMMYFUNCTION("VLOOKUP(B35,IMPORTRANGE(""1CGZ0Bai7Upqd4o8ih3likiFIYVFcX2B2CZFasZGKRII"",""Refined according to Results!B:J""),9,FALSE)"),7.14)</f>
        <v>7.14</v>
      </c>
      <c r="Q35" s="45">
        <v>0.0</v>
      </c>
      <c r="R35" s="45"/>
      <c r="S35" s="45"/>
      <c r="T35" s="45"/>
      <c r="W35" s="28" t="s">
        <v>115</v>
      </c>
    </row>
    <row r="36" ht="15.75" customHeight="1">
      <c r="A36" s="40">
        <v>35.0</v>
      </c>
      <c r="B36" s="30" t="s">
        <v>155</v>
      </c>
      <c r="C36" s="30" t="s">
        <v>14</v>
      </c>
      <c r="D36" s="30" t="s">
        <v>156</v>
      </c>
      <c r="E36" s="41">
        <v>8.19</v>
      </c>
      <c r="F36" s="33">
        <v>0.0</v>
      </c>
      <c r="G36" s="30" t="str">
        <f t="shared" si="1"/>
        <v>PASS</v>
      </c>
      <c r="H36" s="49" t="s">
        <v>46</v>
      </c>
      <c r="I36" s="47" t="s">
        <v>28</v>
      </c>
      <c r="J36" s="43">
        <v>0.0</v>
      </c>
      <c r="K36" s="44" t="s">
        <v>157</v>
      </c>
      <c r="L36" s="45">
        <v>3.0</v>
      </c>
      <c r="M36" s="28">
        <f>IFERROR(__xludf.DUMMYFUNCTION("VLOOKUP(B36,IMPORTRANGE(""1CGZ0Bai7Upqd4o8ih3likiFIYVFcX2B2CZFasZGKRII"",""Refined according to Results!B:J""),9,FALSE)"),8.15)</f>
        <v>8.15</v>
      </c>
      <c r="Q36" s="45">
        <v>0.0</v>
      </c>
      <c r="R36" s="45"/>
      <c r="S36" s="45"/>
      <c r="T36" s="45"/>
      <c r="W36" s="28" t="s">
        <v>119</v>
      </c>
    </row>
    <row r="37" ht="15.75" customHeight="1">
      <c r="A37" s="40">
        <v>36.0</v>
      </c>
      <c r="B37" s="30" t="s">
        <v>158</v>
      </c>
      <c r="C37" s="30" t="s">
        <v>14</v>
      </c>
      <c r="D37" s="30" t="s">
        <v>159</v>
      </c>
      <c r="E37" s="50"/>
      <c r="F37" s="33">
        <v>16.0</v>
      </c>
      <c r="G37" s="30" t="str">
        <f t="shared" si="1"/>
        <v>FAIL</v>
      </c>
      <c r="H37" s="46" t="s">
        <v>46</v>
      </c>
      <c r="I37" s="47" t="s">
        <v>28</v>
      </c>
      <c r="J37" s="43">
        <v>0.0</v>
      </c>
      <c r="K37" s="51"/>
      <c r="L37" s="28">
        <f t="shared" ref="L37:L38" si="4">LEN(H37)-LEN(SUBSTITUTE(H37," &amp; "," "))</f>
        <v>0</v>
      </c>
      <c r="M37" s="28" t="str">
        <f>IFERROR(__xludf.DUMMYFUNCTION("VLOOKUP(B37,IMPORTRANGE(""1CGZ0Bai7Upqd4o8ih3likiFIYVFcX2B2CZFasZGKRII"",""Refined according to Results!B:J""),9,FALSE)"),"")</f>
        <v/>
      </c>
      <c r="Q37" s="45">
        <v>0.0</v>
      </c>
      <c r="R37" s="45"/>
      <c r="S37" s="45"/>
      <c r="T37" s="45"/>
      <c r="W37" s="28" t="s">
        <v>103</v>
      </c>
    </row>
    <row r="38" ht="15.75" customHeight="1">
      <c r="A38" s="40">
        <v>37.0</v>
      </c>
      <c r="B38" s="30" t="s">
        <v>160</v>
      </c>
      <c r="C38" s="30" t="s">
        <v>14</v>
      </c>
      <c r="D38" s="30" t="s">
        <v>161</v>
      </c>
      <c r="E38" s="41">
        <v>7.75</v>
      </c>
      <c r="F38" s="33">
        <v>0.0</v>
      </c>
      <c r="G38" s="30" t="str">
        <f t="shared" si="1"/>
        <v>PASS</v>
      </c>
      <c r="H38" s="49" t="s">
        <v>46</v>
      </c>
      <c r="I38" s="47" t="s">
        <v>27</v>
      </c>
      <c r="J38" s="43">
        <v>0.0</v>
      </c>
      <c r="K38" s="52"/>
      <c r="L38" s="28">
        <f t="shared" si="4"/>
        <v>0</v>
      </c>
      <c r="M38" s="28">
        <f>IFERROR(__xludf.DUMMYFUNCTION("VLOOKUP(B38,IMPORTRANGE(""1CGZ0Bai7Upqd4o8ih3likiFIYVFcX2B2CZFasZGKRII"",""Refined according to Results!B:J""),9,FALSE)"),7.65)</f>
        <v>7.65</v>
      </c>
      <c r="Q38" s="45">
        <v>0.0</v>
      </c>
      <c r="R38" s="45"/>
      <c r="S38" s="45"/>
      <c r="T38" s="45"/>
      <c r="W38" s="28" t="str">
        <f t="array" ref="W38:W40">UNIQUE(T47:T358)</f>
        <v/>
      </c>
    </row>
    <row r="39" ht="15.75" customHeight="1">
      <c r="A39" s="40">
        <v>38.0</v>
      </c>
      <c r="B39" s="30" t="s">
        <v>162</v>
      </c>
      <c r="C39" s="30" t="s">
        <v>14</v>
      </c>
      <c r="D39" s="30" t="s">
        <v>163</v>
      </c>
      <c r="E39" s="41">
        <v>7.69</v>
      </c>
      <c r="F39" s="33">
        <v>0.0</v>
      </c>
      <c r="G39" s="30" t="str">
        <f t="shared" si="1"/>
        <v>PASS</v>
      </c>
      <c r="H39" s="46" t="s">
        <v>46</v>
      </c>
      <c r="I39" s="47" t="s">
        <v>27</v>
      </c>
      <c r="J39" s="43">
        <v>0.0</v>
      </c>
      <c r="K39" s="48" t="s">
        <v>164</v>
      </c>
      <c r="L39" s="45">
        <v>2.0</v>
      </c>
      <c r="M39" s="28">
        <f>IFERROR(__xludf.DUMMYFUNCTION("VLOOKUP(B39,IMPORTRANGE(""1CGZ0Bai7Upqd4o8ih3likiFIYVFcX2B2CZFasZGKRII"",""Refined according to Results!B:J""),9,FALSE)"),7.45)</f>
        <v>7.45</v>
      </c>
      <c r="Q39" s="45">
        <v>0.0</v>
      </c>
      <c r="R39" s="45"/>
      <c r="S39" s="45"/>
      <c r="T39" s="45"/>
      <c r="W39" s="28" t="s">
        <v>79</v>
      </c>
    </row>
    <row r="40" ht="15.75" customHeight="1">
      <c r="A40" s="40">
        <v>39.0</v>
      </c>
      <c r="B40" s="30" t="s">
        <v>165</v>
      </c>
      <c r="C40" s="30" t="s">
        <v>14</v>
      </c>
      <c r="D40" s="30" t="s">
        <v>166</v>
      </c>
      <c r="E40" s="50"/>
      <c r="F40" s="33">
        <v>1.0</v>
      </c>
      <c r="G40" s="30" t="str">
        <f t="shared" si="1"/>
        <v>FAIL</v>
      </c>
      <c r="H40" s="49" t="s">
        <v>46</v>
      </c>
      <c r="I40" s="55" t="s">
        <v>27</v>
      </c>
      <c r="J40" s="56">
        <v>0.0</v>
      </c>
      <c r="K40" s="52"/>
      <c r="L40" s="28">
        <f>LEN(H40)-LEN(SUBSTITUTE(H40," &amp; "," "))</f>
        <v>0</v>
      </c>
      <c r="M40" s="28">
        <f>IFERROR(__xludf.DUMMYFUNCTION("VLOOKUP(B40,IMPORTRANGE(""1CGZ0Bai7Upqd4o8ih3likiFIYVFcX2B2CZFasZGKRII"",""Refined according to Results!B:J""),9,FALSE)"),7.85)</f>
        <v>7.85</v>
      </c>
      <c r="Q40" s="45">
        <v>0.0</v>
      </c>
      <c r="R40" s="45"/>
      <c r="S40" s="45"/>
      <c r="T40" s="45"/>
      <c r="W40" s="28" t="s">
        <v>63</v>
      </c>
    </row>
    <row r="41" ht="15.75" customHeight="1">
      <c r="A41" s="40">
        <v>40.0</v>
      </c>
      <c r="B41" s="30" t="s">
        <v>167</v>
      </c>
      <c r="C41" s="30" t="s">
        <v>14</v>
      </c>
      <c r="D41" s="30" t="s">
        <v>168</v>
      </c>
      <c r="E41" s="41">
        <v>8.98</v>
      </c>
      <c r="F41" s="33">
        <v>0.0</v>
      </c>
      <c r="G41" s="30" t="str">
        <f t="shared" si="1"/>
        <v>PASS</v>
      </c>
      <c r="H41" s="46" t="s">
        <v>46</v>
      </c>
      <c r="I41" s="47" t="s">
        <v>27</v>
      </c>
      <c r="J41" s="43">
        <v>0.0</v>
      </c>
      <c r="K41" s="48" t="s">
        <v>125</v>
      </c>
      <c r="L41" s="45">
        <v>2.0</v>
      </c>
      <c r="M41" s="28">
        <f>IFERROR(__xludf.DUMMYFUNCTION("VLOOKUP(B41,IMPORTRANGE(""1CGZ0Bai7Upqd4o8ih3likiFIYVFcX2B2CZFasZGKRII"",""Refined according to Results!B:J""),9,FALSE)"),9.22)</f>
        <v>9.22</v>
      </c>
      <c r="Q41" s="45" t="s">
        <v>52</v>
      </c>
      <c r="R41" s="45"/>
      <c r="S41" s="45"/>
      <c r="T41" s="45"/>
    </row>
    <row r="42" ht="15.75" customHeight="1">
      <c r="A42" s="40">
        <v>41.0</v>
      </c>
      <c r="B42" s="30" t="s">
        <v>169</v>
      </c>
      <c r="C42" s="30" t="s">
        <v>14</v>
      </c>
      <c r="D42" s="30" t="s">
        <v>170</v>
      </c>
      <c r="E42" s="41">
        <v>8.18</v>
      </c>
      <c r="F42" s="33">
        <v>0.0</v>
      </c>
      <c r="G42" s="30" t="str">
        <f t="shared" si="1"/>
        <v>PASS</v>
      </c>
      <c r="H42" s="49" t="s">
        <v>46</v>
      </c>
      <c r="I42" s="47" t="s">
        <v>27</v>
      </c>
      <c r="J42" s="43">
        <v>0.0</v>
      </c>
      <c r="K42" s="44" t="s">
        <v>52</v>
      </c>
      <c r="L42" s="28">
        <v>1.0</v>
      </c>
      <c r="M42" s="28">
        <f>IFERROR(__xludf.DUMMYFUNCTION("VLOOKUP(B42,IMPORTRANGE(""1CGZ0Bai7Upqd4o8ih3likiFIYVFcX2B2CZFasZGKRII"",""Refined according to Results!B:J""),9,FALSE)"),8.35)</f>
        <v>8.35</v>
      </c>
      <c r="Q42" s="45" t="s">
        <v>52</v>
      </c>
      <c r="R42" s="45"/>
      <c r="S42" s="45"/>
      <c r="T42" s="45"/>
    </row>
    <row r="43" ht="15.75" customHeight="1">
      <c r="A43" s="40">
        <v>42.0</v>
      </c>
      <c r="B43" s="30" t="s">
        <v>171</v>
      </c>
      <c r="C43" s="30" t="s">
        <v>14</v>
      </c>
      <c r="D43" s="30" t="s">
        <v>172</v>
      </c>
      <c r="E43" s="41">
        <v>9.07</v>
      </c>
      <c r="F43" s="33">
        <v>0.0</v>
      </c>
      <c r="G43" s="30" t="str">
        <f t="shared" si="1"/>
        <v>PASS</v>
      </c>
      <c r="H43" s="46" t="s">
        <v>46</v>
      </c>
      <c r="I43" s="47" t="s">
        <v>27</v>
      </c>
      <c r="J43" s="43" t="s">
        <v>69</v>
      </c>
      <c r="K43" s="48" t="s">
        <v>69</v>
      </c>
      <c r="L43" s="28">
        <v>1.0</v>
      </c>
      <c r="M43" s="28">
        <f>IFERROR(__xludf.DUMMYFUNCTION("VLOOKUP(B43,IMPORTRANGE(""1CGZ0Bai7Upqd4o8ih3likiFIYVFcX2B2CZFasZGKRII"",""Refined according to Results!B:J""),9,FALSE)"),9.19)</f>
        <v>9.19</v>
      </c>
      <c r="Q43" s="45" t="s">
        <v>69</v>
      </c>
      <c r="R43" s="45"/>
      <c r="S43" s="45"/>
      <c r="T43" s="45"/>
    </row>
    <row r="44" ht="15.75" customHeight="1">
      <c r="A44" s="40">
        <v>43.0</v>
      </c>
      <c r="B44" s="30" t="s">
        <v>173</v>
      </c>
      <c r="C44" s="30" t="s">
        <v>14</v>
      </c>
      <c r="D44" s="30" t="s">
        <v>174</v>
      </c>
      <c r="E44" s="50"/>
      <c r="F44" s="33">
        <v>2.0</v>
      </c>
      <c r="G44" s="30" t="str">
        <f t="shared" si="1"/>
        <v>FAIL</v>
      </c>
      <c r="H44" s="49" t="s">
        <v>46</v>
      </c>
      <c r="I44" s="47" t="s">
        <v>28</v>
      </c>
      <c r="J44" s="43">
        <v>0.0</v>
      </c>
      <c r="K44" s="44" t="s">
        <v>175</v>
      </c>
      <c r="L44" s="45">
        <v>1.0</v>
      </c>
      <c r="M44" s="28" t="str">
        <f>IFERROR(__xludf.DUMMYFUNCTION("VLOOKUP(B44,IMPORTRANGE(""1CGZ0Bai7Upqd4o8ih3likiFIYVFcX2B2CZFasZGKRII"",""Refined according to Results!B:J""),9,FALSE)"),"")</f>
        <v/>
      </c>
      <c r="Q44" s="45">
        <v>0.0</v>
      </c>
      <c r="R44" s="45"/>
      <c r="S44" s="45"/>
      <c r="T44" s="45"/>
    </row>
    <row r="45" ht="15.75" customHeight="1">
      <c r="A45" s="40">
        <v>44.0</v>
      </c>
      <c r="B45" s="30" t="s">
        <v>176</v>
      </c>
      <c r="C45" s="30" t="s">
        <v>14</v>
      </c>
      <c r="D45" s="30" t="s">
        <v>177</v>
      </c>
      <c r="E45" s="41">
        <v>8.5</v>
      </c>
      <c r="F45" s="33">
        <v>0.0</v>
      </c>
      <c r="G45" s="30" t="str">
        <f t="shared" si="1"/>
        <v>PASS</v>
      </c>
      <c r="H45" s="46" t="s">
        <v>46</v>
      </c>
      <c r="I45" s="47" t="s">
        <v>27</v>
      </c>
      <c r="J45" s="43">
        <v>0.0</v>
      </c>
      <c r="K45" s="48" t="s">
        <v>178</v>
      </c>
      <c r="L45" s="45">
        <v>4.0</v>
      </c>
      <c r="M45" s="28">
        <f>IFERROR(__xludf.DUMMYFUNCTION("VLOOKUP(B45,IMPORTRANGE(""1CGZ0Bai7Upqd4o8ih3likiFIYVFcX2B2CZFasZGKRII"",""Refined according to Results!B:J""),9,FALSE)"),8.58)</f>
        <v>8.58</v>
      </c>
      <c r="Q45" s="45" t="s">
        <v>48</v>
      </c>
      <c r="R45" s="45" t="s">
        <v>63</v>
      </c>
      <c r="S45" s="45"/>
      <c r="T45" s="45"/>
    </row>
    <row r="46" ht="15.75" customHeight="1">
      <c r="A46" s="40">
        <v>45.0</v>
      </c>
      <c r="B46" s="30" t="s">
        <v>179</v>
      </c>
      <c r="C46" s="30" t="s">
        <v>14</v>
      </c>
      <c r="D46" s="30" t="s">
        <v>180</v>
      </c>
      <c r="E46" s="50"/>
      <c r="F46" s="33">
        <v>1.0</v>
      </c>
      <c r="G46" s="30" t="str">
        <f t="shared" si="1"/>
        <v>FAIL</v>
      </c>
      <c r="H46" s="49" t="s">
        <v>46</v>
      </c>
      <c r="I46" s="47" t="s">
        <v>27</v>
      </c>
      <c r="J46" s="43">
        <v>0.0</v>
      </c>
      <c r="K46" s="44" t="s">
        <v>114</v>
      </c>
      <c r="L46" s="45">
        <v>1.0</v>
      </c>
      <c r="M46" s="28">
        <f>IFERROR(__xludf.DUMMYFUNCTION("VLOOKUP(B46,IMPORTRANGE(""1CGZ0Bai7Upqd4o8ih3likiFIYVFcX2B2CZFasZGKRII"",""Refined according to Results!B:J""),9,FALSE)"),7.22)</f>
        <v>7.22</v>
      </c>
      <c r="Q46" s="45">
        <v>0.0</v>
      </c>
      <c r="R46" s="45"/>
      <c r="S46" s="45"/>
      <c r="T46" s="45"/>
    </row>
    <row r="47" ht="15.75" customHeight="1">
      <c r="A47" s="40">
        <v>46.0</v>
      </c>
      <c r="B47" s="30" t="s">
        <v>181</v>
      </c>
      <c r="C47" s="30" t="s">
        <v>14</v>
      </c>
      <c r="D47" s="30" t="s">
        <v>182</v>
      </c>
      <c r="E47" s="41">
        <v>9.07</v>
      </c>
      <c r="F47" s="33">
        <v>0.0</v>
      </c>
      <c r="G47" s="30" t="str">
        <f t="shared" si="1"/>
        <v>PASS</v>
      </c>
      <c r="H47" s="46" t="s">
        <v>60</v>
      </c>
      <c r="I47" s="47" t="s">
        <v>27</v>
      </c>
      <c r="J47" s="43" t="s">
        <v>61</v>
      </c>
      <c r="K47" s="48" t="s">
        <v>183</v>
      </c>
      <c r="L47" s="45">
        <v>3.0</v>
      </c>
      <c r="M47" s="28">
        <f>IFERROR(__xludf.DUMMYFUNCTION("VLOOKUP(B47,IMPORTRANGE(""1CGZ0Bai7Upqd4o8ih3likiFIYVFcX2B2CZFasZGKRII"",""Refined according to Results!B:J""),9,FALSE)"),9.31)</f>
        <v>9.31</v>
      </c>
      <c r="Q47" s="45" t="s">
        <v>52</v>
      </c>
      <c r="R47" s="45" t="s">
        <v>63</v>
      </c>
      <c r="S47" s="45"/>
      <c r="T47" s="45"/>
    </row>
    <row r="48" ht="15.75" customHeight="1">
      <c r="A48" s="40">
        <v>47.0</v>
      </c>
      <c r="B48" s="30" t="s">
        <v>184</v>
      </c>
      <c r="C48" s="30" t="s">
        <v>14</v>
      </c>
      <c r="D48" s="30" t="s">
        <v>185</v>
      </c>
      <c r="E48" s="41">
        <v>7.63</v>
      </c>
      <c r="F48" s="33">
        <v>0.0</v>
      </c>
      <c r="G48" s="30" t="str">
        <f t="shared" si="1"/>
        <v>PASS</v>
      </c>
      <c r="H48" s="49" t="s">
        <v>46</v>
      </c>
      <c r="I48" s="47" t="s">
        <v>28</v>
      </c>
      <c r="J48" s="43">
        <v>0.0</v>
      </c>
      <c r="K48" s="52"/>
      <c r="L48" s="28">
        <f>LEN(H48)-LEN(SUBSTITUTE(H48," &amp; "," "))</f>
        <v>0</v>
      </c>
      <c r="M48" s="28">
        <f>IFERROR(__xludf.DUMMYFUNCTION("VLOOKUP(B48,IMPORTRANGE(""1CGZ0Bai7Upqd4o8ih3likiFIYVFcX2B2CZFasZGKRII"",""Refined according to Results!B:J""),9,FALSE)"),7.51)</f>
        <v>7.51</v>
      </c>
      <c r="Q48" s="45">
        <v>0.0</v>
      </c>
      <c r="R48" s="45"/>
      <c r="S48" s="45"/>
      <c r="T48" s="45"/>
    </row>
    <row r="49" ht="15.75" customHeight="1">
      <c r="A49" s="40">
        <v>48.0</v>
      </c>
      <c r="B49" s="30" t="s">
        <v>186</v>
      </c>
      <c r="C49" s="30" t="s">
        <v>14</v>
      </c>
      <c r="D49" s="30" t="s">
        <v>187</v>
      </c>
      <c r="E49" s="41">
        <v>8.97</v>
      </c>
      <c r="F49" s="33">
        <v>0.0</v>
      </c>
      <c r="G49" s="30" t="str">
        <f t="shared" si="1"/>
        <v>PASS</v>
      </c>
      <c r="H49" s="46" t="s">
        <v>46</v>
      </c>
      <c r="I49" s="47" t="s">
        <v>27</v>
      </c>
      <c r="J49" s="43" t="s">
        <v>188</v>
      </c>
      <c r="K49" s="48" t="s">
        <v>189</v>
      </c>
      <c r="L49" s="45">
        <v>4.0</v>
      </c>
      <c r="M49" s="28">
        <f>IFERROR(__xludf.DUMMYFUNCTION("VLOOKUP(B49,IMPORTRANGE(""1CGZ0Bai7Upqd4o8ih3likiFIYVFcX2B2CZFasZGKRII"",""Refined according to Results!B:J""),9,FALSE)"),9.01)</f>
        <v>9.01</v>
      </c>
      <c r="Q49" s="45" t="s">
        <v>57</v>
      </c>
      <c r="R49" s="45" t="s">
        <v>52</v>
      </c>
      <c r="S49" s="45" t="s">
        <v>48</v>
      </c>
      <c r="T49" s="45" t="s">
        <v>79</v>
      </c>
    </row>
    <row r="50" ht="15.75" customHeight="1">
      <c r="A50" s="40">
        <v>49.0</v>
      </c>
      <c r="B50" s="30" t="s">
        <v>190</v>
      </c>
      <c r="C50" s="30" t="s">
        <v>14</v>
      </c>
      <c r="D50" s="30" t="s">
        <v>191</v>
      </c>
      <c r="E50" s="50"/>
      <c r="F50" s="33">
        <v>4.0</v>
      </c>
      <c r="G50" s="30" t="str">
        <f t="shared" si="1"/>
        <v>FAIL</v>
      </c>
      <c r="H50" s="49" t="s">
        <v>46</v>
      </c>
      <c r="I50" s="55" t="s">
        <v>27</v>
      </c>
      <c r="J50" s="56">
        <v>0.0</v>
      </c>
      <c r="K50" s="52"/>
      <c r="L50" s="28">
        <f>LEN(H50)-LEN(SUBSTITUTE(H50," &amp; "," "))</f>
        <v>0</v>
      </c>
      <c r="M50" s="28" t="str">
        <f>IFERROR(__xludf.DUMMYFUNCTION("VLOOKUP(B50,IMPORTRANGE(""1CGZ0Bai7Upqd4o8ih3likiFIYVFcX2B2CZFasZGKRII"",""Refined according to Results!B:J""),9,FALSE)"),"")</f>
        <v/>
      </c>
      <c r="Q50" s="45">
        <v>0.0</v>
      </c>
      <c r="R50" s="45"/>
      <c r="S50" s="45"/>
      <c r="T50" s="45"/>
    </row>
    <row r="51" ht="15.75" customHeight="1">
      <c r="A51" s="40">
        <v>50.0</v>
      </c>
      <c r="B51" s="30" t="s">
        <v>192</v>
      </c>
      <c r="C51" s="30" t="s">
        <v>14</v>
      </c>
      <c r="D51" s="30" t="s">
        <v>193</v>
      </c>
      <c r="E51" s="41">
        <v>7.02</v>
      </c>
      <c r="F51" s="33">
        <v>0.0</v>
      </c>
      <c r="G51" s="30" t="str">
        <f t="shared" si="1"/>
        <v>PASS</v>
      </c>
      <c r="H51" s="46" t="s">
        <v>46</v>
      </c>
      <c r="I51" s="47" t="s">
        <v>27</v>
      </c>
      <c r="J51" s="43">
        <v>0.0</v>
      </c>
      <c r="K51" s="48" t="s">
        <v>194</v>
      </c>
      <c r="L51" s="45">
        <v>1.0</v>
      </c>
      <c r="M51" s="28" t="str">
        <f>IFERROR(__xludf.DUMMYFUNCTION("VLOOKUP(B51,IMPORTRANGE(""1CGZ0Bai7Upqd4o8ih3likiFIYVFcX2B2CZFasZGKRII"",""Refined according to Results!B:J""),9,FALSE)"),"")</f>
        <v/>
      </c>
      <c r="Q51" s="45">
        <v>0.0</v>
      </c>
      <c r="R51" s="45"/>
      <c r="S51" s="45"/>
      <c r="T51" s="45"/>
    </row>
    <row r="52" ht="15.75" customHeight="1">
      <c r="A52" s="40">
        <v>51.0</v>
      </c>
      <c r="B52" s="30" t="s">
        <v>195</v>
      </c>
      <c r="C52" s="30" t="s">
        <v>14</v>
      </c>
      <c r="D52" s="30" t="s">
        <v>196</v>
      </c>
      <c r="E52" s="41">
        <v>9.26</v>
      </c>
      <c r="F52" s="33">
        <v>0.0</v>
      </c>
      <c r="G52" s="30" t="str">
        <f t="shared" si="1"/>
        <v>PASS</v>
      </c>
      <c r="H52" s="49" t="s">
        <v>46</v>
      </c>
      <c r="I52" s="47" t="s">
        <v>27</v>
      </c>
      <c r="J52" s="43">
        <v>0.0</v>
      </c>
      <c r="K52" s="44" t="s">
        <v>197</v>
      </c>
      <c r="L52" s="45">
        <v>2.0</v>
      </c>
      <c r="M52" s="28">
        <f>IFERROR(__xludf.DUMMYFUNCTION("VLOOKUP(B52,IMPORTRANGE(""1CGZ0Bai7Upqd4o8ih3likiFIYVFcX2B2CZFasZGKRII"",""Refined according to Results!B:J""),9,FALSE)"),9.36)</f>
        <v>9.36</v>
      </c>
      <c r="Q52" s="45" t="s">
        <v>63</v>
      </c>
      <c r="R52" s="45"/>
      <c r="S52" s="45"/>
      <c r="T52" s="45"/>
    </row>
    <row r="53" ht="15.75" customHeight="1">
      <c r="A53" s="40">
        <v>52.0</v>
      </c>
      <c r="B53" s="30" t="s">
        <v>198</v>
      </c>
      <c r="C53" s="30" t="s">
        <v>14</v>
      </c>
      <c r="D53" s="30" t="s">
        <v>199</v>
      </c>
      <c r="E53" s="41">
        <v>7.63</v>
      </c>
      <c r="F53" s="33">
        <v>0.0</v>
      </c>
      <c r="G53" s="30" t="str">
        <f t="shared" si="1"/>
        <v>PASS</v>
      </c>
      <c r="H53" s="46" t="s">
        <v>60</v>
      </c>
      <c r="I53" s="47" t="s">
        <v>27</v>
      </c>
      <c r="J53" s="43">
        <v>0.0</v>
      </c>
      <c r="K53" s="51"/>
      <c r="L53" s="28">
        <f>LEN(H53)-LEN(SUBSTITUTE(H53," &amp; "," "))</f>
        <v>0</v>
      </c>
      <c r="M53" s="28">
        <f>IFERROR(__xludf.DUMMYFUNCTION("VLOOKUP(B53,IMPORTRANGE(""1CGZ0Bai7Upqd4o8ih3likiFIYVFcX2B2CZFasZGKRII"",""Refined according to Results!B:J""),9,FALSE)"),8.01)</f>
        <v>8.01</v>
      </c>
      <c r="Q53" s="45">
        <v>0.0</v>
      </c>
      <c r="R53" s="45"/>
      <c r="S53" s="45"/>
      <c r="T53" s="45"/>
    </row>
    <row r="54" ht="15.75" customHeight="1">
      <c r="A54" s="40">
        <v>53.0</v>
      </c>
      <c r="B54" s="30" t="s">
        <v>200</v>
      </c>
      <c r="C54" s="30" t="s">
        <v>14</v>
      </c>
      <c r="D54" s="30" t="s">
        <v>201</v>
      </c>
      <c r="E54" s="41">
        <v>8.12</v>
      </c>
      <c r="F54" s="33">
        <v>0.0</v>
      </c>
      <c r="G54" s="30" t="str">
        <f t="shared" si="1"/>
        <v>PASS</v>
      </c>
      <c r="H54" s="49" t="s">
        <v>46</v>
      </c>
      <c r="I54" s="47" t="s">
        <v>28</v>
      </c>
      <c r="J54" s="43">
        <v>0.0</v>
      </c>
      <c r="K54" s="44" t="s">
        <v>122</v>
      </c>
      <c r="L54" s="45">
        <v>2.0</v>
      </c>
      <c r="M54" s="28">
        <f>IFERROR(__xludf.DUMMYFUNCTION("VLOOKUP(B54,IMPORTRANGE(""1CGZ0Bai7Upqd4o8ih3likiFIYVFcX2B2CZFasZGKRII"",""Refined according to Results!B:J""),9,FALSE)"),8.28)</f>
        <v>8.28</v>
      </c>
      <c r="Q54" s="45" t="s">
        <v>63</v>
      </c>
      <c r="R54" s="45"/>
      <c r="S54" s="45"/>
      <c r="T54" s="45"/>
    </row>
    <row r="55" ht="15.75" customHeight="1">
      <c r="A55" s="40">
        <v>54.0</v>
      </c>
      <c r="B55" s="30" t="s">
        <v>202</v>
      </c>
      <c r="C55" s="30" t="s">
        <v>14</v>
      </c>
      <c r="D55" s="30" t="s">
        <v>203</v>
      </c>
      <c r="E55" s="41">
        <v>7.75</v>
      </c>
      <c r="F55" s="33">
        <v>0.0</v>
      </c>
      <c r="G55" s="30" t="str">
        <f t="shared" si="1"/>
        <v>PASS</v>
      </c>
      <c r="H55" s="46" t="s">
        <v>46</v>
      </c>
      <c r="I55" s="47" t="s">
        <v>27</v>
      </c>
      <c r="J55" s="43">
        <v>0.0</v>
      </c>
      <c r="K55" s="48" t="s">
        <v>204</v>
      </c>
      <c r="L55" s="45">
        <v>1.0</v>
      </c>
      <c r="M55" s="28">
        <f>IFERROR(__xludf.DUMMYFUNCTION("VLOOKUP(B55,IMPORTRANGE(""1CGZ0Bai7Upqd4o8ih3likiFIYVFcX2B2CZFasZGKRII"",""Refined according to Results!B:J""),9,FALSE)"),7.85)</f>
        <v>7.85</v>
      </c>
      <c r="Q55" s="45">
        <v>0.0</v>
      </c>
      <c r="R55" s="45"/>
      <c r="S55" s="45"/>
      <c r="T55" s="45"/>
    </row>
    <row r="56" ht="15.75" customHeight="1">
      <c r="A56" s="40">
        <v>55.0</v>
      </c>
      <c r="B56" s="30" t="s">
        <v>205</v>
      </c>
      <c r="C56" s="30" t="s">
        <v>14</v>
      </c>
      <c r="D56" s="30" t="s">
        <v>206</v>
      </c>
      <c r="E56" s="41">
        <v>8.43</v>
      </c>
      <c r="F56" s="33">
        <v>0.0</v>
      </c>
      <c r="G56" s="30" t="str">
        <f t="shared" si="1"/>
        <v>PASS</v>
      </c>
      <c r="H56" s="49" t="s">
        <v>46</v>
      </c>
      <c r="I56" s="47" t="s">
        <v>27</v>
      </c>
      <c r="J56" s="43">
        <v>0.0</v>
      </c>
      <c r="K56" s="44" t="s">
        <v>207</v>
      </c>
      <c r="L56" s="45">
        <v>2.0</v>
      </c>
      <c r="M56" s="28">
        <f>IFERROR(__xludf.DUMMYFUNCTION("VLOOKUP(B56,IMPORTRANGE(""1CGZ0Bai7Upqd4o8ih3likiFIYVFcX2B2CZFasZGKRII"",""Refined according to Results!B:J""),9,FALSE)"),8.04)</f>
        <v>8.04</v>
      </c>
      <c r="Q56" s="45" t="s">
        <v>72</v>
      </c>
      <c r="R56" s="45" t="s">
        <v>106</v>
      </c>
      <c r="S56" s="45"/>
      <c r="T56" s="45"/>
    </row>
    <row r="57" ht="15.75" customHeight="1">
      <c r="A57" s="40">
        <v>56.0</v>
      </c>
      <c r="B57" s="30" t="s">
        <v>208</v>
      </c>
      <c r="C57" s="30" t="s">
        <v>14</v>
      </c>
      <c r="D57" s="30" t="s">
        <v>209</v>
      </c>
      <c r="E57" s="41">
        <v>7.88</v>
      </c>
      <c r="F57" s="33">
        <v>0.0</v>
      </c>
      <c r="G57" s="30" t="str">
        <f t="shared" si="1"/>
        <v>PASS</v>
      </c>
      <c r="H57" s="46" t="s">
        <v>60</v>
      </c>
      <c r="I57" s="47" t="s">
        <v>27</v>
      </c>
      <c r="J57" s="43">
        <v>0.0</v>
      </c>
      <c r="K57" s="48" t="s">
        <v>210</v>
      </c>
      <c r="L57" s="45">
        <v>1.0</v>
      </c>
      <c r="M57" s="28">
        <f>IFERROR(__xludf.DUMMYFUNCTION("VLOOKUP(B57,IMPORTRANGE(""1CGZ0Bai7Upqd4o8ih3likiFIYVFcX2B2CZFasZGKRII"",""Refined according to Results!B:J""),9,FALSE)"),8.06)</f>
        <v>8.06</v>
      </c>
      <c r="Q57" s="45">
        <v>0.0</v>
      </c>
      <c r="R57" s="45"/>
      <c r="S57" s="45"/>
      <c r="T57" s="45"/>
    </row>
    <row r="58" ht="15.75" customHeight="1">
      <c r="A58" s="40">
        <v>57.0</v>
      </c>
      <c r="B58" s="30" t="s">
        <v>211</v>
      </c>
      <c r="C58" s="30" t="s">
        <v>14</v>
      </c>
      <c r="D58" s="30" t="s">
        <v>212</v>
      </c>
      <c r="E58" s="41">
        <v>8.69</v>
      </c>
      <c r="F58" s="33">
        <v>0.0</v>
      </c>
      <c r="G58" s="30" t="str">
        <f t="shared" si="1"/>
        <v>PASS</v>
      </c>
      <c r="H58" s="49" t="s">
        <v>60</v>
      </c>
      <c r="I58" s="47" t="s">
        <v>27</v>
      </c>
      <c r="J58" s="43">
        <v>0.0</v>
      </c>
      <c r="K58" s="44" t="s">
        <v>52</v>
      </c>
      <c r="L58" s="28">
        <v>1.0</v>
      </c>
      <c r="M58" s="28">
        <f>IFERROR(__xludf.DUMMYFUNCTION("VLOOKUP(B58,IMPORTRANGE(""1CGZ0Bai7Upqd4o8ih3likiFIYVFcX2B2CZFasZGKRII"",""Refined according to Results!B:J""),9,FALSE)"),8.68)</f>
        <v>8.68</v>
      </c>
      <c r="Q58" s="45" t="s">
        <v>52</v>
      </c>
      <c r="R58" s="45"/>
      <c r="S58" s="45"/>
      <c r="T58" s="45"/>
    </row>
    <row r="59" ht="15.75" customHeight="1">
      <c r="A59" s="40">
        <v>58.0</v>
      </c>
      <c r="B59" s="30" t="s">
        <v>213</v>
      </c>
      <c r="C59" s="30" t="s">
        <v>14</v>
      </c>
      <c r="D59" s="30" t="s">
        <v>214</v>
      </c>
      <c r="E59" s="41">
        <v>8.13</v>
      </c>
      <c r="F59" s="33">
        <v>0.0</v>
      </c>
      <c r="G59" s="30" t="str">
        <f t="shared" si="1"/>
        <v>PASS</v>
      </c>
      <c r="H59" s="46" t="s">
        <v>46</v>
      </c>
      <c r="I59" s="47" t="s">
        <v>27</v>
      </c>
      <c r="J59" s="43">
        <v>0.0</v>
      </c>
      <c r="K59" s="48" t="s">
        <v>215</v>
      </c>
      <c r="L59" s="45">
        <v>4.0</v>
      </c>
      <c r="M59" s="28">
        <f>IFERROR(__xludf.DUMMYFUNCTION("VLOOKUP(B59,IMPORTRANGE(""1CGZ0Bai7Upqd4o8ih3likiFIYVFcX2B2CZFasZGKRII"",""Refined according to Results!B:J""),9,FALSE)"),8.13)</f>
        <v>8.13</v>
      </c>
      <c r="Q59" s="45" t="s">
        <v>52</v>
      </c>
      <c r="R59" s="45" t="s">
        <v>63</v>
      </c>
      <c r="S59" s="45"/>
      <c r="T59" s="45"/>
    </row>
    <row r="60" ht="15.75" customHeight="1">
      <c r="A60" s="40">
        <v>59.0</v>
      </c>
      <c r="B60" s="30" t="s">
        <v>216</v>
      </c>
      <c r="C60" s="30" t="s">
        <v>14</v>
      </c>
      <c r="D60" s="30" t="s">
        <v>217</v>
      </c>
      <c r="E60" s="41">
        <v>8.28</v>
      </c>
      <c r="F60" s="33">
        <v>0.0</v>
      </c>
      <c r="G60" s="30" t="str">
        <f t="shared" si="1"/>
        <v>PASS</v>
      </c>
      <c r="H60" s="49" t="s">
        <v>46</v>
      </c>
      <c r="I60" s="47" t="s">
        <v>28</v>
      </c>
      <c r="J60" s="43">
        <v>0.0</v>
      </c>
      <c r="K60" s="44" t="s">
        <v>154</v>
      </c>
      <c r="L60" s="45">
        <v>1.0</v>
      </c>
      <c r="M60" s="28">
        <f>IFERROR(__xludf.DUMMYFUNCTION("VLOOKUP(B60,IMPORTRANGE(""1CGZ0Bai7Upqd4o8ih3likiFIYVFcX2B2CZFasZGKRII"",""Refined according to Results!B:J""),9,FALSE)"),8.31)</f>
        <v>8.31</v>
      </c>
      <c r="Q60" s="45">
        <v>0.0</v>
      </c>
      <c r="R60" s="45"/>
      <c r="S60" s="45"/>
      <c r="T60" s="45"/>
    </row>
    <row r="61" ht="15.75" customHeight="1">
      <c r="A61" s="40">
        <v>60.0</v>
      </c>
      <c r="B61" s="30" t="s">
        <v>218</v>
      </c>
      <c r="C61" s="30" t="s">
        <v>14</v>
      </c>
      <c r="D61" s="30" t="s">
        <v>219</v>
      </c>
      <c r="E61" s="41">
        <v>8.1</v>
      </c>
      <c r="F61" s="33">
        <v>0.0</v>
      </c>
      <c r="G61" s="30" t="str">
        <f t="shared" si="1"/>
        <v>PASS</v>
      </c>
      <c r="H61" s="46" t="s">
        <v>46</v>
      </c>
      <c r="I61" s="47" t="s">
        <v>27</v>
      </c>
      <c r="J61" s="43">
        <v>0.0</v>
      </c>
      <c r="K61" s="51"/>
      <c r="L61" s="28">
        <f>LEN(H61)-LEN(SUBSTITUTE(H61," &amp; "," "))</f>
        <v>0</v>
      </c>
      <c r="M61" s="28">
        <f>IFERROR(__xludf.DUMMYFUNCTION("VLOOKUP(B61,IMPORTRANGE(""1CGZ0Bai7Upqd4o8ih3likiFIYVFcX2B2CZFasZGKRII"",""Refined according to Results!B:J""),9,FALSE)"),8.38)</f>
        <v>8.38</v>
      </c>
      <c r="Q61" s="45">
        <v>0.0</v>
      </c>
      <c r="R61" s="45"/>
      <c r="S61" s="45"/>
      <c r="T61" s="45"/>
    </row>
    <row r="62" ht="15.75" customHeight="1">
      <c r="A62" s="40">
        <v>61.0</v>
      </c>
      <c r="B62" s="30" t="s">
        <v>220</v>
      </c>
      <c r="C62" s="30" t="s">
        <v>14</v>
      </c>
      <c r="D62" s="30" t="s">
        <v>221</v>
      </c>
      <c r="E62" s="41">
        <v>8.89</v>
      </c>
      <c r="F62" s="33">
        <v>0.0</v>
      </c>
      <c r="G62" s="30" t="str">
        <f t="shared" si="1"/>
        <v>PASS</v>
      </c>
      <c r="H62" s="49" t="s">
        <v>60</v>
      </c>
      <c r="I62" s="47" t="s">
        <v>27</v>
      </c>
      <c r="J62" s="43" t="s">
        <v>222</v>
      </c>
      <c r="K62" s="44" t="s">
        <v>223</v>
      </c>
      <c r="L62" s="45">
        <v>6.0</v>
      </c>
      <c r="M62" s="28">
        <f>IFERROR(__xludf.DUMMYFUNCTION("VLOOKUP(B62,IMPORTRANGE(""1CGZ0Bai7Upqd4o8ih3likiFIYVFcX2B2CZFasZGKRII"",""Refined according to Results!B:J""),9,FALSE)"),9.13)</f>
        <v>9.13</v>
      </c>
      <c r="Q62" s="45" t="s">
        <v>52</v>
      </c>
      <c r="R62" s="45" t="s">
        <v>48</v>
      </c>
      <c r="S62" s="45" t="s">
        <v>66</v>
      </c>
      <c r="T62" s="45" t="s">
        <v>63</v>
      </c>
    </row>
    <row r="63" ht="15.75" customHeight="1">
      <c r="A63" s="40">
        <v>62.0</v>
      </c>
      <c r="B63" s="30" t="s">
        <v>224</v>
      </c>
      <c r="C63" s="30" t="s">
        <v>14</v>
      </c>
      <c r="D63" s="30" t="s">
        <v>225</v>
      </c>
      <c r="E63" s="50"/>
      <c r="F63" s="33">
        <v>8.0</v>
      </c>
      <c r="G63" s="30" t="str">
        <f t="shared" si="1"/>
        <v>FAIL</v>
      </c>
      <c r="H63" s="46" t="s">
        <v>60</v>
      </c>
      <c r="I63" s="47" t="s">
        <v>28</v>
      </c>
      <c r="J63" s="43">
        <v>0.0</v>
      </c>
      <c r="K63" s="51"/>
      <c r="L63" s="28">
        <f>LEN(H63)-LEN(SUBSTITUTE(H63," &amp; "," "))</f>
        <v>0</v>
      </c>
      <c r="M63" s="28" t="str">
        <f>IFERROR(__xludf.DUMMYFUNCTION("VLOOKUP(B63,IMPORTRANGE(""1CGZ0Bai7Upqd4o8ih3likiFIYVFcX2B2CZFasZGKRII"",""Refined according to Results!B:J""),9,FALSE)"),"")</f>
        <v/>
      </c>
      <c r="Q63" s="45">
        <v>0.0</v>
      </c>
      <c r="R63" s="45"/>
      <c r="S63" s="45"/>
      <c r="T63" s="45"/>
    </row>
    <row r="64" ht="15.75" customHeight="1">
      <c r="A64" s="40">
        <v>63.0</v>
      </c>
      <c r="B64" s="30" t="s">
        <v>226</v>
      </c>
      <c r="C64" s="30" t="s">
        <v>14</v>
      </c>
      <c r="D64" s="30" t="s">
        <v>227</v>
      </c>
      <c r="E64" s="41">
        <v>8.33</v>
      </c>
      <c r="F64" s="33">
        <v>0.0</v>
      </c>
      <c r="G64" s="30" t="str">
        <f t="shared" si="1"/>
        <v>PASS</v>
      </c>
      <c r="H64" s="49" t="s">
        <v>46</v>
      </c>
      <c r="I64" s="57" t="s">
        <v>28</v>
      </c>
      <c r="J64" s="58">
        <v>0.0</v>
      </c>
      <c r="K64" s="44" t="s">
        <v>228</v>
      </c>
      <c r="L64" s="45">
        <v>1.0</v>
      </c>
      <c r="M64" s="28">
        <f>IFERROR(__xludf.DUMMYFUNCTION("VLOOKUP(B64,IMPORTRANGE(""1CGZ0Bai7Upqd4o8ih3likiFIYVFcX2B2CZFasZGKRII"",""Refined according to Results!B:J""),9,FALSE)"),8.78)</f>
        <v>8.78</v>
      </c>
      <c r="Q64" s="45">
        <v>0.0</v>
      </c>
      <c r="R64" s="45"/>
      <c r="S64" s="45"/>
      <c r="T64" s="45"/>
    </row>
    <row r="65" ht="15.75" customHeight="1">
      <c r="A65" s="40">
        <v>64.0</v>
      </c>
      <c r="B65" s="30" t="s">
        <v>229</v>
      </c>
      <c r="C65" s="30" t="s">
        <v>14</v>
      </c>
      <c r="D65" s="30" t="s">
        <v>230</v>
      </c>
      <c r="E65" s="41">
        <v>7.95</v>
      </c>
      <c r="F65" s="33">
        <v>0.0</v>
      </c>
      <c r="G65" s="30" t="str">
        <f t="shared" si="1"/>
        <v>PASS</v>
      </c>
      <c r="H65" s="46" t="s">
        <v>46</v>
      </c>
      <c r="I65" s="47" t="s">
        <v>27</v>
      </c>
      <c r="J65" s="43">
        <v>0.0</v>
      </c>
      <c r="K65" s="48" t="s">
        <v>231</v>
      </c>
      <c r="L65" s="45">
        <v>3.0</v>
      </c>
      <c r="M65" s="28">
        <f>IFERROR(__xludf.DUMMYFUNCTION("VLOOKUP(B65,IMPORTRANGE(""1CGZ0Bai7Upqd4o8ih3likiFIYVFcX2B2CZFasZGKRII"",""Refined according to Results!B:J""),9,FALSE)"),7.6)</f>
        <v>7.6</v>
      </c>
      <c r="Q65" s="45">
        <v>0.0</v>
      </c>
      <c r="R65" s="45"/>
      <c r="S65" s="45"/>
      <c r="T65" s="45"/>
    </row>
    <row r="66" ht="15.75" customHeight="1">
      <c r="A66" s="40">
        <v>65.0</v>
      </c>
      <c r="B66" s="30" t="s">
        <v>232</v>
      </c>
      <c r="C66" s="30" t="s">
        <v>14</v>
      </c>
      <c r="D66" s="30" t="s">
        <v>233</v>
      </c>
      <c r="E66" s="41">
        <v>8.48</v>
      </c>
      <c r="F66" s="33">
        <v>0.0</v>
      </c>
      <c r="G66" s="30" t="str">
        <f t="shared" si="1"/>
        <v>PASS</v>
      </c>
      <c r="H66" s="49" t="s">
        <v>60</v>
      </c>
      <c r="I66" s="47" t="s">
        <v>27</v>
      </c>
      <c r="J66" s="43">
        <v>0.0</v>
      </c>
      <c r="K66" s="44" t="s">
        <v>234</v>
      </c>
      <c r="L66" s="45">
        <v>1.0</v>
      </c>
      <c r="M66" s="28">
        <f>IFERROR(__xludf.DUMMYFUNCTION("VLOOKUP(B66,IMPORTRANGE(""1CGZ0Bai7Upqd4o8ih3likiFIYVFcX2B2CZFasZGKRII"",""Refined according to Results!B:J""),9,FALSE)"),7.79)</f>
        <v>7.79</v>
      </c>
      <c r="Q66" s="45">
        <v>0.0</v>
      </c>
      <c r="R66" s="45"/>
      <c r="S66" s="45"/>
      <c r="T66" s="45"/>
    </row>
    <row r="67" ht="15.75" customHeight="1">
      <c r="A67" s="40">
        <v>66.0</v>
      </c>
      <c r="B67" s="30" t="s">
        <v>235</v>
      </c>
      <c r="C67" s="30" t="s">
        <v>14</v>
      </c>
      <c r="D67" s="30" t="s">
        <v>236</v>
      </c>
      <c r="E67" s="33"/>
      <c r="F67" s="33">
        <v>1.0</v>
      </c>
      <c r="G67" s="30" t="str">
        <f t="shared" si="1"/>
        <v>FAIL</v>
      </c>
      <c r="H67" s="46" t="s">
        <v>46</v>
      </c>
      <c r="I67" s="47" t="s">
        <v>27</v>
      </c>
      <c r="J67" s="43">
        <v>0.0</v>
      </c>
      <c r="K67" s="48" t="s">
        <v>237</v>
      </c>
      <c r="L67" s="45">
        <v>1.0</v>
      </c>
      <c r="M67" s="28" t="str">
        <f>IFERROR(__xludf.DUMMYFUNCTION("VLOOKUP(B67,IMPORTRANGE(""1CGZ0Bai7Upqd4o8ih3likiFIYVFcX2B2CZFasZGKRII"",""Refined according to Results!B:J""),9,FALSE)"),"#N/A")</f>
        <v>#N/A</v>
      </c>
      <c r="Q67" s="45">
        <v>0.0</v>
      </c>
      <c r="R67" s="45"/>
      <c r="S67" s="45"/>
      <c r="T67" s="45"/>
    </row>
    <row r="68" ht="15.75" customHeight="1">
      <c r="A68" s="40">
        <v>67.0</v>
      </c>
      <c r="B68" s="30" t="s">
        <v>238</v>
      </c>
      <c r="C68" s="30" t="s">
        <v>14</v>
      </c>
      <c r="D68" s="30" t="s">
        <v>239</v>
      </c>
      <c r="E68" s="33">
        <v>7.46</v>
      </c>
      <c r="F68" s="33">
        <v>0.0</v>
      </c>
      <c r="G68" s="30" t="str">
        <f t="shared" si="1"/>
        <v>PASS</v>
      </c>
      <c r="H68" s="49" t="s">
        <v>60</v>
      </c>
      <c r="I68" s="47" t="s">
        <v>28</v>
      </c>
      <c r="J68" s="43">
        <v>0.0</v>
      </c>
      <c r="K68" s="44" t="s">
        <v>90</v>
      </c>
      <c r="L68" s="45">
        <v>1.0</v>
      </c>
      <c r="M68" s="28" t="str">
        <f>IFERROR(__xludf.DUMMYFUNCTION("VLOOKUP(B68,IMPORTRANGE(""1CGZ0Bai7Upqd4o8ih3likiFIYVFcX2B2CZFasZGKRII"",""Refined according to Results!B:J""),9,FALSE)"),"#N/A")</f>
        <v>#N/A</v>
      </c>
      <c r="Q68" s="45">
        <v>0.0</v>
      </c>
      <c r="R68" s="45"/>
      <c r="S68" s="45"/>
      <c r="T68" s="45"/>
    </row>
    <row r="69" ht="15.75" customHeight="1">
      <c r="A69" s="40">
        <v>68.0</v>
      </c>
      <c r="B69" s="30" t="s">
        <v>240</v>
      </c>
      <c r="C69" s="30" t="s">
        <v>14</v>
      </c>
      <c r="D69" s="30" t="s">
        <v>241</v>
      </c>
      <c r="E69" s="33">
        <v>7.0</v>
      </c>
      <c r="F69" s="33">
        <v>0.0</v>
      </c>
      <c r="G69" s="30" t="str">
        <f t="shared" si="1"/>
        <v>PASS</v>
      </c>
      <c r="H69" s="46" t="s">
        <v>60</v>
      </c>
      <c r="I69" s="47" t="s">
        <v>27</v>
      </c>
      <c r="J69" s="43">
        <v>0.0</v>
      </c>
      <c r="K69" s="51"/>
      <c r="L69" s="28">
        <v>0.0</v>
      </c>
      <c r="M69" s="28" t="str">
        <f>IFERROR(__xludf.DUMMYFUNCTION("VLOOKUP(B69,IMPORTRANGE(""1CGZ0Bai7Upqd4o8ih3likiFIYVFcX2B2CZFasZGKRII"",""Refined according to Results!B:J""),9,FALSE)"),"#N/A")</f>
        <v>#N/A</v>
      </c>
      <c r="Q69" s="45">
        <v>0.0</v>
      </c>
      <c r="R69" s="45"/>
      <c r="S69" s="45"/>
      <c r="T69" s="45"/>
    </row>
    <row r="70" ht="15.75" customHeight="1">
      <c r="A70" s="40">
        <v>69.0</v>
      </c>
      <c r="B70" s="30" t="s">
        <v>242</v>
      </c>
      <c r="C70" s="30" t="s">
        <v>14</v>
      </c>
      <c r="D70" s="30" t="s">
        <v>243</v>
      </c>
      <c r="E70" s="33"/>
      <c r="F70" s="33">
        <v>1.0</v>
      </c>
      <c r="G70" s="30" t="str">
        <f t="shared" si="1"/>
        <v>FAIL</v>
      </c>
      <c r="H70" s="49" t="s">
        <v>46</v>
      </c>
      <c r="I70" s="47" t="s">
        <v>28</v>
      </c>
      <c r="J70" s="43">
        <v>0.0</v>
      </c>
      <c r="K70" s="52"/>
      <c r="L70" s="28">
        <f t="shared" ref="L70:L73" si="5">LEN(H70)-LEN(SUBSTITUTE(H70," &amp; "," "))</f>
        <v>0</v>
      </c>
      <c r="M70" s="28" t="str">
        <f>IFERROR(__xludf.DUMMYFUNCTION("VLOOKUP(B70,IMPORTRANGE(""1CGZ0Bai7Upqd4o8ih3likiFIYVFcX2B2CZFasZGKRII"",""Refined according to Results!B:J""),9,FALSE)"),"#N/A")</f>
        <v>#N/A</v>
      </c>
      <c r="Q70" s="45">
        <v>0.0</v>
      </c>
      <c r="R70" s="45"/>
      <c r="S70" s="45"/>
      <c r="T70" s="45"/>
    </row>
    <row r="71" ht="15.75" customHeight="1">
      <c r="A71" s="40">
        <v>70.0</v>
      </c>
      <c r="B71" s="30" t="s">
        <v>244</v>
      </c>
      <c r="C71" s="30" t="s">
        <v>14</v>
      </c>
      <c r="D71" s="30" t="s">
        <v>245</v>
      </c>
      <c r="E71" s="33">
        <v>7.47</v>
      </c>
      <c r="F71" s="33">
        <v>0.0</v>
      </c>
      <c r="G71" s="30" t="str">
        <f t="shared" si="1"/>
        <v>PASS</v>
      </c>
      <c r="H71" s="46" t="s">
        <v>60</v>
      </c>
      <c r="I71" s="47" t="s">
        <v>28</v>
      </c>
      <c r="J71" s="43">
        <v>0.0</v>
      </c>
      <c r="K71" s="51"/>
      <c r="L71" s="28">
        <f t="shared" si="5"/>
        <v>0</v>
      </c>
      <c r="M71" s="28" t="str">
        <f>IFERROR(__xludf.DUMMYFUNCTION("VLOOKUP(B71,IMPORTRANGE(""1CGZ0Bai7Upqd4o8ih3likiFIYVFcX2B2CZFasZGKRII"",""Refined according to Results!B:J""),9,FALSE)"),"#N/A")</f>
        <v>#N/A</v>
      </c>
      <c r="Q71" s="45">
        <v>0.0</v>
      </c>
      <c r="R71" s="45"/>
      <c r="S71" s="45"/>
      <c r="T71" s="45"/>
    </row>
    <row r="72" ht="15.75" customHeight="1">
      <c r="A72" s="40">
        <v>71.0</v>
      </c>
      <c r="B72" s="30" t="s">
        <v>246</v>
      </c>
      <c r="C72" s="30" t="s">
        <v>14</v>
      </c>
      <c r="D72" s="30" t="s">
        <v>247</v>
      </c>
      <c r="E72" s="33">
        <v>7.5</v>
      </c>
      <c r="F72" s="33">
        <v>0.0</v>
      </c>
      <c r="G72" s="30" t="str">
        <f t="shared" si="1"/>
        <v>PASS</v>
      </c>
      <c r="H72" s="49" t="s">
        <v>46</v>
      </c>
      <c r="I72" s="47" t="s">
        <v>27</v>
      </c>
      <c r="J72" s="43">
        <v>0.0</v>
      </c>
      <c r="K72" s="52"/>
      <c r="L72" s="28">
        <f t="shared" si="5"/>
        <v>0</v>
      </c>
      <c r="M72" s="28" t="str">
        <f>IFERROR(__xludf.DUMMYFUNCTION("VLOOKUP(B72,IMPORTRANGE(""1CGZ0Bai7Upqd4o8ih3likiFIYVFcX2B2CZFasZGKRII"",""Refined according to Results!B:J""),9,FALSE)"),"#N/A")</f>
        <v>#N/A</v>
      </c>
      <c r="Q72" s="45">
        <v>0.0</v>
      </c>
      <c r="R72" s="45"/>
      <c r="S72" s="45"/>
      <c r="T72" s="45"/>
    </row>
    <row r="73" ht="15.75" customHeight="1">
      <c r="A73" s="40">
        <v>72.0</v>
      </c>
      <c r="B73" s="30" t="s">
        <v>248</v>
      </c>
      <c r="C73" s="30" t="s">
        <v>14</v>
      </c>
      <c r="D73" s="30" t="s">
        <v>249</v>
      </c>
      <c r="E73" s="33">
        <v>8.03</v>
      </c>
      <c r="F73" s="33">
        <v>0.0</v>
      </c>
      <c r="G73" s="30" t="str">
        <f t="shared" si="1"/>
        <v>PASS</v>
      </c>
      <c r="H73" s="46" t="s">
        <v>60</v>
      </c>
      <c r="I73" s="47" t="s">
        <v>27</v>
      </c>
      <c r="J73" s="43">
        <v>0.0</v>
      </c>
      <c r="K73" s="51"/>
      <c r="L73" s="28">
        <f t="shared" si="5"/>
        <v>0</v>
      </c>
      <c r="M73" s="28" t="str">
        <f>IFERROR(__xludf.DUMMYFUNCTION("VLOOKUP(B73,IMPORTRANGE(""1CGZ0Bai7Upqd4o8ih3likiFIYVFcX2B2CZFasZGKRII"",""Refined according to Results!B:J""),9,FALSE)"),"#N/A")</f>
        <v>#N/A</v>
      </c>
      <c r="Q73" s="45">
        <v>0.0</v>
      </c>
      <c r="R73" s="45"/>
      <c r="S73" s="45"/>
      <c r="T73" s="45"/>
    </row>
    <row r="74" ht="15.75" customHeight="1">
      <c r="A74" s="40">
        <v>73.0</v>
      </c>
      <c r="B74" s="30" t="s">
        <v>250</v>
      </c>
      <c r="C74" s="30" t="s">
        <v>15</v>
      </c>
      <c r="D74" s="30" t="s">
        <v>251</v>
      </c>
      <c r="E74" s="41">
        <v>9.3</v>
      </c>
      <c r="F74" s="33">
        <v>0.0</v>
      </c>
      <c r="G74" s="30" t="str">
        <f t="shared" si="1"/>
        <v>PASS</v>
      </c>
      <c r="H74" s="49" t="s">
        <v>60</v>
      </c>
      <c r="I74" s="47" t="s">
        <v>27</v>
      </c>
      <c r="J74" s="43">
        <v>0.0</v>
      </c>
      <c r="K74" s="44" t="s">
        <v>252</v>
      </c>
      <c r="L74" s="45">
        <v>2.0</v>
      </c>
      <c r="M74" s="28">
        <f>IFERROR(__xludf.DUMMYFUNCTION("VLOOKUP(B74,IMPORTRANGE(""1CGZ0Bai7Upqd4o8ih3likiFIYVFcX2B2CZFasZGKRII"",""Refined according to Results!B:J""),9,FALSE)"),9.33)</f>
        <v>9.33</v>
      </c>
      <c r="Q74" s="45" t="s">
        <v>48</v>
      </c>
      <c r="R74" s="45" t="s">
        <v>79</v>
      </c>
      <c r="S74" s="45"/>
      <c r="T74" s="45"/>
    </row>
    <row r="75" ht="15.75" customHeight="1">
      <c r="A75" s="40">
        <v>74.0</v>
      </c>
      <c r="B75" s="30" t="s">
        <v>253</v>
      </c>
      <c r="C75" s="30" t="s">
        <v>15</v>
      </c>
      <c r="D75" s="30" t="s">
        <v>254</v>
      </c>
      <c r="E75" s="41">
        <v>7.69</v>
      </c>
      <c r="F75" s="33">
        <v>0.0</v>
      </c>
      <c r="G75" s="30" t="str">
        <f t="shared" si="1"/>
        <v>PASS</v>
      </c>
      <c r="H75" s="46" t="s">
        <v>46</v>
      </c>
      <c r="I75" s="47" t="s">
        <v>28</v>
      </c>
      <c r="J75" s="43">
        <v>0.0</v>
      </c>
      <c r="K75" s="48" t="s">
        <v>255</v>
      </c>
      <c r="L75" s="45">
        <v>1.0</v>
      </c>
      <c r="M75" s="28">
        <f>IFERROR(__xludf.DUMMYFUNCTION("VLOOKUP(B75,IMPORTRANGE(""1CGZ0Bai7Upqd4o8ih3likiFIYVFcX2B2CZFasZGKRII"",""Refined according to Results!B:J""),9,FALSE)"),7.13)</f>
        <v>7.13</v>
      </c>
      <c r="Q75" s="45">
        <v>0.0</v>
      </c>
      <c r="R75" s="45"/>
      <c r="S75" s="45"/>
      <c r="T75" s="45"/>
    </row>
    <row r="76" ht="15.75" customHeight="1">
      <c r="A76" s="40">
        <v>75.0</v>
      </c>
      <c r="B76" s="30" t="s">
        <v>256</v>
      </c>
      <c r="C76" s="30" t="s">
        <v>15</v>
      </c>
      <c r="D76" s="30" t="s">
        <v>257</v>
      </c>
      <c r="E76" s="41">
        <v>8.65</v>
      </c>
      <c r="F76" s="33">
        <v>0.0</v>
      </c>
      <c r="G76" s="30" t="str">
        <f t="shared" si="1"/>
        <v>PASS</v>
      </c>
      <c r="H76" s="49" t="s">
        <v>46</v>
      </c>
      <c r="I76" s="47" t="s">
        <v>27</v>
      </c>
      <c r="J76" s="43">
        <v>0.0</v>
      </c>
      <c r="K76" s="44" t="s">
        <v>52</v>
      </c>
      <c r="L76" s="28">
        <v>1.0</v>
      </c>
      <c r="M76" s="28">
        <f>IFERROR(__xludf.DUMMYFUNCTION("VLOOKUP(B76,IMPORTRANGE(""1CGZ0Bai7Upqd4o8ih3likiFIYVFcX2B2CZFasZGKRII"",""Refined according to Results!B:J""),9,FALSE)"),8.51)</f>
        <v>8.51</v>
      </c>
      <c r="Q76" s="45" t="s">
        <v>52</v>
      </c>
      <c r="R76" s="45"/>
      <c r="S76" s="45"/>
      <c r="T76" s="45"/>
    </row>
    <row r="77" ht="15.75" customHeight="1">
      <c r="A77" s="40">
        <v>76.0</v>
      </c>
      <c r="B77" s="30" t="s">
        <v>258</v>
      </c>
      <c r="C77" s="30" t="s">
        <v>15</v>
      </c>
      <c r="D77" s="30" t="s">
        <v>259</v>
      </c>
      <c r="E77" s="41">
        <v>7.92</v>
      </c>
      <c r="F77" s="33">
        <v>0.0</v>
      </c>
      <c r="G77" s="30" t="str">
        <f t="shared" si="1"/>
        <v>PASS</v>
      </c>
      <c r="H77" s="46" t="s">
        <v>60</v>
      </c>
      <c r="I77" s="47" t="s">
        <v>27</v>
      </c>
      <c r="J77" s="43">
        <v>0.0</v>
      </c>
      <c r="K77" s="51"/>
      <c r="L77" s="28">
        <f>LEN(H77)-LEN(SUBSTITUTE(H77," &amp; "," "))</f>
        <v>0</v>
      </c>
      <c r="M77" s="28">
        <f>IFERROR(__xludf.DUMMYFUNCTION("VLOOKUP(B77,IMPORTRANGE(""1CGZ0Bai7Upqd4o8ih3likiFIYVFcX2B2CZFasZGKRII"",""Refined according to Results!B:J""),9,FALSE)"),7.68)</f>
        <v>7.68</v>
      </c>
      <c r="Q77" s="45">
        <v>0.0</v>
      </c>
      <c r="R77" s="45"/>
      <c r="S77" s="45"/>
      <c r="T77" s="45"/>
    </row>
    <row r="78" ht="15.75" customHeight="1">
      <c r="A78" s="40">
        <v>77.0</v>
      </c>
      <c r="B78" s="30" t="s">
        <v>260</v>
      </c>
      <c r="C78" s="30" t="s">
        <v>15</v>
      </c>
      <c r="D78" s="30" t="s">
        <v>261</v>
      </c>
      <c r="E78" s="50"/>
      <c r="F78" s="33">
        <v>7.0</v>
      </c>
      <c r="G78" s="30" t="str">
        <f t="shared" si="1"/>
        <v>FAIL</v>
      </c>
      <c r="H78" s="49" t="s">
        <v>46</v>
      </c>
      <c r="I78" s="47" t="s">
        <v>27</v>
      </c>
      <c r="J78" s="43">
        <v>0.0</v>
      </c>
      <c r="K78" s="52"/>
      <c r="L78" s="28">
        <v>0.0</v>
      </c>
      <c r="M78" s="28" t="str">
        <f>IFERROR(__xludf.DUMMYFUNCTION("VLOOKUP(B78,IMPORTRANGE(""1CGZ0Bai7Upqd4o8ih3likiFIYVFcX2B2CZFasZGKRII"",""Refined according to Results!B:J""),9,FALSE)"),"")</f>
        <v/>
      </c>
      <c r="Q78" s="45">
        <v>0.0</v>
      </c>
      <c r="R78" s="45"/>
      <c r="S78" s="45"/>
      <c r="T78" s="45"/>
    </row>
    <row r="79" ht="15.75" customHeight="1">
      <c r="A79" s="40">
        <v>78.0</v>
      </c>
      <c r="B79" s="30" t="s">
        <v>262</v>
      </c>
      <c r="C79" s="30" t="s">
        <v>15</v>
      </c>
      <c r="D79" s="30" t="s">
        <v>263</v>
      </c>
      <c r="E79" s="50"/>
      <c r="F79" s="33">
        <v>1.0</v>
      </c>
      <c r="G79" s="30" t="str">
        <f t="shared" si="1"/>
        <v>FAIL</v>
      </c>
      <c r="H79" s="46" t="s">
        <v>46</v>
      </c>
      <c r="I79" s="47" t="s">
        <v>27</v>
      </c>
      <c r="J79" s="43">
        <v>0.0</v>
      </c>
      <c r="K79" s="51"/>
      <c r="L79" s="28">
        <f>LEN(H79)-LEN(SUBSTITUTE(H79," &amp; "," "))</f>
        <v>0</v>
      </c>
      <c r="M79" s="28" t="str">
        <f>IFERROR(__xludf.DUMMYFUNCTION("VLOOKUP(B79,IMPORTRANGE(""1CGZ0Bai7Upqd4o8ih3likiFIYVFcX2B2CZFasZGKRII"",""Refined according to Results!B:J""),9,FALSE)"),"")</f>
        <v/>
      </c>
      <c r="Q79" s="45">
        <v>0.0</v>
      </c>
      <c r="R79" s="45"/>
      <c r="S79" s="45"/>
      <c r="T79" s="45"/>
    </row>
    <row r="80" ht="15.75" customHeight="1">
      <c r="A80" s="40">
        <v>79.0</v>
      </c>
      <c r="B80" s="30" t="s">
        <v>264</v>
      </c>
      <c r="C80" s="30" t="s">
        <v>15</v>
      </c>
      <c r="D80" s="30" t="s">
        <v>265</v>
      </c>
      <c r="E80" s="41">
        <v>9.15</v>
      </c>
      <c r="F80" s="33">
        <v>0.0</v>
      </c>
      <c r="G80" s="30" t="str">
        <f t="shared" si="1"/>
        <v>PASS</v>
      </c>
      <c r="H80" s="49" t="s">
        <v>60</v>
      </c>
      <c r="I80" s="47" t="s">
        <v>27</v>
      </c>
      <c r="J80" s="43" t="s">
        <v>75</v>
      </c>
      <c r="K80" s="44" t="s">
        <v>75</v>
      </c>
      <c r="L80" s="45">
        <v>1.0</v>
      </c>
      <c r="M80" s="28">
        <f>IFERROR(__xludf.DUMMYFUNCTION("VLOOKUP(B80,IMPORTRANGE(""1CGZ0Bai7Upqd4o8ih3likiFIYVFcX2B2CZFasZGKRII"",""Refined according to Results!B:J""),9,FALSE)"),9.4)</f>
        <v>9.4</v>
      </c>
      <c r="Q80" s="45" t="s">
        <v>75</v>
      </c>
      <c r="R80" s="45"/>
      <c r="S80" s="45"/>
      <c r="T80" s="45"/>
    </row>
    <row r="81" ht="15.75" customHeight="1">
      <c r="A81" s="40">
        <v>80.0</v>
      </c>
      <c r="B81" s="30" t="s">
        <v>266</v>
      </c>
      <c r="C81" s="30" t="s">
        <v>15</v>
      </c>
      <c r="D81" s="30" t="s">
        <v>267</v>
      </c>
      <c r="E81" s="41">
        <v>8.98</v>
      </c>
      <c r="F81" s="33">
        <v>0.0</v>
      </c>
      <c r="G81" s="30" t="str">
        <f t="shared" si="1"/>
        <v>PASS</v>
      </c>
      <c r="H81" s="46" t="s">
        <v>46</v>
      </c>
      <c r="I81" s="57" t="s">
        <v>27</v>
      </c>
      <c r="J81" s="58" t="s">
        <v>61</v>
      </c>
      <c r="K81" s="48" t="s">
        <v>268</v>
      </c>
      <c r="L81" s="45">
        <v>4.0</v>
      </c>
      <c r="M81" s="28">
        <f>IFERROR(__xludf.DUMMYFUNCTION("VLOOKUP(B81,IMPORTRANGE(""1CGZ0Bai7Upqd4o8ih3likiFIYVFcX2B2CZFasZGKRII"",""Refined according to Results!B:J""),9,FALSE)"),9.04)</f>
        <v>9.04</v>
      </c>
      <c r="Q81" s="45" t="s">
        <v>80</v>
      </c>
      <c r="R81" s="45" t="s">
        <v>63</v>
      </c>
      <c r="S81" s="45"/>
      <c r="T81" s="45"/>
    </row>
    <row r="82" ht="15.75" customHeight="1">
      <c r="A82" s="40">
        <v>81.0</v>
      </c>
      <c r="B82" s="30" t="s">
        <v>269</v>
      </c>
      <c r="C82" s="30" t="s">
        <v>15</v>
      </c>
      <c r="D82" s="30" t="s">
        <v>270</v>
      </c>
      <c r="E82" s="41">
        <v>8.89</v>
      </c>
      <c r="F82" s="33">
        <v>0.0</v>
      </c>
      <c r="G82" s="30" t="str">
        <f t="shared" si="1"/>
        <v>PASS</v>
      </c>
      <c r="H82" s="49" t="s">
        <v>60</v>
      </c>
      <c r="I82" s="47" t="s">
        <v>27</v>
      </c>
      <c r="J82" s="43">
        <v>0.0</v>
      </c>
      <c r="K82" s="44" t="s">
        <v>271</v>
      </c>
      <c r="L82" s="45">
        <v>1.0</v>
      </c>
      <c r="M82" s="28">
        <f>IFERROR(__xludf.DUMMYFUNCTION("VLOOKUP(B82,IMPORTRANGE(""1CGZ0Bai7Upqd4o8ih3likiFIYVFcX2B2CZFasZGKRII"",""Refined according to Results!B:J""),9,FALSE)"),8.79)</f>
        <v>8.79</v>
      </c>
      <c r="Q82" s="45">
        <v>0.0</v>
      </c>
      <c r="R82" s="45"/>
      <c r="S82" s="45"/>
      <c r="T82" s="45"/>
    </row>
    <row r="83" ht="15.75" customHeight="1">
      <c r="A83" s="40">
        <v>82.0</v>
      </c>
      <c r="B83" s="30" t="s">
        <v>272</v>
      </c>
      <c r="C83" s="30" t="s">
        <v>15</v>
      </c>
      <c r="D83" s="30" t="s">
        <v>273</v>
      </c>
      <c r="E83" s="41">
        <v>7.9</v>
      </c>
      <c r="F83" s="33">
        <v>0.0</v>
      </c>
      <c r="G83" s="30" t="str">
        <f t="shared" si="1"/>
        <v>PASS</v>
      </c>
      <c r="H83" s="46" t="s">
        <v>60</v>
      </c>
      <c r="I83" s="47" t="s">
        <v>27</v>
      </c>
      <c r="J83" s="43">
        <v>0.0</v>
      </c>
      <c r="K83" s="51"/>
      <c r="L83" s="28">
        <v>0.0</v>
      </c>
      <c r="M83" s="28">
        <f>IFERROR(__xludf.DUMMYFUNCTION("VLOOKUP(B83,IMPORTRANGE(""1CGZ0Bai7Upqd4o8ih3likiFIYVFcX2B2CZFasZGKRII"",""Refined according to Results!B:J""),9,FALSE)"),7.42)</f>
        <v>7.42</v>
      </c>
      <c r="Q83" s="45">
        <v>0.0</v>
      </c>
      <c r="R83" s="45"/>
      <c r="S83" s="45"/>
      <c r="T83" s="45"/>
    </row>
    <row r="84" ht="15.75" customHeight="1">
      <c r="A84" s="40">
        <v>83.0</v>
      </c>
      <c r="B84" s="30" t="s">
        <v>274</v>
      </c>
      <c r="C84" s="30" t="s">
        <v>15</v>
      </c>
      <c r="D84" s="30" t="s">
        <v>275</v>
      </c>
      <c r="E84" s="41">
        <v>9.05</v>
      </c>
      <c r="F84" s="33">
        <v>0.0</v>
      </c>
      <c r="G84" s="30" t="str">
        <f t="shared" si="1"/>
        <v>PASS</v>
      </c>
      <c r="H84" s="49" t="s">
        <v>46</v>
      </c>
      <c r="I84" s="47" t="s">
        <v>27</v>
      </c>
      <c r="J84" s="43" t="s">
        <v>61</v>
      </c>
      <c r="K84" s="52"/>
      <c r="L84" s="28">
        <v>0.0</v>
      </c>
      <c r="M84" s="28">
        <f>IFERROR(__xludf.DUMMYFUNCTION("VLOOKUP(B84,IMPORTRANGE(""1CGZ0Bai7Upqd4o8ih3likiFIYVFcX2B2CZFasZGKRII"",""Refined according to Results!B:J""),9,FALSE)"),8.97)</f>
        <v>8.97</v>
      </c>
      <c r="Q84" s="45">
        <v>0.0</v>
      </c>
      <c r="R84" s="45"/>
      <c r="S84" s="45"/>
      <c r="T84" s="45"/>
    </row>
    <row r="85" ht="15.75" customHeight="1">
      <c r="A85" s="40">
        <v>84.0</v>
      </c>
      <c r="B85" s="30" t="s">
        <v>276</v>
      </c>
      <c r="C85" s="30" t="s">
        <v>15</v>
      </c>
      <c r="D85" s="30" t="s">
        <v>277</v>
      </c>
      <c r="E85" s="41">
        <v>8.27</v>
      </c>
      <c r="F85" s="33">
        <v>0.0</v>
      </c>
      <c r="G85" s="30" t="str">
        <f t="shared" si="1"/>
        <v>PASS</v>
      </c>
      <c r="H85" s="46" t="s">
        <v>46</v>
      </c>
      <c r="I85" s="47" t="s">
        <v>27</v>
      </c>
      <c r="J85" s="43">
        <v>0.0</v>
      </c>
      <c r="K85" s="48" t="s">
        <v>278</v>
      </c>
      <c r="L85" s="45">
        <v>2.0</v>
      </c>
      <c r="M85" s="28">
        <f>IFERROR(__xludf.DUMMYFUNCTION("VLOOKUP(B85,IMPORTRANGE(""1CGZ0Bai7Upqd4o8ih3likiFIYVFcX2B2CZFasZGKRII"",""Refined according to Results!B:J""),9,FALSE)"),7.99)</f>
        <v>7.99</v>
      </c>
      <c r="Q85" s="45" t="s">
        <v>52</v>
      </c>
      <c r="R85" s="45"/>
      <c r="S85" s="45"/>
      <c r="T85" s="45"/>
    </row>
    <row r="86" ht="15.75" customHeight="1">
      <c r="A86" s="40">
        <v>85.0</v>
      </c>
      <c r="B86" s="30" t="s">
        <v>279</v>
      </c>
      <c r="C86" s="30" t="s">
        <v>15</v>
      </c>
      <c r="D86" s="30" t="s">
        <v>280</v>
      </c>
      <c r="E86" s="41">
        <v>8.74</v>
      </c>
      <c r="F86" s="33">
        <v>0.0</v>
      </c>
      <c r="G86" s="30" t="str">
        <f t="shared" si="1"/>
        <v>PASS</v>
      </c>
      <c r="H86" s="49" t="s">
        <v>60</v>
      </c>
      <c r="I86" s="47" t="s">
        <v>27</v>
      </c>
      <c r="J86" s="43">
        <v>0.0</v>
      </c>
      <c r="K86" s="44" t="s">
        <v>281</v>
      </c>
      <c r="L86" s="45">
        <v>2.0</v>
      </c>
      <c r="M86" s="28">
        <f>IFERROR(__xludf.DUMMYFUNCTION("VLOOKUP(B86,IMPORTRANGE(""1CGZ0Bai7Upqd4o8ih3likiFIYVFcX2B2CZFasZGKRII"",""Refined according to Results!B:J""),9,FALSE)"),8.88)</f>
        <v>8.88</v>
      </c>
      <c r="Q86" s="45">
        <v>0.0</v>
      </c>
      <c r="R86" s="45"/>
      <c r="S86" s="45"/>
      <c r="T86" s="45"/>
    </row>
    <row r="87" ht="15.75" customHeight="1">
      <c r="A87" s="40">
        <v>86.0</v>
      </c>
      <c r="B87" s="30" t="s">
        <v>282</v>
      </c>
      <c r="C87" s="30" t="s">
        <v>15</v>
      </c>
      <c r="D87" s="30" t="s">
        <v>283</v>
      </c>
      <c r="E87" s="41">
        <v>8.61</v>
      </c>
      <c r="F87" s="33">
        <v>0.0</v>
      </c>
      <c r="G87" s="30" t="str">
        <f t="shared" si="1"/>
        <v>PASS</v>
      </c>
      <c r="H87" s="46" t="s">
        <v>46</v>
      </c>
      <c r="I87" s="47" t="s">
        <v>27</v>
      </c>
      <c r="J87" s="43">
        <v>0.0</v>
      </c>
      <c r="K87" s="48" t="s">
        <v>284</v>
      </c>
      <c r="L87" s="45">
        <v>2.0</v>
      </c>
      <c r="M87" s="28">
        <f>IFERROR(__xludf.DUMMYFUNCTION("VLOOKUP(B87,IMPORTRANGE(""1CGZ0Bai7Upqd4o8ih3likiFIYVFcX2B2CZFasZGKRII"",""Refined according to Results!B:J""),9,FALSE)"),8.81)</f>
        <v>8.81</v>
      </c>
      <c r="Q87" s="45" t="s">
        <v>48</v>
      </c>
      <c r="R87" s="45"/>
      <c r="S87" s="45"/>
      <c r="T87" s="45"/>
    </row>
    <row r="88" ht="15.75" customHeight="1">
      <c r="A88" s="40">
        <v>87.0</v>
      </c>
      <c r="B88" s="30" t="s">
        <v>285</v>
      </c>
      <c r="C88" s="30" t="s">
        <v>15</v>
      </c>
      <c r="D88" s="30" t="s">
        <v>286</v>
      </c>
      <c r="E88" s="41">
        <v>8.74</v>
      </c>
      <c r="F88" s="33">
        <v>0.0</v>
      </c>
      <c r="G88" s="30" t="str">
        <f t="shared" si="1"/>
        <v>PASS</v>
      </c>
      <c r="H88" s="49" t="s">
        <v>46</v>
      </c>
      <c r="I88" s="47" t="s">
        <v>27</v>
      </c>
      <c r="J88" s="43">
        <v>0.0</v>
      </c>
      <c r="K88" s="44" t="s">
        <v>237</v>
      </c>
      <c r="L88" s="45">
        <v>1.0</v>
      </c>
      <c r="M88" s="28">
        <f>IFERROR(__xludf.DUMMYFUNCTION("VLOOKUP(B88,IMPORTRANGE(""1CGZ0Bai7Upqd4o8ih3likiFIYVFcX2B2CZFasZGKRII"",""Refined according to Results!B:J""),9,FALSE)"),8.73)</f>
        <v>8.73</v>
      </c>
      <c r="N88" s="28">
        <f>COUNTIF(K2:K358,"*Infosys *")</f>
        <v>0</v>
      </c>
      <c r="Q88" s="45">
        <v>0.0</v>
      </c>
      <c r="R88" s="45"/>
      <c r="S88" s="45"/>
      <c r="T88" s="45"/>
    </row>
    <row r="89" ht="15.75" customHeight="1">
      <c r="A89" s="40">
        <v>88.0</v>
      </c>
      <c r="B89" s="30" t="s">
        <v>287</v>
      </c>
      <c r="C89" s="30" t="s">
        <v>15</v>
      </c>
      <c r="D89" s="30" t="s">
        <v>288</v>
      </c>
      <c r="E89" s="41">
        <v>8.15</v>
      </c>
      <c r="F89" s="33">
        <v>0.0</v>
      </c>
      <c r="G89" s="30" t="str">
        <f t="shared" si="1"/>
        <v>PASS</v>
      </c>
      <c r="H89" s="46" t="s">
        <v>46</v>
      </c>
      <c r="I89" s="47" t="s">
        <v>27</v>
      </c>
      <c r="J89" s="43">
        <v>0.0</v>
      </c>
      <c r="K89" s="48" t="s">
        <v>122</v>
      </c>
      <c r="L89" s="45">
        <v>2.0</v>
      </c>
      <c r="M89" s="28">
        <f>IFERROR(__xludf.DUMMYFUNCTION("VLOOKUP(B89,IMPORTRANGE(""1CGZ0Bai7Upqd4o8ih3likiFIYVFcX2B2CZFasZGKRII"",""Refined according to Results!B:J""),9,FALSE)"),8.19)</f>
        <v>8.19</v>
      </c>
      <c r="N89" s="28">
        <f>COUNTIF(K3:K359,"*Infosys1-se*")</f>
        <v>17</v>
      </c>
      <c r="Q89" s="45" t="s">
        <v>63</v>
      </c>
      <c r="R89" s="45"/>
      <c r="S89" s="45"/>
      <c r="T89" s="45"/>
    </row>
    <row r="90" ht="15.75" customHeight="1">
      <c r="A90" s="40">
        <v>89.0</v>
      </c>
      <c r="B90" s="30" t="s">
        <v>289</v>
      </c>
      <c r="C90" s="30" t="s">
        <v>15</v>
      </c>
      <c r="D90" s="30" t="s">
        <v>290</v>
      </c>
      <c r="E90" s="41">
        <v>8.31</v>
      </c>
      <c r="F90" s="33">
        <v>0.0</v>
      </c>
      <c r="G90" s="30" t="str">
        <f t="shared" si="1"/>
        <v>PASS</v>
      </c>
      <c r="H90" s="49" t="s">
        <v>46</v>
      </c>
      <c r="I90" s="47" t="s">
        <v>28</v>
      </c>
      <c r="J90" s="43">
        <v>0.0</v>
      </c>
      <c r="K90" s="44" t="s">
        <v>52</v>
      </c>
      <c r="L90" s="28">
        <v>1.0</v>
      </c>
      <c r="M90" s="28">
        <f>IFERROR(__xludf.DUMMYFUNCTION("VLOOKUP(B90,IMPORTRANGE(""1CGZ0Bai7Upqd4o8ih3likiFIYVFcX2B2CZFasZGKRII"",""Refined according to Results!B:J""),9,FALSE)"),8.73)</f>
        <v>8.73</v>
      </c>
      <c r="Q90" s="45" t="s">
        <v>52</v>
      </c>
      <c r="R90" s="45"/>
      <c r="S90" s="45"/>
      <c r="T90" s="45"/>
    </row>
    <row r="91" ht="15.75" customHeight="1">
      <c r="A91" s="40">
        <v>90.0</v>
      </c>
      <c r="B91" s="30" t="s">
        <v>291</v>
      </c>
      <c r="C91" s="30" t="s">
        <v>15</v>
      </c>
      <c r="D91" s="30" t="s">
        <v>292</v>
      </c>
      <c r="E91" s="41">
        <v>8.95</v>
      </c>
      <c r="F91" s="33">
        <v>0.0</v>
      </c>
      <c r="G91" s="30" t="str">
        <f t="shared" si="1"/>
        <v>PASS</v>
      </c>
      <c r="H91" s="46" t="s">
        <v>46</v>
      </c>
      <c r="I91" s="47" t="s">
        <v>27</v>
      </c>
      <c r="J91" s="43">
        <v>0.0</v>
      </c>
      <c r="K91" s="48" t="s">
        <v>293</v>
      </c>
      <c r="L91" s="45">
        <v>5.0</v>
      </c>
      <c r="M91" s="28">
        <f>IFERROR(__xludf.DUMMYFUNCTION("VLOOKUP(B91,IMPORTRANGE(""1CGZ0Bai7Upqd4o8ih3likiFIYVFcX2B2CZFasZGKRII"",""Refined according to Results!B:J""),9,FALSE)"),9.18)</f>
        <v>9.18</v>
      </c>
      <c r="Q91" s="45" t="s">
        <v>52</v>
      </c>
      <c r="R91" s="45" t="s">
        <v>63</v>
      </c>
      <c r="S91" s="45"/>
      <c r="T91" s="45"/>
    </row>
    <row r="92" ht="15.75" customHeight="1">
      <c r="A92" s="40">
        <v>91.0</v>
      </c>
      <c r="B92" s="30" t="s">
        <v>294</v>
      </c>
      <c r="C92" s="30" t="s">
        <v>15</v>
      </c>
      <c r="D92" s="30" t="s">
        <v>295</v>
      </c>
      <c r="E92" s="41">
        <v>8.97</v>
      </c>
      <c r="F92" s="33">
        <v>0.0</v>
      </c>
      <c r="G92" s="30" t="str">
        <f t="shared" si="1"/>
        <v>PASS</v>
      </c>
      <c r="H92" s="49" t="s">
        <v>60</v>
      </c>
      <c r="I92" s="47" t="s">
        <v>27</v>
      </c>
      <c r="J92" s="43">
        <v>0.0</v>
      </c>
      <c r="K92" s="44" t="s">
        <v>296</v>
      </c>
      <c r="L92" s="45">
        <v>3.0</v>
      </c>
      <c r="M92" s="28">
        <f>IFERROR(__xludf.DUMMYFUNCTION("VLOOKUP(B92,IMPORTRANGE(""1CGZ0Bai7Upqd4o8ih3likiFIYVFcX2B2CZFasZGKRII"",""Refined according to Results!B:J""),9,FALSE)"),9.05)</f>
        <v>9.05</v>
      </c>
      <c r="Q92" s="45" t="s">
        <v>52</v>
      </c>
      <c r="R92" s="45" t="s">
        <v>63</v>
      </c>
      <c r="S92" s="45"/>
      <c r="T92" s="45"/>
    </row>
    <row r="93" ht="15.75" customHeight="1">
      <c r="A93" s="40">
        <v>92.0</v>
      </c>
      <c r="B93" s="30" t="s">
        <v>297</v>
      </c>
      <c r="C93" s="30" t="s">
        <v>15</v>
      </c>
      <c r="D93" s="30" t="s">
        <v>298</v>
      </c>
      <c r="E93" s="41">
        <v>9.01</v>
      </c>
      <c r="F93" s="33">
        <v>0.0</v>
      </c>
      <c r="G93" s="30" t="str">
        <f t="shared" si="1"/>
        <v>PASS</v>
      </c>
      <c r="H93" s="46" t="s">
        <v>60</v>
      </c>
      <c r="I93" s="47" t="s">
        <v>27</v>
      </c>
      <c r="J93" s="43">
        <v>0.0</v>
      </c>
      <c r="K93" s="48" t="s">
        <v>255</v>
      </c>
      <c r="L93" s="45">
        <v>1.0</v>
      </c>
      <c r="M93" s="28">
        <f>IFERROR(__xludf.DUMMYFUNCTION("VLOOKUP(B93,IMPORTRANGE(""1CGZ0Bai7Upqd4o8ih3likiFIYVFcX2B2CZFasZGKRII"",""Refined according to Results!B:J""),9,FALSE)"),9.03)</f>
        <v>9.03</v>
      </c>
      <c r="Q93" s="45">
        <v>0.0</v>
      </c>
      <c r="R93" s="45"/>
      <c r="S93" s="45"/>
      <c r="T93" s="45"/>
    </row>
    <row r="94" ht="15.75" customHeight="1">
      <c r="A94" s="40">
        <v>93.0</v>
      </c>
      <c r="B94" s="30" t="s">
        <v>299</v>
      </c>
      <c r="C94" s="30" t="s">
        <v>15</v>
      </c>
      <c r="D94" s="30" t="s">
        <v>300</v>
      </c>
      <c r="E94" s="41">
        <v>7.96</v>
      </c>
      <c r="F94" s="33">
        <v>0.0</v>
      </c>
      <c r="G94" s="30" t="str">
        <f t="shared" si="1"/>
        <v>PASS</v>
      </c>
      <c r="H94" s="49" t="s">
        <v>46</v>
      </c>
      <c r="I94" s="47" t="s">
        <v>27</v>
      </c>
      <c r="J94" s="43">
        <v>0.0</v>
      </c>
      <c r="K94" s="44" t="s">
        <v>151</v>
      </c>
      <c r="L94" s="45">
        <v>2.0</v>
      </c>
      <c r="M94" s="28">
        <f>IFERROR(__xludf.DUMMYFUNCTION("VLOOKUP(B94,IMPORTRANGE(""1CGZ0Bai7Upqd4o8ih3likiFIYVFcX2B2CZFasZGKRII"",""Refined according to Results!B:J""),9,FALSE)"),8.24)</f>
        <v>8.24</v>
      </c>
      <c r="Q94" s="45" t="s">
        <v>52</v>
      </c>
      <c r="R94" s="45"/>
      <c r="S94" s="45"/>
      <c r="T94" s="45"/>
    </row>
    <row r="95" ht="15.75" customHeight="1">
      <c r="A95" s="40">
        <v>94.0</v>
      </c>
      <c r="B95" s="30" t="s">
        <v>301</v>
      </c>
      <c r="C95" s="30" t="s">
        <v>15</v>
      </c>
      <c r="D95" s="30" t="s">
        <v>302</v>
      </c>
      <c r="E95" s="41">
        <v>8.07</v>
      </c>
      <c r="F95" s="33">
        <v>0.0</v>
      </c>
      <c r="G95" s="30" t="str">
        <f t="shared" si="1"/>
        <v>PASS</v>
      </c>
      <c r="H95" s="46" t="s">
        <v>46</v>
      </c>
      <c r="I95" s="47" t="s">
        <v>27</v>
      </c>
      <c r="J95" s="43">
        <v>0.0</v>
      </c>
      <c r="K95" s="48" t="s">
        <v>303</v>
      </c>
      <c r="L95" s="45">
        <v>2.0</v>
      </c>
      <c r="M95" s="28">
        <f>IFERROR(__xludf.DUMMYFUNCTION("VLOOKUP(B95,IMPORTRANGE(""1CGZ0Bai7Upqd4o8ih3likiFIYVFcX2B2CZFasZGKRII"",""Refined according to Results!B:J""),9,FALSE)"),8.06)</f>
        <v>8.06</v>
      </c>
      <c r="Q95" s="45">
        <v>0.0</v>
      </c>
      <c r="R95" s="45"/>
      <c r="S95" s="45"/>
      <c r="T95" s="45"/>
    </row>
    <row r="96" ht="15.75" customHeight="1">
      <c r="A96" s="40">
        <v>95.0</v>
      </c>
      <c r="B96" s="30" t="s">
        <v>304</v>
      </c>
      <c r="C96" s="30" t="s">
        <v>15</v>
      </c>
      <c r="D96" s="30" t="s">
        <v>305</v>
      </c>
      <c r="E96" s="41">
        <v>9.21</v>
      </c>
      <c r="F96" s="33">
        <v>0.0</v>
      </c>
      <c r="G96" s="30" t="str">
        <f t="shared" si="1"/>
        <v>PASS</v>
      </c>
      <c r="H96" s="49" t="s">
        <v>60</v>
      </c>
      <c r="I96" s="47" t="s">
        <v>27</v>
      </c>
      <c r="J96" s="43" t="s">
        <v>306</v>
      </c>
      <c r="K96" s="44" t="s">
        <v>307</v>
      </c>
      <c r="L96" s="45">
        <v>2.0</v>
      </c>
      <c r="M96" s="28">
        <f>IFERROR(__xludf.DUMMYFUNCTION("VLOOKUP(B96,IMPORTRANGE(""1CGZ0Bai7Upqd4o8ih3likiFIYVFcX2B2CZFasZGKRII"",""Refined according to Results!B:J""),9,FALSE)"),9.18)</f>
        <v>9.18</v>
      </c>
      <c r="Q96" s="45" t="s">
        <v>48</v>
      </c>
      <c r="R96" s="45"/>
      <c r="S96" s="45"/>
      <c r="T96" s="45"/>
    </row>
    <row r="97" ht="15.75" customHeight="1">
      <c r="A97" s="40">
        <v>96.0</v>
      </c>
      <c r="B97" s="30" t="s">
        <v>308</v>
      </c>
      <c r="C97" s="30" t="s">
        <v>15</v>
      </c>
      <c r="D97" s="30" t="s">
        <v>309</v>
      </c>
      <c r="E97" s="50"/>
      <c r="F97" s="33">
        <v>1.0</v>
      </c>
      <c r="G97" s="30" t="str">
        <f t="shared" si="1"/>
        <v>FAIL</v>
      </c>
      <c r="H97" s="46" t="s">
        <v>46</v>
      </c>
      <c r="I97" s="47" t="s">
        <v>27</v>
      </c>
      <c r="J97" s="43">
        <v>0.0</v>
      </c>
      <c r="K97" s="48" t="s">
        <v>310</v>
      </c>
      <c r="L97" s="45">
        <v>1.0</v>
      </c>
      <c r="M97" s="28">
        <f>IFERROR(__xludf.DUMMYFUNCTION("VLOOKUP(B97,IMPORTRANGE(""1CGZ0Bai7Upqd4o8ih3likiFIYVFcX2B2CZFasZGKRII"",""Refined according to Results!B:J""),9,FALSE)"),7.92)</f>
        <v>7.92</v>
      </c>
      <c r="Q97" s="45">
        <v>0.0</v>
      </c>
      <c r="R97" s="45"/>
      <c r="S97" s="45"/>
      <c r="T97" s="45"/>
    </row>
    <row r="98" ht="15.75" customHeight="1">
      <c r="A98" s="40">
        <v>97.0</v>
      </c>
      <c r="B98" s="30" t="s">
        <v>311</v>
      </c>
      <c r="C98" s="30" t="s">
        <v>15</v>
      </c>
      <c r="D98" s="30" t="s">
        <v>312</v>
      </c>
      <c r="E98" s="41">
        <v>9.18</v>
      </c>
      <c r="F98" s="33">
        <v>0.0</v>
      </c>
      <c r="G98" s="30" t="str">
        <f t="shared" si="1"/>
        <v>PASS</v>
      </c>
      <c r="H98" s="49" t="s">
        <v>60</v>
      </c>
      <c r="I98" s="47" t="s">
        <v>27</v>
      </c>
      <c r="J98" s="43">
        <v>0.0</v>
      </c>
      <c r="K98" s="44" t="s">
        <v>313</v>
      </c>
      <c r="L98" s="45">
        <v>6.0</v>
      </c>
      <c r="M98" s="28">
        <f>IFERROR(__xludf.DUMMYFUNCTION("VLOOKUP(B98,IMPORTRANGE(""1CGZ0Bai7Upqd4o8ih3likiFIYVFcX2B2CZFasZGKRII"",""Refined according to Results!B:J""),9,FALSE)"),9.47)</f>
        <v>9.47</v>
      </c>
      <c r="Q98" s="45" t="s">
        <v>80</v>
      </c>
      <c r="R98" s="45" t="s">
        <v>66</v>
      </c>
      <c r="S98" s="45" t="s">
        <v>63</v>
      </c>
      <c r="T98" s="45"/>
    </row>
    <row r="99" ht="15.75" customHeight="1">
      <c r="A99" s="40">
        <v>98.0</v>
      </c>
      <c r="B99" s="30" t="s">
        <v>314</v>
      </c>
      <c r="C99" s="30" t="s">
        <v>15</v>
      </c>
      <c r="D99" s="30" t="s">
        <v>315</v>
      </c>
      <c r="E99" s="41">
        <v>9.22</v>
      </c>
      <c r="F99" s="33">
        <v>0.0</v>
      </c>
      <c r="G99" s="30" t="str">
        <f t="shared" si="1"/>
        <v>PASS</v>
      </c>
      <c r="H99" s="46" t="s">
        <v>46</v>
      </c>
      <c r="I99" s="47" t="s">
        <v>28</v>
      </c>
      <c r="J99" s="43">
        <v>0.0</v>
      </c>
      <c r="K99" s="48" t="s">
        <v>316</v>
      </c>
      <c r="L99" s="45">
        <v>4.0</v>
      </c>
      <c r="M99" s="28">
        <f>IFERROR(__xludf.DUMMYFUNCTION("VLOOKUP(B99,IMPORTRANGE(""1CGZ0Bai7Upqd4o8ih3likiFIYVFcX2B2CZFasZGKRII"",""Refined according to Results!B:J""),9,FALSE)"),9.13)</f>
        <v>9.13</v>
      </c>
      <c r="Q99" s="45" t="s">
        <v>52</v>
      </c>
      <c r="R99" s="45"/>
      <c r="S99" s="45"/>
      <c r="T99" s="45"/>
    </row>
    <row r="100" ht="15.75" customHeight="1">
      <c r="A100" s="40">
        <v>99.0</v>
      </c>
      <c r="B100" s="30" t="s">
        <v>317</v>
      </c>
      <c r="C100" s="30" t="s">
        <v>15</v>
      </c>
      <c r="D100" s="30" t="s">
        <v>318</v>
      </c>
      <c r="E100" s="41">
        <v>8.96</v>
      </c>
      <c r="F100" s="33">
        <v>0.0</v>
      </c>
      <c r="G100" s="30" t="str">
        <f t="shared" si="1"/>
        <v>PASS</v>
      </c>
      <c r="H100" s="49" t="s">
        <v>60</v>
      </c>
      <c r="I100" s="47" t="s">
        <v>28</v>
      </c>
      <c r="J100" s="43">
        <v>0.0</v>
      </c>
      <c r="K100" s="44" t="s">
        <v>319</v>
      </c>
      <c r="L100" s="45">
        <v>2.0</v>
      </c>
      <c r="M100" s="28">
        <f>IFERROR(__xludf.DUMMYFUNCTION("VLOOKUP(B100,IMPORTRANGE(""1CGZ0Bai7Upqd4o8ih3likiFIYVFcX2B2CZFasZGKRII"",""Refined according to Results!B:J""),9,FALSE)"),9.13)</f>
        <v>9.13</v>
      </c>
      <c r="Q100" s="45" t="s">
        <v>79</v>
      </c>
      <c r="R100" s="45"/>
      <c r="S100" s="45"/>
      <c r="T100" s="45"/>
    </row>
    <row r="101" ht="15.75" customHeight="1">
      <c r="A101" s="40">
        <v>100.0</v>
      </c>
      <c r="B101" s="30" t="s">
        <v>320</v>
      </c>
      <c r="C101" s="30" t="s">
        <v>15</v>
      </c>
      <c r="D101" s="30" t="s">
        <v>321</v>
      </c>
      <c r="E101" s="41">
        <v>9.13</v>
      </c>
      <c r="F101" s="33">
        <v>0.0</v>
      </c>
      <c r="G101" s="30" t="str">
        <f t="shared" si="1"/>
        <v>PASS</v>
      </c>
      <c r="H101" s="46" t="s">
        <v>60</v>
      </c>
      <c r="I101" s="47" t="s">
        <v>27</v>
      </c>
      <c r="J101" s="43" t="s">
        <v>75</v>
      </c>
      <c r="K101" s="48" t="s">
        <v>322</v>
      </c>
      <c r="L101" s="45">
        <v>3.0</v>
      </c>
      <c r="M101" s="28">
        <f>IFERROR(__xludf.DUMMYFUNCTION("VLOOKUP(B101,IMPORTRANGE(""1CGZ0Bai7Upqd4o8ih3likiFIYVFcX2B2CZFasZGKRII"",""Refined according to Results!B:J""),9,FALSE)"),9.12)</f>
        <v>9.12</v>
      </c>
      <c r="Q101" s="45" t="s">
        <v>75</v>
      </c>
      <c r="R101" s="45" t="s">
        <v>103</v>
      </c>
      <c r="S101" s="45"/>
      <c r="T101" s="45"/>
    </row>
    <row r="102" ht="15.75" customHeight="1">
      <c r="A102" s="40">
        <v>101.0</v>
      </c>
      <c r="B102" s="30" t="s">
        <v>323</v>
      </c>
      <c r="C102" s="30" t="s">
        <v>15</v>
      </c>
      <c r="D102" s="30" t="s">
        <v>324</v>
      </c>
      <c r="E102" s="50"/>
      <c r="F102" s="33">
        <v>4.0</v>
      </c>
      <c r="G102" s="30" t="str">
        <f t="shared" si="1"/>
        <v>FAIL</v>
      </c>
      <c r="H102" s="49" t="s">
        <v>46</v>
      </c>
      <c r="I102" s="47" t="s">
        <v>27</v>
      </c>
      <c r="J102" s="43">
        <v>0.0</v>
      </c>
      <c r="K102" s="52"/>
      <c r="L102" s="28">
        <f>LEN(H102)-LEN(SUBSTITUTE(H102," &amp; "," "))</f>
        <v>0</v>
      </c>
      <c r="M102" s="28">
        <f>IFERROR(__xludf.DUMMYFUNCTION("VLOOKUP(B102,IMPORTRANGE(""1CGZ0Bai7Upqd4o8ih3likiFIYVFcX2B2CZFasZGKRII"",""Refined according to Results!B:J""),9,FALSE)"),7.31)</f>
        <v>7.31</v>
      </c>
      <c r="Q102" s="45">
        <v>0.0</v>
      </c>
      <c r="R102" s="45"/>
      <c r="S102" s="45"/>
      <c r="T102" s="45"/>
    </row>
    <row r="103" ht="15.75" customHeight="1">
      <c r="A103" s="40">
        <v>102.0</v>
      </c>
      <c r="B103" s="30" t="s">
        <v>325</v>
      </c>
      <c r="C103" s="30" t="s">
        <v>15</v>
      </c>
      <c r="D103" s="30" t="s">
        <v>326</v>
      </c>
      <c r="E103" s="41">
        <v>8.99</v>
      </c>
      <c r="F103" s="33">
        <v>0.0</v>
      </c>
      <c r="G103" s="30" t="str">
        <f t="shared" si="1"/>
        <v>PASS</v>
      </c>
      <c r="H103" s="46" t="s">
        <v>60</v>
      </c>
      <c r="I103" s="47" t="s">
        <v>28</v>
      </c>
      <c r="J103" s="43">
        <v>0.0</v>
      </c>
      <c r="K103" s="48" t="s">
        <v>62</v>
      </c>
      <c r="L103" s="28">
        <v>2.0</v>
      </c>
      <c r="M103" s="28">
        <f>IFERROR(__xludf.DUMMYFUNCTION("VLOOKUP(B103,IMPORTRANGE(""1CGZ0Bai7Upqd4o8ih3likiFIYVFcX2B2CZFasZGKRII"",""Refined according to Results!B:J""),9,FALSE)"),9.03)</f>
        <v>9.03</v>
      </c>
      <c r="Q103" s="45" t="s">
        <v>52</v>
      </c>
      <c r="R103" s="45" t="s">
        <v>48</v>
      </c>
      <c r="S103" s="45"/>
      <c r="T103" s="45"/>
    </row>
    <row r="104" ht="15.75" customHeight="1">
      <c r="A104" s="40">
        <v>103.0</v>
      </c>
      <c r="B104" s="30" t="s">
        <v>327</v>
      </c>
      <c r="C104" s="30" t="s">
        <v>15</v>
      </c>
      <c r="D104" s="30" t="s">
        <v>328</v>
      </c>
      <c r="E104" s="41">
        <v>8.67</v>
      </c>
      <c r="F104" s="33">
        <v>0.0</v>
      </c>
      <c r="G104" s="30" t="str">
        <f t="shared" si="1"/>
        <v>PASS</v>
      </c>
      <c r="H104" s="49" t="s">
        <v>46</v>
      </c>
      <c r="I104" s="47" t="s">
        <v>28</v>
      </c>
      <c r="J104" s="43">
        <v>0.0</v>
      </c>
      <c r="K104" s="44" t="s">
        <v>215</v>
      </c>
      <c r="L104" s="45">
        <v>4.0</v>
      </c>
      <c r="M104" s="28">
        <f>IFERROR(__xludf.DUMMYFUNCTION("VLOOKUP(B104,IMPORTRANGE(""1CGZ0Bai7Upqd4o8ih3likiFIYVFcX2B2CZFasZGKRII"",""Refined according to Results!B:J""),9,FALSE)"),9.0)</f>
        <v>9</v>
      </c>
      <c r="Q104" s="45" t="s">
        <v>52</v>
      </c>
      <c r="R104" s="45" t="s">
        <v>63</v>
      </c>
      <c r="S104" s="45"/>
      <c r="T104" s="45"/>
    </row>
    <row r="105" ht="15.75" customHeight="1">
      <c r="A105" s="40">
        <v>104.0</v>
      </c>
      <c r="B105" s="30" t="s">
        <v>329</v>
      </c>
      <c r="C105" s="30" t="s">
        <v>15</v>
      </c>
      <c r="D105" s="30" t="s">
        <v>330</v>
      </c>
      <c r="E105" s="41">
        <v>9.04</v>
      </c>
      <c r="F105" s="33">
        <v>0.0</v>
      </c>
      <c r="G105" s="30" t="str">
        <f t="shared" si="1"/>
        <v>PASS</v>
      </c>
      <c r="H105" s="46" t="s">
        <v>46</v>
      </c>
      <c r="I105" s="47" t="s">
        <v>27</v>
      </c>
      <c r="J105" s="43">
        <v>0.0</v>
      </c>
      <c r="K105" s="48" t="s">
        <v>331</v>
      </c>
      <c r="L105" s="45">
        <v>2.0</v>
      </c>
      <c r="M105" s="28">
        <f>IFERROR(__xludf.DUMMYFUNCTION("VLOOKUP(B105,IMPORTRANGE(""1CGZ0Bai7Upqd4o8ih3likiFIYVFcX2B2CZFasZGKRII"",""Refined according to Results!B:J""),9,FALSE)"),8.92)</f>
        <v>8.92</v>
      </c>
      <c r="Q105" s="45" t="s">
        <v>48</v>
      </c>
      <c r="R105" s="45"/>
      <c r="S105" s="45"/>
      <c r="T105" s="45"/>
    </row>
    <row r="106" ht="15.75" customHeight="1">
      <c r="A106" s="40">
        <v>105.0</v>
      </c>
      <c r="B106" s="30" t="s">
        <v>332</v>
      </c>
      <c r="C106" s="30" t="s">
        <v>15</v>
      </c>
      <c r="D106" s="30" t="s">
        <v>333</v>
      </c>
      <c r="E106" s="41">
        <v>7.13</v>
      </c>
      <c r="F106" s="33">
        <v>0.0</v>
      </c>
      <c r="G106" s="30" t="str">
        <f t="shared" si="1"/>
        <v>PASS</v>
      </c>
      <c r="H106" s="49" t="s">
        <v>46</v>
      </c>
      <c r="I106" s="47" t="s">
        <v>28</v>
      </c>
      <c r="J106" s="59" t="s">
        <v>90</v>
      </c>
      <c r="K106" s="44" t="s">
        <v>303</v>
      </c>
      <c r="L106" s="45">
        <v>2.0</v>
      </c>
      <c r="M106" s="28">
        <f>IFERROR(__xludf.DUMMYFUNCTION("VLOOKUP(B106,IMPORTRANGE(""1CGZ0Bai7Upqd4o8ih3likiFIYVFcX2B2CZFasZGKRII"",""Refined according to Results!B:J""),9,FALSE)"),6.99)</f>
        <v>6.99</v>
      </c>
      <c r="Q106" s="45">
        <v>0.0</v>
      </c>
      <c r="R106" s="45"/>
      <c r="S106" s="45"/>
      <c r="T106" s="45"/>
    </row>
    <row r="107" ht="15.75" customHeight="1">
      <c r="A107" s="40">
        <v>106.0</v>
      </c>
      <c r="B107" s="30" t="s">
        <v>334</v>
      </c>
      <c r="C107" s="30" t="s">
        <v>15</v>
      </c>
      <c r="D107" s="30" t="s">
        <v>335</v>
      </c>
      <c r="E107" s="41">
        <v>8.54</v>
      </c>
      <c r="F107" s="33">
        <v>0.0</v>
      </c>
      <c r="G107" s="30" t="str">
        <f t="shared" si="1"/>
        <v>PASS</v>
      </c>
      <c r="H107" s="46" t="s">
        <v>60</v>
      </c>
      <c r="I107" s="47" t="s">
        <v>27</v>
      </c>
      <c r="J107" s="43">
        <v>0.0</v>
      </c>
      <c r="K107" s="48" t="s">
        <v>336</v>
      </c>
      <c r="L107" s="45">
        <v>4.0</v>
      </c>
      <c r="M107" s="28">
        <f>IFERROR(__xludf.DUMMYFUNCTION("VLOOKUP(B107,IMPORTRANGE(""1CGZ0Bai7Upqd4o8ih3likiFIYVFcX2B2CZFasZGKRII"",""Refined according to Results!B:J""),9,FALSE)"),8.68)</f>
        <v>8.68</v>
      </c>
      <c r="Q107" s="45" t="s">
        <v>63</v>
      </c>
      <c r="R107" s="45"/>
      <c r="S107" s="45"/>
      <c r="T107" s="45"/>
    </row>
    <row r="108" ht="15.75" customHeight="1">
      <c r="A108" s="40">
        <v>107.0</v>
      </c>
      <c r="B108" s="30" t="s">
        <v>337</v>
      </c>
      <c r="C108" s="30" t="s">
        <v>15</v>
      </c>
      <c r="D108" s="30" t="s">
        <v>338</v>
      </c>
      <c r="E108" s="41">
        <v>8.43</v>
      </c>
      <c r="F108" s="33">
        <v>0.0</v>
      </c>
      <c r="G108" s="30" t="str">
        <f t="shared" si="1"/>
        <v>PASS</v>
      </c>
      <c r="H108" s="49" t="s">
        <v>60</v>
      </c>
      <c r="I108" s="47" t="s">
        <v>28</v>
      </c>
      <c r="J108" s="43">
        <v>0.0</v>
      </c>
      <c r="K108" s="44" t="s">
        <v>48</v>
      </c>
      <c r="L108" s="28">
        <v>1.0</v>
      </c>
      <c r="M108" s="28">
        <f>IFERROR(__xludf.DUMMYFUNCTION("VLOOKUP(B108,IMPORTRANGE(""1CGZ0Bai7Upqd4o8ih3likiFIYVFcX2B2CZFasZGKRII"",""Refined according to Results!B:J""),9,FALSE)"),7.97)</f>
        <v>7.97</v>
      </c>
      <c r="Q108" s="45" t="s">
        <v>48</v>
      </c>
      <c r="R108" s="45"/>
      <c r="S108" s="45"/>
      <c r="T108" s="45"/>
    </row>
    <row r="109" ht="15.75" customHeight="1">
      <c r="A109" s="40">
        <v>108.0</v>
      </c>
      <c r="B109" s="30" t="s">
        <v>339</v>
      </c>
      <c r="C109" s="30" t="s">
        <v>15</v>
      </c>
      <c r="D109" s="30" t="s">
        <v>340</v>
      </c>
      <c r="E109" s="41">
        <v>8.6</v>
      </c>
      <c r="F109" s="33">
        <v>0.0</v>
      </c>
      <c r="G109" s="30" t="str">
        <f t="shared" si="1"/>
        <v>PASS</v>
      </c>
      <c r="H109" s="46" t="s">
        <v>46</v>
      </c>
      <c r="I109" s="47" t="s">
        <v>27</v>
      </c>
      <c r="J109" s="43">
        <v>0.0</v>
      </c>
      <c r="K109" s="48" t="s">
        <v>341</v>
      </c>
      <c r="L109" s="45">
        <v>3.0</v>
      </c>
      <c r="M109" s="28">
        <f>IFERROR(__xludf.DUMMYFUNCTION("VLOOKUP(B109,IMPORTRANGE(""1CGZ0Bai7Upqd4o8ih3likiFIYVFcX2B2CZFasZGKRII"",""Refined according to Results!B:J""),9,FALSE)"),8.6)</f>
        <v>8.6</v>
      </c>
      <c r="Q109" s="45" t="s">
        <v>80</v>
      </c>
      <c r="R109" s="45"/>
      <c r="S109" s="45"/>
      <c r="T109" s="45"/>
    </row>
    <row r="110" ht="15.75" customHeight="1">
      <c r="A110" s="40">
        <v>109.0</v>
      </c>
      <c r="B110" s="30" t="s">
        <v>342</v>
      </c>
      <c r="C110" s="30" t="s">
        <v>15</v>
      </c>
      <c r="D110" s="30" t="s">
        <v>343</v>
      </c>
      <c r="E110" s="41">
        <v>8.35</v>
      </c>
      <c r="F110" s="33">
        <v>0.0</v>
      </c>
      <c r="G110" s="30" t="str">
        <f t="shared" si="1"/>
        <v>PASS</v>
      </c>
      <c r="H110" s="49" t="s">
        <v>46</v>
      </c>
      <c r="I110" s="47" t="s">
        <v>28</v>
      </c>
      <c r="J110" s="43">
        <v>0.0</v>
      </c>
      <c r="K110" s="44" t="s">
        <v>344</v>
      </c>
      <c r="L110" s="45">
        <v>4.0</v>
      </c>
      <c r="M110" s="28">
        <f>IFERROR(__xludf.DUMMYFUNCTION("VLOOKUP(B110,IMPORTRANGE(""1CGZ0Bai7Upqd4o8ih3likiFIYVFcX2B2CZFasZGKRII"",""Refined according to Results!B:J""),9,FALSE)"),8.35)</f>
        <v>8.35</v>
      </c>
      <c r="Q110" s="45" t="s">
        <v>52</v>
      </c>
      <c r="R110" s="45" t="s">
        <v>66</v>
      </c>
      <c r="S110" s="45"/>
      <c r="T110" s="45"/>
    </row>
    <row r="111" ht="15.75" customHeight="1">
      <c r="A111" s="40">
        <v>110.0</v>
      </c>
      <c r="B111" s="30" t="s">
        <v>345</v>
      </c>
      <c r="C111" s="30" t="s">
        <v>15</v>
      </c>
      <c r="D111" s="30" t="s">
        <v>346</v>
      </c>
      <c r="E111" s="41">
        <v>7.68</v>
      </c>
      <c r="F111" s="33">
        <v>0.0</v>
      </c>
      <c r="G111" s="30" t="str">
        <f t="shared" si="1"/>
        <v>PASS</v>
      </c>
      <c r="H111" s="46" t="s">
        <v>46</v>
      </c>
      <c r="I111" s="47" t="s">
        <v>28</v>
      </c>
      <c r="J111" s="43">
        <v>0.0</v>
      </c>
      <c r="K111" s="48" t="s">
        <v>210</v>
      </c>
      <c r="L111" s="45">
        <v>1.0</v>
      </c>
      <c r="M111" s="28">
        <f>IFERROR(__xludf.DUMMYFUNCTION("VLOOKUP(B111,IMPORTRANGE(""1CGZ0Bai7Upqd4o8ih3likiFIYVFcX2B2CZFasZGKRII"",""Refined according to Results!B:J""),9,FALSE)"),7.74)</f>
        <v>7.74</v>
      </c>
      <c r="Q111" s="45" t="s">
        <v>63</v>
      </c>
      <c r="R111" s="45"/>
      <c r="S111" s="45"/>
      <c r="T111" s="45"/>
    </row>
    <row r="112" ht="15.75" customHeight="1">
      <c r="A112" s="40">
        <v>111.0</v>
      </c>
      <c r="B112" s="30" t="s">
        <v>347</v>
      </c>
      <c r="C112" s="30" t="s">
        <v>15</v>
      </c>
      <c r="D112" s="30" t="s">
        <v>348</v>
      </c>
      <c r="E112" s="41">
        <v>9.48</v>
      </c>
      <c r="F112" s="33">
        <v>0.0</v>
      </c>
      <c r="G112" s="30" t="str">
        <f t="shared" si="1"/>
        <v>PASS</v>
      </c>
      <c r="H112" s="49" t="s">
        <v>60</v>
      </c>
      <c r="I112" s="47" t="s">
        <v>27</v>
      </c>
      <c r="J112" s="43" t="s">
        <v>349</v>
      </c>
      <c r="K112" s="44" t="s">
        <v>87</v>
      </c>
      <c r="L112" s="28">
        <v>1.0</v>
      </c>
      <c r="M112" s="28">
        <f>IFERROR(__xludf.DUMMYFUNCTION("VLOOKUP(B112,IMPORTRANGE(""1CGZ0Bai7Upqd4o8ih3likiFIYVFcX2B2CZFasZGKRII"",""Refined according to Results!B:J""),9,FALSE)"),9.68)</f>
        <v>9.68</v>
      </c>
      <c r="Q112" s="45" t="s">
        <v>87</v>
      </c>
      <c r="R112" s="45"/>
      <c r="S112" s="45"/>
      <c r="T112" s="45"/>
    </row>
    <row r="113" ht="15.75" customHeight="1">
      <c r="A113" s="40">
        <v>112.0</v>
      </c>
      <c r="B113" s="30" t="s">
        <v>350</v>
      </c>
      <c r="C113" s="30" t="s">
        <v>15</v>
      </c>
      <c r="D113" s="30" t="s">
        <v>351</v>
      </c>
      <c r="E113" s="41">
        <v>8.67</v>
      </c>
      <c r="F113" s="33">
        <v>0.0</v>
      </c>
      <c r="G113" s="30" t="str">
        <f t="shared" si="1"/>
        <v>PASS</v>
      </c>
      <c r="H113" s="46" t="s">
        <v>46</v>
      </c>
      <c r="I113" s="47" t="s">
        <v>352</v>
      </c>
      <c r="J113" s="43">
        <v>0.0</v>
      </c>
      <c r="K113" s="51"/>
      <c r="L113" s="28">
        <f t="shared" ref="L113:L115" si="6">LEN(H113)-LEN(SUBSTITUTE(H113," &amp; "," "))</f>
        <v>0</v>
      </c>
      <c r="M113" s="28">
        <f>IFERROR(__xludf.DUMMYFUNCTION("VLOOKUP(B113,IMPORTRANGE(""1CGZ0Bai7Upqd4o8ih3likiFIYVFcX2B2CZFasZGKRII"",""Refined according to Results!B:J""),9,FALSE)"),9.09)</f>
        <v>9.09</v>
      </c>
      <c r="Q113" s="45">
        <v>0.0</v>
      </c>
      <c r="R113" s="45"/>
      <c r="S113" s="45"/>
      <c r="T113" s="45"/>
    </row>
    <row r="114" ht="15.75" customHeight="1">
      <c r="A114" s="40">
        <v>113.0</v>
      </c>
      <c r="B114" s="30" t="s">
        <v>353</v>
      </c>
      <c r="C114" s="30" t="s">
        <v>15</v>
      </c>
      <c r="D114" s="30" t="s">
        <v>354</v>
      </c>
      <c r="E114" s="41">
        <v>8.96</v>
      </c>
      <c r="F114" s="33">
        <v>0.0</v>
      </c>
      <c r="G114" s="30" t="str">
        <f t="shared" si="1"/>
        <v>PASS</v>
      </c>
      <c r="H114" s="49" t="s">
        <v>60</v>
      </c>
      <c r="I114" s="47" t="s">
        <v>27</v>
      </c>
      <c r="J114" s="43">
        <v>0.0</v>
      </c>
      <c r="K114" s="52"/>
      <c r="L114" s="28">
        <f t="shared" si="6"/>
        <v>0</v>
      </c>
      <c r="M114" s="28">
        <f>IFERROR(__xludf.DUMMYFUNCTION("VLOOKUP(B114,IMPORTRANGE(""1CGZ0Bai7Upqd4o8ih3likiFIYVFcX2B2CZFasZGKRII"",""Refined according to Results!B:J""),9,FALSE)"),8.81)</f>
        <v>8.81</v>
      </c>
      <c r="Q114" s="45">
        <v>0.0</v>
      </c>
      <c r="R114" s="45"/>
      <c r="S114" s="45"/>
      <c r="T114" s="45"/>
    </row>
    <row r="115" ht="15.75" customHeight="1">
      <c r="A115" s="40">
        <v>114.0</v>
      </c>
      <c r="B115" s="30" t="s">
        <v>355</v>
      </c>
      <c r="C115" s="30" t="s">
        <v>15</v>
      </c>
      <c r="D115" s="30" t="s">
        <v>356</v>
      </c>
      <c r="E115" s="41">
        <v>7.42</v>
      </c>
      <c r="F115" s="33">
        <v>0.0</v>
      </c>
      <c r="G115" s="30" t="str">
        <f t="shared" si="1"/>
        <v>PASS</v>
      </c>
      <c r="H115" s="46" t="s">
        <v>46</v>
      </c>
      <c r="I115" s="47" t="s">
        <v>28</v>
      </c>
      <c r="J115" s="43">
        <v>0.0</v>
      </c>
      <c r="K115" s="51"/>
      <c r="L115" s="28">
        <f t="shared" si="6"/>
        <v>0</v>
      </c>
      <c r="M115" s="28">
        <f>IFERROR(__xludf.DUMMYFUNCTION("VLOOKUP(B115,IMPORTRANGE(""1CGZ0Bai7Upqd4o8ih3likiFIYVFcX2B2CZFasZGKRII"",""Refined according to Results!B:J""),9,FALSE)"),7.27)</f>
        <v>7.27</v>
      </c>
      <c r="Q115" s="45">
        <v>0.0</v>
      </c>
      <c r="R115" s="45"/>
      <c r="S115" s="45"/>
      <c r="T115" s="45"/>
    </row>
    <row r="116" ht="12.75" customHeight="1">
      <c r="A116" s="40">
        <v>115.0</v>
      </c>
      <c r="B116" s="30" t="s">
        <v>357</v>
      </c>
      <c r="C116" s="30" t="s">
        <v>15</v>
      </c>
      <c r="D116" s="30" t="s">
        <v>358</v>
      </c>
      <c r="E116" s="41">
        <v>8.63</v>
      </c>
      <c r="F116" s="33">
        <v>0.0</v>
      </c>
      <c r="G116" s="30" t="str">
        <f t="shared" si="1"/>
        <v>PASS</v>
      </c>
      <c r="H116" s="49" t="s">
        <v>46</v>
      </c>
      <c r="I116" s="47" t="s">
        <v>27</v>
      </c>
      <c r="J116" s="43" t="s">
        <v>359</v>
      </c>
      <c r="K116" s="44" t="s">
        <v>360</v>
      </c>
      <c r="L116" s="45">
        <v>2.0</v>
      </c>
      <c r="M116" s="28">
        <f>IFERROR(__xludf.DUMMYFUNCTION("VLOOKUP(B116,IMPORTRANGE(""1CGZ0Bai7Upqd4o8ih3likiFIYVFcX2B2CZFasZGKRII"",""Refined according to Results!B:J""),9,FALSE)"),8.64)</f>
        <v>8.64</v>
      </c>
      <c r="Q116" s="45" t="s">
        <v>52</v>
      </c>
      <c r="R116" s="45"/>
      <c r="S116" s="45"/>
      <c r="T116" s="45"/>
    </row>
    <row r="117" ht="15.75" customHeight="1">
      <c r="A117" s="40">
        <v>116.0</v>
      </c>
      <c r="B117" s="30" t="s">
        <v>361</v>
      </c>
      <c r="C117" s="30" t="s">
        <v>15</v>
      </c>
      <c r="D117" s="30" t="s">
        <v>362</v>
      </c>
      <c r="E117" s="41">
        <v>7.37</v>
      </c>
      <c r="F117" s="33">
        <v>0.0</v>
      </c>
      <c r="G117" s="30" t="str">
        <f t="shared" si="1"/>
        <v>PASS</v>
      </c>
      <c r="H117" s="46" t="s">
        <v>46</v>
      </c>
      <c r="I117" s="47" t="s">
        <v>27</v>
      </c>
      <c r="J117" s="43">
        <v>0.0</v>
      </c>
      <c r="K117" s="48" t="s">
        <v>114</v>
      </c>
      <c r="L117" s="45">
        <v>1.0</v>
      </c>
      <c r="M117" s="28">
        <f>IFERROR(__xludf.DUMMYFUNCTION("VLOOKUP(B117,IMPORTRANGE(""1CGZ0Bai7Upqd4o8ih3likiFIYVFcX2B2CZFasZGKRII"",""Refined according to Results!B:J""),9,FALSE)"),6.55)</f>
        <v>6.55</v>
      </c>
      <c r="Q117" s="45">
        <v>0.0</v>
      </c>
      <c r="R117" s="45"/>
      <c r="S117" s="45"/>
      <c r="T117" s="45"/>
    </row>
    <row r="118" ht="15.75" customHeight="1">
      <c r="A118" s="40">
        <v>117.0</v>
      </c>
      <c r="B118" s="30" t="s">
        <v>363</v>
      </c>
      <c r="C118" s="30" t="s">
        <v>15</v>
      </c>
      <c r="D118" s="30" t="s">
        <v>364</v>
      </c>
      <c r="E118" s="41">
        <v>8.99</v>
      </c>
      <c r="F118" s="33">
        <v>0.0</v>
      </c>
      <c r="G118" s="30" t="str">
        <f t="shared" si="1"/>
        <v>PASS</v>
      </c>
      <c r="H118" s="49" t="s">
        <v>60</v>
      </c>
      <c r="I118" s="47" t="s">
        <v>27</v>
      </c>
      <c r="J118" s="43" t="s">
        <v>365</v>
      </c>
      <c r="K118" s="44" t="s">
        <v>366</v>
      </c>
      <c r="L118" s="45">
        <v>2.0</v>
      </c>
      <c r="M118" s="28">
        <f>IFERROR(__xludf.DUMMYFUNCTION("VLOOKUP(B118,IMPORTRANGE(""1CGZ0Bai7Upqd4o8ih3likiFIYVFcX2B2CZFasZGKRII"",""Refined according to Results!B:J""),9,FALSE)"),8.99)</f>
        <v>8.99</v>
      </c>
      <c r="Q118" s="45" t="s">
        <v>52</v>
      </c>
      <c r="R118" s="45"/>
      <c r="S118" s="45"/>
      <c r="T118" s="45"/>
    </row>
    <row r="119" ht="15.75" customHeight="1">
      <c r="A119" s="40">
        <v>118.0</v>
      </c>
      <c r="B119" s="30" t="s">
        <v>367</v>
      </c>
      <c r="C119" s="30" t="s">
        <v>15</v>
      </c>
      <c r="D119" s="30" t="s">
        <v>368</v>
      </c>
      <c r="E119" s="41">
        <v>7.93</v>
      </c>
      <c r="F119" s="33">
        <v>0.0</v>
      </c>
      <c r="G119" s="30" t="str">
        <f t="shared" si="1"/>
        <v>PASS</v>
      </c>
      <c r="H119" s="46" t="s">
        <v>46</v>
      </c>
      <c r="I119" s="47" t="s">
        <v>27</v>
      </c>
      <c r="J119" s="43">
        <v>0.0</v>
      </c>
      <c r="K119" s="48" t="s">
        <v>369</v>
      </c>
      <c r="L119" s="45">
        <v>1.0</v>
      </c>
      <c r="M119" s="28">
        <f>IFERROR(__xludf.DUMMYFUNCTION("VLOOKUP(B119,IMPORTRANGE(""1CGZ0Bai7Upqd4o8ih3likiFIYVFcX2B2CZFasZGKRII"",""Refined according to Results!B:J""),9,FALSE)"),7.82)</f>
        <v>7.82</v>
      </c>
      <c r="Q119" s="45">
        <v>0.0</v>
      </c>
      <c r="R119" s="45"/>
      <c r="S119" s="45"/>
      <c r="T119" s="45"/>
    </row>
    <row r="120" ht="15.75" customHeight="1">
      <c r="A120" s="40">
        <v>119.0</v>
      </c>
      <c r="B120" s="30" t="s">
        <v>370</v>
      </c>
      <c r="C120" s="30" t="s">
        <v>15</v>
      </c>
      <c r="D120" s="30" t="s">
        <v>371</v>
      </c>
      <c r="E120" s="50"/>
      <c r="F120" s="33">
        <v>22.0</v>
      </c>
      <c r="G120" s="30" t="str">
        <f t="shared" si="1"/>
        <v>FAIL</v>
      </c>
      <c r="H120" s="49" t="s">
        <v>46</v>
      </c>
      <c r="I120" s="47" t="s">
        <v>27</v>
      </c>
      <c r="J120" s="43">
        <v>0.0</v>
      </c>
      <c r="K120" s="52"/>
      <c r="L120" s="28">
        <v>0.0</v>
      </c>
      <c r="M120" s="28" t="str">
        <f>IFERROR(__xludf.DUMMYFUNCTION("VLOOKUP(B120,IMPORTRANGE(""1CGZ0Bai7Upqd4o8ih3likiFIYVFcX2B2CZFasZGKRII"",""Refined according to Results!B:J""),9,FALSE)"),"")</f>
        <v/>
      </c>
      <c r="Q120" s="45">
        <v>0.0</v>
      </c>
      <c r="R120" s="45"/>
      <c r="S120" s="45"/>
      <c r="T120" s="45"/>
    </row>
    <row r="121" ht="15.75" customHeight="1">
      <c r="A121" s="40">
        <v>120.0</v>
      </c>
      <c r="B121" s="30" t="s">
        <v>372</v>
      </c>
      <c r="C121" s="30" t="s">
        <v>15</v>
      </c>
      <c r="D121" s="30" t="s">
        <v>373</v>
      </c>
      <c r="E121" s="41">
        <v>9.31</v>
      </c>
      <c r="F121" s="33">
        <v>0.0</v>
      </c>
      <c r="G121" s="30" t="str">
        <f t="shared" si="1"/>
        <v>PASS</v>
      </c>
      <c r="H121" s="46" t="s">
        <v>60</v>
      </c>
      <c r="I121" s="47" t="s">
        <v>28</v>
      </c>
      <c r="J121" s="43">
        <v>0.0</v>
      </c>
      <c r="K121" s="48" t="s">
        <v>374</v>
      </c>
      <c r="L121" s="45">
        <v>2.0</v>
      </c>
      <c r="M121" s="28">
        <f>IFERROR(__xludf.DUMMYFUNCTION("VLOOKUP(B121,IMPORTRANGE(""1CGZ0Bai7Upqd4o8ih3likiFIYVFcX2B2CZFasZGKRII"",""Refined according to Results!B:J""),9,FALSE)"),9.28)</f>
        <v>9.28</v>
      </c>
      <c r="Q121" s="45" t="s">
        <v>79</v>
      </c>
      <c r="R121" s="45"/>
      <c r="S121" s="45"/>
      <c r="T121" s="45"/>
    </row>
    <row r="122" ht="15.75" customHeight="1">
      <c r="A122" s="40">
        <v>121.0</v>
      </c>
      <c r="B122" s="30" t="s">
        <v>375</v>
      </c>
      <c r="C122" s="30" t="s">
        <v>15</v>
      </c>
      <c r="D122" s="30" t="s">
        <v>376</v>
      </c>
      <c r="E122" s="50"/>
      <c r="F122" s="33">
        <v>2.0</v>
      </c>
      <c r="G122" s="30" t="str">
        <f t="shared" si="1"/>
        <v>FAIL</v>
      </c>
      <c r="H122" s="49" t="s">
        <v>46</v>
      </c>
      <c r="I122" s="47" t="s">
        <v>28</v>
      </c>
      <c r="J122" s="43">
        <v>0.0</v>
      </c>
      <c r="K122" s="52"/>
      <c r="L122" s="28">
        <v>0.0</v>
      </c>
      <c r="M122" s="28" t="str">
        <f>IFERROR(__xludf.DUMMYFUNCTION("VLOOKUP(B122,IMPORTRANGE(""1CGZ0Bai7Upqd4o8ih3likiFIYVFcX2B2CZFasZGKRII"",""Refined according to Results!B:J""),9,FALSE)"),"")</f>
        <v/>
      </c>
      <c r="Q122" s="45">
        <v>0.0</v>
      </c>
      <c r="R122" s="45"/>
      <c r="S122" s="45"/>
      <c r="T122" s="45"/>
    </row>
    <row r="123" ht="15.75" customHeight="1">
      <c r="A123" s="40">
        <v>122.0</v>
      </c>
      <c r="B123" s="30" t="s">
        <v>377</v>
      </c>
      <c r="C123" s="30" t="s">
        <v>15</v>
      </c>
      <c r="D123" s="30" t="s">
        <v>378</v>
      </c>
      <c r="E123" s="41">
        <v>9.12</v>
      </c>
      <c r="F123" s="33">
        <v>0.0</v>
      </c>
      <c r="G123" s="30" t="str">
        <f t="shared" si="1"/>
        <v>PASS</v>
      </c>
      <c r="H123" s="46" t="s">
        <v>46</v>
      </c>
      <c r="I123" s="47" t="s">
        <v>28</v>
      </c>
      <c r="J123" s="43" t="s">
        <v>61</v>
      </c>
      <c r="K123" s="48" t="s">
        <v>57</v>
      </c>
      <c r="L123" s="28">
        <v>1.0</v>
      </c>
      <c r="M123" s="28">
        <f>IFERROR(__xludf.DUMMYFUNCTION("VLOOKUP(B123,IMPORTRANGE(""1CGZ0Bai7Upqd4o8ih3likiFIYVFcX2B2CZFasZGKRII"",""Refined according to Results!B:J""),9,FALSE)"),9.32)</f>
        <v>9.32</v>
      </c>
      <c r="Q123" s="45" t="s">
        <v>57</v>
      </c>
      <c r="R123" s="45"/>
      <c r="S123" s="45"/>
      <c r="T123" s="45"/>
    </row>
    <row r="124" ht="15.75" customHeight="1">
      <c r="A124" s="40">
        <v>123.0</v>
      </c>
      <c r="B124" s="30" t="s">
        <v>379</v>
      </c>
      <c r="C124" s="30" t="s">
        <v>15</v>
      </c>
      <c r="D124" s="30" t="s">
        <v>380</v>
      </c>
      <c r="E124" s="41">
        <v>8.21</v>
      </c>
      <c r="F124" s="33">
        <v>0.0</v>
      </c>
      <c r="G124" s="30" t="str">
        <f t="shared" si="1"/>
        <v>PASS</v>
      </c>
      <c r="H124" s="49" t="s">
        <v>46</v>
      </c>
      <c r="I124" s="47" t="s">
        <v>28</v>
      </c>
      <c r="J124" s="43">
        <v>0.0</v>
      </c>
      <c r="K124" s="44" t="s">
        <v>83</v>
      </c>
      <c r="L124" s="45">
        <v>2.0</v>
      </c>
      <c r="M124" s="28">
        <f>IFERROR(__xludf.DUMMYFUNCTION("VLOOKUP(B124,IMPORTRANGE(""1CGZ0Bai7Upqd4o8ih3likiFIYVFcX2B2CZFasZGKRII"",""Refined according to Results!B:J""),9,FALSE)"),7.97)</f>
        <v>7.97</v>
      </c>
      <c r="Q124" s="45" t="s">
        <v>48</v>
      </c>
      <c r="R124" s="45"/>
      <c r="S124" s="45"/>
      <c r="T124" s="45"/>
    </row>
    <row r="125" ht="15.75" customHeight="1">
      <c r="A125" s="40">
        <v>124.0</v>
      </c>
      <c r="B125" s="30" t="s">
        <v>381</v>
      </c>
      <c r="C125" s="30" t="s">
        <v>15</v>
      </c>
      <c r="D125" s="30" t="s">
        <v>382</v>
      </c>
      <c r="E125" s="50"/>
      <c r="F125" s="33">
        <v>1.0</v>
      </c>
      <c r="G125" s="30" t="str">
        <f t="shared" si="1"/>
        <v>FAIL</v>
      </c>
      <c r="H125" s="46" t="s">
        <v>46</v>
      </c>
      <c r="I125" s="47" t="s">
        <v>27</v>
      </c>
      <c r="J125" s="43">
        <v>0.0</v>
      </c>
      <c r="K125" s="51"/>
      <c r="L125" s="28">
        <v>0.0</v>
      </c>
      <c r="M125" s="28" t="str">
        <f>IFERROR(__xludf.DUMMYFUNCTION("VLOOKUP(B125,IMPORTRANGE(""1CGZ0Bai7Upqd4o8ih3likiFIYVFcX2B2CZFasZGKRII"",""Refined according to Results!B:J""),9,FALSE)"),"")</f>
        <v/>
      </c>
      <c r="Q125" s="45">
        <v>0.0</v>
      </c>
      <c r="R125" s="45"/>
      <c r="S125" s="45"/>
      <c r="T125" s="45"/>
    </row>
    <row r="126" ht="15.75" customHeight="1">
      <c r="A126" s="40">
        <v>125.0</v>
      </c>
      <c r="B126" s="30" t="s">
        <v>383</v>
      </c>
      <c r="C126" s="30" t="s">
        <v>15</v>
      </c>
      <c r="D126" s="30" t="s">
        <v>384</v>
      </c>
      <c r="E126" s="41">
        <v>9.21</v>
      </c>
      <c r="F126" s="33">
        <v>0.0</v>
      </c>
      <c r="G126" s="30" t="str">
        <f t="shared" si="1"/>
        <v>PASS</v>
      </c>
      <c r="H126" s="49" t="s">
        <v>60</v>
      </c>
      <c r="I126" s="47" t="s">
        <v>27</v>
      </c>
      <c r="J126" s="43">
        <v>0.0</v>
      </c>
      <c r="K126" s="44" t="s">
        <v>52</v>
      </c>
      <c r="L126" s="28">
        <v>1.0</v>
      </c>
      <c r="M126" s="28">
        <f>IFERROR(__xludf.DUMMYFUNCTION("VLOOKUP(B126,IMPORTRANGE(""1CGZ0Bai7Upqd4o8ih3likiFIYVFcX2B2CZFasZGKRII"",""Refined according to Results!B:J""),9,FALSE)"),9.24)</f>
        <v>9.24</v>
      </c>
      <c r="Q126" s="45" t="s">
        <v>52</v>
      </c>
      <c r="R126" s="45"/>
      <c r="S126" s="45"/>
      <c r="T126" s="45"/>
    </row>
    <row r="127" ht="15.75" customHeight="1">
      <c r="A127" s="40">
        <v>126.0</v>
      </c>
      <c r="B127" s="30" t="s">
        <v>385</v>
      </c>
      <c r="C127" s="30" t="s">
        <v>15</v>
      </c>
      <c r="D127" s="30" t="s">
        <v>386</v>
      </c>
      <c r="E127" s="41">
        <v>9.22</v>
      </c>
      <c r="F127" s="33">
        <v>0.0</v>
      </c>
      <c r="G127" s="30" t="str">
        <f t="shared" si="1"/>
        <v>PASS</v>
      </c>
      <c r="H127" s="46" t="s">
        <v>60</v>
      </c>
      <c r="I127" s="60" t="s">
        <v>28</v>
      </c>
      <c r="J127" s="61">
        <v>0.0</v>
      </c>
      <c r="K127" s="48" t="s">
        <v>87</v>
      </c>
      <c r="L127" s="28">
        <v>1.0</v>
      </c>
      <c r="M127" s="28">
        <f>IFERROR(__xludf.DUMMYFUNCTION("VLOOKUP(B127,IMPORTRANGE(""1CGZ0Bai7Upqd4o8ih3likiFIYVFcX2B2CZFasZGKRII"",""Refined according to Results!B:J""),9,FALSE)"),9.22)</f>
        <v>9.22</v>
      </c>
      <c r="Q127" s="45" t="s">
        <v>87</v>
      </c>
      <c r="R127" s="45"/>
      <c r="S127" s="45"/>
      <c r="T127" s="45"/>
    </row>
    <row r="128" ht="15.75" customHeight="1">
      <c r="A128" s="40">
        <v>127.0</v>
      </c>
      <c r="B128" s="30" t="s">
        <v>387</v>
      </c>
      <c r="C128" s="30" t="s">
        <v>15</v>
      </c>
      <c r="D128" s="30" t="s">
        <v>388</v>
      </c>
      <c r="E128" s="50"/>
      <c r="F128" s="33">
        <v>4.0</v>
      </c>
      <c r="G128" s="30" t="str">
        <f t="shared" si="1"/>
        <v>FAIL</v>
      </c>
      <c r="H128" s="49" t="s">
        <v>46</v>
      </c>
      <c r="I128" s="47" t="s">
        <v>28</v>
      </c>
      <c r="J128" s="43">
        <v>0.0</v>
      </c>
      <c r="K128" s="52"/>
      <c r="L128" s="28">
        <v>0.0</v>
      </c>
      <c r="M128" s="28" t="str">
        <f>IFERROR(__xludf.DUMMYFUNCTION("VLOOKUP(B128,IMPORTRANGE(""1CGZ0Bai7Upqd4o8ih3likiFIYVFcX2B2CZFasZGKRII"",""Refined according to Results!B:J""),9,FALSE)"),"")</f>
        <v/>
      </c>
      <c r="Q128" s="45">
        <v>0.0</v>
      </c>
      <c r="R128" s="45"/>
      <c r="S128" s="45"/>
      <c r="T128" s="45"/>
    </row>
    <row r="129" ht="15.75" customHeight="1">
      <c r="A129" s="40">
        <v>128.0</v>
      </c>
      <c r="B129" s="30" t="s">
        <v>389</v>
      </c>
      <c r="C129" s="30" t="s">
        <v>15</v>
      </c>
      <c r="D129" s="30" t="s">
        <v>390</v>
      </c>
      <c r="E129" s="50"/>
      <c r="F129" s="33">
        <v>2.0</v>
      </c>
      <c r="G129" s="30" t="str">
        <f t="shared" si="1"/>
        <v>FAIL</v>
      </c>
      <c r="H129" s="46" t="s">
        <v>46</v>
      </c>
      <c r="I129" s="47" t="s">
        <v>28</v>
      </c>
      <c r="J129" s="43">
        <v>0.0</v>
      </c>
      <c r="K129" s="51"/>
      <c r="L129" s="28">
        <v>0.0</v>
      </c>
      <c r="M129" s="28">
        <f>IFERROR(__xludf.DUMMYFUNCTION("VLOOKUP(B129,IMPORTRANGE(""1CGZ0Bai7Upqd4o8ih3likiFIYVFcX2B2CZFasZGKRII"",""Refined according to Results!B:J""),9,FALSE)"),6.79)</f>
        <v>6.79</v>
      </c>
      <c r="Q129" s="45">
        <v>0.0</v>
      </c>
      <c r="R129" s="45"/>
      <c r="S129" s="45"/>
      <c r="T129" s="45"/>
    </row>
    <row r="130" ht="15.75" customHeight="1">
      <c r="A130" s="40">
        <v>129.0</v>
      </c>
      <c r="B130" s="30" t="s">
        <v>391</v>
      </c>
      <c r="C130" s="30" t="s">
        <v>15</v>
      </c>
      <c r="D130" s="30" t="s">
        <v>392</v>
      </c>
      <c r="E130" s="50"/>
      <c r="F130" s="33">
        <v>0.0</v>
      </c>
      <c r="G130" s="30" t="str">
        <f t="shared" si="1"/>
        <v>FAIL</v>
      </c>
      <c r="H130" s="49" t="s">
        <v>46</v>
      </c>
      <c r="I130" s="47" t="s">
        <v>28</v>
      </c>
      <c r="J130" s="43">
        <v>0.0</v>
      </c>
      <c r="K130" s="52"/>
      <c r="L130" s="28">
        <v>0.0</v>
      </c>
      <c r="M130" s="28">
        <f>IFERROR(__xludf.DUMMYFUNCTION("VLOOKUP(B130,IMPORTRANGE(""1CGZ0Bai7Upqd4o8ih3likiFIYVFcX2B2CZFasZGKRII"",""Refined according to Results!B:J""),9,FALSE)"),7.27)</f>
        <v>7.27</v>
      </c>
      <c r="Q130" s="45">
        <v>0.0</v>
      </c>
      <c r="R130" s="45"/>
      <c r="S130" s="45"/>
      <c r="T130" s="45"/>
    </row>
    <row r="131" ht="15.75" customHeight="1">
      <c r="A131" s="40">
        <v>130.0</v>
      </c>
      <c r="B131" s="30" t="s">
        <v>393</v>
      </c>
      <c r="C131" s="30" t="s">
        <v>15</v>
      </c>
      <c r="D131" s="30" t="s">
        <v>394</v>
      </c>
      <c r="E131" s="41">
        <v>8.13</v>
      </c>
      <c r="F131" s="33">
        <v>0.0</v>
      </c>
      <c r="G131" s="30" t="str">
        <f t="shared" si="1"/>
        <v>PASS</v>
      </c>
      <c r="H131" s="46" t="s">
        <v>46</v>
      </c>
      <c r="I131" s="47" t="s">
        <v>27</v>
      </c>
      <c r="J131" s="43">
        <v>0.0</v>
      </c>
      <c r="K131" s="51"/>
      <c r="L131" s="28">
        <v>0.0</v>
      </c>
      <c r="M131" s="28">
        <f>IFERROR(__xludf.DUMMYFUNCTION("VLOOKUP(B131,IMPORTRANGE(""1CGZ0Bai7Upqd4o8ih3likiFIYVFcX2B2CZFasZGKRII"",""Refined according to Results!B:J""),9,FALSE)"),7.88)</f>
        <v>7.88</v>
      </c>
      <c r="Q131" s="45">
        <v>0.0</v>
      </c>
      <c r="R131" s="45"/>
      <c r="S131" s="45"/>
      <c r="T131" s="45"/>
    </row>
    <row r="132" ht="15.75" customHeight="1">
      <c r="A132" s="40">
        <v>131.0</v>
      </c>
      <c r="B132" s="30" t="s">
        <v>395</v>
      </c>
      <c r="C132" s="30" t="s">
        <v>15</v>
      </c>
      <c r="D132" s="30" t="s">
        <v>396</v>
      </c>
      <c r="E132" s="41">
        <v>9.0</v>
      </c>
      <c r="F132" s="33">
        <v>0.0</v>
      </c>
      <c r="G132" s="30" t="str">
        <f t="shared" si="1"/>
        <v>PASS</v>
      </c>
      <c r="H132" s="49" t="s">
        <v>46</v>
      </c>
      <c r="I132" s="47" t="s">
        <v>27</v>
      </c>
      <c r="J132" s="43">
        <v>0.0</v>
      </c>
      <c r="K132" s="52"/>
      <c r="L132" s="28">
        <v>0.0</v>
      </c>
      <c r="M132" s="28">
        <f>IFERROR(__xludf.DUMMYFUNCTION("VLOOKUP(B132,IMPORTRANGE(""1CGZ0Bai7Upqd4o8ih3likiFIYVFcX2B2CZFasZGKRII"",""Refined according to Results!B:J""),9,FALSE)"),8.49)</f>
        <v>8.49</v>
      </c>
      <c r="Q132" s="45">
        <v>0.0</v>
      </c>
      <c r="R132" s="45"/>
      <c r="S132" s="45"/>
      <c r="T132" s="45"/>
    </row>
    <row r="133" ht="15.75" customHeight="1">
      <c r="A133" s="40">
        <v>132.0</v>
      </c>
      <c r="B133" s="30" t="s">
        <v>397</v>
      </c>
      <c r="C133" s="30" t="s">
        <v>15</v>
      </c>
      <c r="D133" s="30" t="s">
        <v>398</v>
      </c>
      <c r="E133" s="41">
        <v>8.57</v>
      </c>
      <c r="F133" s="33">
        <v>0.0</v>
      </c>
      <c r="G133" s="30" t="str">
        <f t="shared" si="1"/>
        <v>PASS</v>
      </c>
      <c r="H133" s="46" t="s">
        <v>60</v>
      </c>
      <c r="I133" s="47" t="s">
        <v>28</v>
      </c>
      <c r="J133" s="43">
        <v>0.0</v>
      </c>
      <c r="K133" s="48" t="s">
        <v>204</v>
      </c>
      <c r="L133" s="45">
        <v>1.0</v>
      </c>
      <c r="M133" s="28">
        <f>IFERROR(__xludf.DUMMYFUNCTION("VLOOKUP(B133,IMPORTRANGE(""1CGZ0Bai7Upqd4o8ih3likiFIYVFcX2B2CZFasZGKRII"",""Refined according to Results!B:J""),9,FALSE)"),8.6)</f>
        <v>8.6</v>
      </c>
      <c r="Q133" s="45">
        <v>0.0</v>
      </c>
      <c r="R133" s="45"/>
      <c r="S133" s="45"/>
      <c r="T133" s="45"/>
    </row>
    <row r="134" ht="15.75" customHeight="1">
      <c r="A134" s="40">
        <v>133.0</v>
      </c>
      <c r="B134" s="30" t="s">
        <v>399</v>
      </c>
      <c r="C134" s="30" t="s">
        <v>15</v>
      </c>
      <c r="D134" s="30" t="s">
        <v>400</v>
      </c>
      <c r="E134" s="41">
        <v>7.45</v>
      </c>
      <c r="F134" s="33">
        <v>0.0</v>
      </c>
      <c r="G134" s="30" t="str">
        <f t="shared" si="1"/>
        <v>PASS</v>
      </c>
      <c r="H134" s="49" t="s">
        <v>46</v>
      </c>
      <c r="I134" s="47" t="s">
        <v>28</v>
      </c>
      <c r="J134" s="43" t="s">
        <v>365</v>
      </c>
      <c r="K134" s="44" t="s">
        <v>401</v>
      </c>
      <c r="L134" s="45">
        <v>2.0</v>
      </c>
      <c r="M134" s="28">
        <f>IFERROR(__xludf.DUMMYFUNCTION("VLOOKUP(B134,IMPORTRANGE(""1CGZ0Bai7Upqd4o8ih3likiFIYVFcX2B2CZFasZGKRII"",""Refined according to Results!B:J""),9,FALSE)"),7.65)</f>
        <v>7.65</v>
      </c>
      <c r="Q134" s="45">
        <v>0.0</v>
      </c>
      <c r="R134" s="45"/>
      <c r="S134" s="45"/>
      <c r="T134" s="45"/>
    </row>
    <row r="135" ht="15.75" customHeight="1">
      <c r="A135" s="40">
        <v>134.0</v>
      </c>
      <c r="B135" s="30" t="s">
        <v>402</v>
      </c>
      <c r="C135" s="30" t="s">
        <v>15</v>
      </c>
      <c r="D135" s="30" t="s">
        <v>403</v>
      </c>
      <c r="E135" s="41">
        <v>8.51</v>
      </c>
      <c r="F135" s="33">
        <v>0.0</v>
      </c>
      <c r="G135" s="30" t="str">
        <f t="shared" si="1"/>
        <v>PASS</v>
      </c>
      <c r="H135" s="46" t="s">
        <v>46</v>
      </c>
      <c r="I135" s="62" t="s">
        <v>27</v>
      </c>
      <c r="J135" s="63">
        <v>0.0</v>
      </c>
      <c r="K135" s="48" t="s">
        <v>52</v>
      </c>
      <c r="L135" s="28">
        <v>1.0</v>
      </c>
      <c r="M135" s="28">
        <f>IFERROR(__xludf.DUMMYFUNCTION("VLOOKUP(B135,IMPORTRANGE(""1CGZ0Bai7Upqd4o8ih3likiFIYVFcX2B2CZFasZGKRII"",""Refined according to Results!B:J""),9,FALSE)"),8.82)</f>
        <v>8.82</v>
      </c>
      <c r="Q135" s="45" t="s">
        <v>52</v>
      </c>
      <c r="R135" s="45"/>
      <c r="S135" s="45"/>
      <c r="T135" s="45"/>
    </row>
    <row r="136" ht="15.75" customHeight="1">
      <c r="A136" s="40">
        <v>135.0</v>
      </c>
      <c r="B136" s="30" t="s">
        <v>404</v>
      </c>
      <c r="C136" s="30" t="s">
        <v>15</v>
      </c>
      <c r="D136" s="30" t="s">
        <v>405</v>
      </c>
      <c r="E136" s="41">
        <v>8.37</v>
      </c>
      <c r="F136" s="33">
        <v>0.0</v>
      </c>
      <c r="G136" s="30" t="str">
        <f t="shared" si="1"/>
        <v>PASS</v>
      </c>
      <c r="H136" s="49" t="s">
        <v>60</v>
      </c>
      <c r="I136" s="47" t="s">
        <v>27</v>
      </c>
      <c r="J136" s="43">
        <v>0.0</v>
      </c>
      <c r="K136" s="44" t="s">
        <v>406</v>
      </c>
      <c r="L136" s="45">
        <v>2.0</v>
      </c>
      <c r="M136" s="28">
        <f>IFERROR(__xludf.DUMMYFUNCTION("VLOOKUP(B136,IMPORTRANGE(""1CGZ0Bai7Upqd4o8ih3likiFIYVFcX2B2CZFasZGKRII"",""Refined according to Results!B:J""),9,FALSE)"),8.32)</f>
        <v>8.32</v>
      </c>
      <c r="Q136" s="45" t="s">
        <v>52</v>
      </c>
      <c r="R136" s="45" t="s">
        <v>63</v>
      </c>
      <c r="S136" s="45"/>
      <c r="T136" s="45"/>
    </row>
    <row r="137" ht="15.75" customHeight="1">
      <c r="A137" s="40">
        <v>136.0</v>
      </c>
      <c r="B137" s="30" t="s">
        <v>407</v>
      </c>
      <c r="C137" s="30" t="s">
        <v>15</v>
      </c>
      <c r="D137" s="30" t="s">
        <v>408</v>
      </c>
      <c r="E137" s="41">
        <v>7.89</v>
      </c>
      <c r="F137" s="33">
        <v>0.0</v>
      </c>
      <c r="G137" s="30" t="str">
        <f t="shared" si="1"/>
        <v>PASS</v>
      </c>
      <c r="H137" s="46" t="s">
        <v>46</v>
      </c>
      <c r="I137" s="47" t="s">
        <v>27</v>
      </c>
      <c r="J137" s="43">
        <v>0.0</v>
      </c>
      <c r="K137" s="48" t="s">
        <v>409</v>
      </c>
      <c r="L137" s="45">
        <v>2.0</v>
      </c>
      <c r="M137" s="28">
        <f>IFERROR(__xludf.DUMMYFUNCTION("VLOOKUP(B137,IMPORTRANGE(""1CGZ0Bai7Upqd4o8ih3likiFIYVFcX2B2CZFasZGKRII"",""Refined according to Results!B:J""),9,FALSE)"),7.76)</f>
        <v>7.76</v>
      </c>
      <c r="Q137" s="45">
        <v>0.0</v>
      </c>
      <c r="R137" s="45"/>
      <c r="S137" s="45"/>
      <c r="T137" s="45"/>
    </row>
    <row r="138" ht="15.75" customHeight="1">
      <c r="A138" s="40">
        <v>137.0</v>
      </c>
      <c r="B138" s="30" t="s">
        <v>410</v>
      </c>
      <c r="C138" s="30" t="s">
        <v>15</v>
      </c>
      <c r="D138" s="30" t="s">
        <v>411</v>
      </c>
      <c r="E138" s="41">
        <v>8.83</v>
      </c>
      <c r="F138" s="33">
        <v>0.0</v>
      </c>
      <c r="G138" s="30" t="str">
        <f t="shared" si="1"/>
        <v>PASS</v>
      </c>
      <c r="H138" s="49" t="s">
        <v>60</v>
      </c>
      <c r="I138" s="47" t="s">
        <v>27</v>
      </c>
      <c r="J138" s="43">
        <v>0.0</v>
      </c>
      <c r="K138" s="52"/>
      <c r="L138" s="28">
        <v>0.0</v>
      </c>
      <c r="M138" s="28">
        <f>IFERROR(__xludf.DUMMYFUNCTION("VLOOKUP(B138,IMPORTRANGE(""1CGZ0Bai7Upqd4o8ih3likiFIYVFcX2B2CZFasZGKRII"",""Refined according to Results!B:J""),9,FALSE)"),8.76)</f>
        <v>8.76</v>
      </c>
      <c r="Q138" s="45">
        <v>0.0</v>
      </c>
      <c r="R138" s="45"/>
      <c r="S138" s="45"/>
      <c r="T138" s="45"/>
    </row>
    <row r="139" ht="15.75" customHeight="1">
      <c r="A139" s="40">
        <v>138.0</v>
      </c>
      <c r="B139" s="30" t="s">
        <v>412</v>
      </c>
      <c r="C139" s="30" t="s">
        <v>15</v>
      </c>
      <c r="D139" s="30" t="s">
        <v>413</v>
      </c>
      <c r="E139" s="33">
        <v>7.63</v>
      </c>
      <c r="F139" s="33">
        <v>0.0</v>
      </c>
      <c r="G139" s="30" t="str">
        <f t="shared" si="1"/>
        <v>PASS</v>
      </c>
      <c r="H139" s="46" t="s">
        <v>46</v>
      </c>
      <c r="I139" s="47" t="s">
        <v>28</v>
      </c>
      <c r="J139" s="43">
        <v>0.0</v>
      </c>
      <c r="K139" s="51"/>
      <c r="L139" s="28">
        <v>0.0</v>
      </c>
      <c r="M139" s="28" t="str">
        <f>IFERROR(__xludf.DUMMYFUNCTION("VLOOKUP(B139,IMPORTRANGE(""1CGZ0Bai7Upqd4o8ih3likiFIYVFcX2B2CZFasZGKRII"",""Refined according to Results!B:J""),9,FALSE)"),"#N/A")</f>
        <v>#N/A</v>
      </c>
      <c r="Q139" s="45">
        <v>0.0</v>
      </c>
      <c r="R139" s="45"/>
      <c r="S139" s="45"/>
      <c r="T139" s="45"/>
    </row>
    <row r="140" ht="15.75" customHeight="1">
      <c r="A140" s="40">
        <v>139.0</v>
      </c>
      <c r="B140" s="30" t="s">
        <v>414</v>
      </c>
      <c r="C140" s="30" t="s">
        <v>15</v>
      </c>
      <c r="D140" s="30" t="s">
        <v>415</v>
      </c>
      <c r="E140" s="33">
        <v>8.75</v>
      </c>
      <c r="F140" s="33">
        <v>0.0</v>
      </c>
      <c r="G140" s="30" t="str">
        <f t="shared" si="1"/>
        <v>PASS</v>
      </c>
      <c r="H140" s="49" t="s">
        <v>46</v>
      </c>
      <c r="I140" s="47" t="s">
        <v>27</v>
      </c>
      <c r="J140" s="43" t="s">
        <v>416</v>
      </c>
      <c r="K140" s="44" t="s">
        <v>52</v>
      </c>
      <c r="L140" s="28">
        <v>1.0</v>
      </c>
      <c r="M140" s="28" t="str">
        <f>IFERROR(__xludf.DUMMYFUNCTION("VLOOKUP(B140,IMPORTRANGE(""1CGZ0Bai7Upqd4o8ih3likiFIYVFcX2B2CZFasZGKRII"",""Refined according to Results!B:J""),9,FALSE)"),"#N/A")</f>
        <v>#N/A</v>
      </c>
      <c r="Q140" s="45" t="s">
        <v>52</v>
      </c>
      <c r="R140" s="45"/>
      <c r="S140" s="45"/>
      <c r="T140" s="45"/>
    </row>
    <row r="141" ht="15.75" customHeight="1">
      <c r="A141" s="40">
        <v>140.0</v>
      </c>
      <c r="B141" s="30" t="s">
        <v>417</v>
      </c>
      <c r="C141" s="30" t="s">
        <v>15</v>
      </c>
      <c r="D141" s="30" t="s">
        <v>418</v>
      </c>
      <c r="E141" s="33">
        <v>8.92</v>
      </c>
      <c r="F141" s="33">
        <v>0.0</v>
      </c>
      <c r="G141" s="30" t="str">
        <f t="shared" si="1"/>
        <v>PASS</v>
      </c>
      <c r="H141" s="46" t="s">
        <v>60</v>
      </c>
      <c r="I141" s="47" t="s">
        <v>28</v>
      </c>
      <c r="J141" s="43">
        <v>0.0</v>
      </c>
      <c r="K141" s="51"/>
      <c r="L141" s="28">
        <v>0.0</v>
      </c>
      <c r="M141" s="28" t="str">
        <f>IFERROR(__xludf.DUMMYFUNCTION("VLOOKUP(B141,IMPORTRANGE(""1CGZ0Bai7Upqd4o8ih3likiFIYVFcX2B2CZFasZGKRII"",""Refined according to Results!B:J""),9,FALSE)"),"#N/A")</f>
        <v>#N/A</v>
      </c>
      <c r="Q141" s="45">
        <v>0.0</v>
      </c>
      <c r="R141" s="45"/>
      <c r="S141" s="45"/>
      <c r="T141" s="45"/>
    </row>
    <row r="142" ht="15.75" customHeight="1">
      <c r="A142" s="40">
        <v>141.0</v>
      </c>
      <c r="B142" s="30" t="s">
        <v>419</v>
      </c>
      <c r="C142" s="30" t="s">
        <v>15</v>
      </c>
      <c r="D142" s="30" t="s">
        <v>420</v>
      </c>
      <c r="E142" s="33">
        <v>8.22</v>
      </c>
      <c r="F142" s="33">
        <v>0.0</v>
      </c>
      <c r="G142" s="30" t="str">
        <f t="shared" si="1"/>
        <v>PASS</v>
      </c>
      <c r="H142" s="49" t="s">
        <v>60</v>
      </c>
      <c r="I142" s="57" t="s">
        <v>27</v>
      </c>
      <c r="J142" s="58">
        <v>0.0</v>
      </c>
      <c r="K142" s="44" t="s">
        <v>421</v>
      </c>
      <c r="L142" s="45">
        <v>2.0</v>
      </c>
      <c r="M142" s="28" t="str">
        <f>IFERROR(__xludf.DUMMYFUNCTION("VLOOKUP(B142,IMPORTRANGE(""1CGZ0Bai7Upqd4o8ih3likiFIYVFcX2B2CZFasZGKRII"",""Refined according to Results!B:J""),9,FALSE)"),"#N/A")</f>
        <v>#N/A</v>
      </c>
      <c r="Q142" s="45" t="s">
        <v>66</v>
      </c>
      <c r="R142" s="45"/>
      <c r="S142" s="45"/>
      <c r="T142" s="45"/>
    </row>
    <row r="143" ht="15.75" customHeight="1">
      <c r="A143" s="40">
        <v>142.0</v>
      </c>
      <c r="B143" s="30" t="s">
        <v>422</v>
      </c>
      <c r="C143" s="30" t="s">
        <v>15</v>
      </c>
      <c r="D143" s="30" t="s">
        <v>423</v>
      </c>
      <c r="E143" s="33"/>
      <c r="F143" s="33">
        <v>1.0</v>
      </c>
      <c r="G143" s="30" t="str">
        <f t="shared" si="1"/>
        <v>FAIL</v>
      </c>
      <c r="H143" s="46" t="s">
        <v>46</v>
      </c>
      <c r="I143" s="47" t="s">
        <v>27</v>
      </c>
      <c r="J143" s="43">
        <v>0.0</v>
      </c>
      <c r="K143" s="48" t="s">
        <v>234</v>
      </c>
      <c r="L143" s="45">
        <v>1.0</v>
      </c>
      <c r="M143" s="28" t="str">
        <f>IFERROR(__xludf.DUMMYFUNCTION("VLOOKUP(B143,IMPORTRANGE(""1CGZ0Bai7Upqd4o8ih3likiFIYVFcX2B2CZFasZGKRII"",""Refined according to Results!B:J""),9,FALSE)"),"#N/A")</f>
        <v>#N/A</v>
      </c>
      <c r="Q143" s="45">
        <v>0.0</v>
      </c>
      <c r="R143" s="45"/>
      <c r="S143" s="45"/>
      <c r="T143" s="45"/>
    </row>
    <row r="144" ht="15.75" customHeight="1">
      <c r="A144" s="40">
        <v>143.0</v>
      </c>
      <c r="B144" s="30" t="s">
        <v>424</v>
      </c>
      <c r="C144" s="30" t="s">
        <v>15</v>
      </c>
      <c r="D144" s="30" t="s">
        <v>425</v>
      </c>
      <c r="E144" s="33"/>
      <c r="F144" s="33">
        <v>1.0</v>
      </c>
      <c r="G144" s="30" t="str">
        <f t="shared" si="1"/>
        <v>FAIL</v>
      </c>
      <c r="H144" s="49" t="s">
        <v>60</v>
      </c>
      <c r="I144" s="47" t="s">
        <v>27</v>
      </c>
      <c r="J144" s="43">
        <v>0.0</v>
      </c>
      <c r="K144" s="52"/>
      <c r="L144" s="28">
        <v>0.0</v>
      </c>
      <c r="M144" s="28" t="str">
        <f>IFERROR(__xludf.DUMMYFUNCTION("VLOOKUP(B144,IMPORTRANGE(""1CGZ0Bai7Upqd4o8ih3likiFIYVFcX2B2CZFasZGKRII"",""Refined according to Results!B:J""),9,FALSE)"),"#N/A")</f>
        <v>#N/A</v>
      </c>
      <c r="Q144" s="45">
        <v>0.0</v>
      </c>
      <c r="R144" s="45"/>
      <c r="S144" s="45"/>
      <c r="T144" s="45"/>
    </row>
    <row r="145" ht="15.75" customHeight="1">
      <c r="A145" s="40">
        <v>144.0</v>
      </c>
      <c r="B145" s="30" t="s">
        <v>426</v>
      </c>
      <c r="C145" s="30" t="s">
        <v>15</v>
      </c>
      <c r="D145" s="30" t="s">
        <v>427</v>
      </c>
      <c r="E145" s="33">
        <v>8.71</v>
      </c>
      <c r="F145" s="33">
        <v>0.0</v>
      </c>
      <c r="G145" s="30" t="str">
        <f t="shared" si="1"/>
        <v>PASS</v>
      </c>
      <c r="H145" s="46" t="s">
        <v>60</v>
      </c>
      <c r="I145" s="47" t="s">
        <v>27</v>
      </c>
      <c r="J145" s="43">
        <v>0.0</v>
      </c>
      <c r="K145" s="51"/>
      <c r="L145" s="28">
        <v>0.0</v>
      </c>
      <c r="M145" s="28" t="str">
        <f>IFERROR(__xludf.DUMMYFUNCTION("VLOOKUP(B145,IMPORTRANGE(""1CGZ0Bai7Upqd4o8ih3likiFIYVFcX2B2CZFasZGKRII"",""Refined according to Results!B:J""),9,FALSE)"),"#N/A")</f>
        <v>#N/A</v>
      </c>
      <c r="Q145" s="45">
        <v>0.0</v>
      </c>
      <c r="R145" s="45"/>
      <c r="S145" s="45"/>
      <c r="T145" s="45"/>
    </row>
    <row r="146" ht="15.75" customHeight="1">
      <c r="A146" s="40">
        <v>145.0</v>
      </c>
      <c r="B146" s="30" t="s">
        <v>428</v>
      </c>
      <c r="C146" s="30" t="s">
        <v>16</v>
      </c>
      <c r="D146" s="30" t="s">
        <v>429</v>
      </c>
      <c r="E146" s="41">
        <v>8.13</v>
      </c>
      <c r="F146" s="33">
        <v>0.0</v>
      </c>
      <c r="G146" s="30" t="str">
        <f t="shared" si="1"/>
        <v>PASS</v>
      </c>
      <c r="H146" s="49" t="s">
        <v>46</v>
      </c>
      <c r="I146" s="47" t="s">
        <v>27</v>
      </c>
      <c r="J146" s="43">
        <v>0.0</v>
      </c>
      <c r="K146" s="44" t="s">
        <v>430</v>
      </c>
      <c r="L146" s="45">
        <v>2.0</v>
      </c>
      <c r="M146" s="28">
        <f>IFERROR(__xludf.DUMMYFUNCTION("VLOOKUP(B146,IMPORTRANGE(""1CGZ0Bai7Upqd4o8ih3likiFIYVFcX2B2CZFasZGKRII"",""Refined according to Results!B:J""),9,FALSE)"),8.17)</f>
        <v>8.17</v>
      </c>
      <c r="Q146" s="45">
        <v>0.0</v>
      </c>
      <c r="R146" s="45"/>
      <c r="S146" s="45"/>
      <c r="T146" s="45"/>
    </row>
    <row r="147" ht="15.75" customHeight="1">
      <c r="A147" s="40">
        <v>146.0</v>
      </c>
      <c r="B147" s="30" t="s">
        <v>431</v>
      </c>
      <c r="C147" s="30" t="s">
        <v>16</v>
      </c>
      <c r="D147" s="30" t="s">
        <v>432</v>
      </c>
      <c r="E147" s="41">
        <v>8.98</v>
      </c>
      <c r="F147" s="33">
        <v>0.0</v>
      </c>
      <c r="G147" s="30" t="str">
        <f t="shared" si="1"/>
        <v>PASS</v>
      </c>
      <c r="H147" s="46" t="s">
        <v>46</v>
      </c>
      <c r="I147" s="47" t="s">
        <v>28</v>
      </c>
      <c r="J147" s="43">
        <v>0.0</v>
      </c>
      <c r="K147" s="48" t="s">
        <v>406</v>
      </c>
      <c r="L147" s="45">
        <v>2.0</v>
      </c>
      <c r="M147" s="28">
        <f>IFERROR(__xludf.DUMMYFUNCTION("VLOOKUP(B147,IMPORTRANGE(""1CGZ0Bai7Upqd4o8ih3likiFIYVFcX2B2CZFasZGKRII"",""Refined according to Results!B:J""),9,FALSE)"),9.15)</f>
        <v>9.15</v>
      </c>
      <c r="Q147" s="45" t="s">
        <v>52</v>
      </c>
      <c r="R147" s="45" t="s">
        <v>63</v>
      </c>
      <c r="S147" s="45"/>
      <c r="T147" s="45"/>
    </row>
    <row r="148" ht="15.75" customHeight="1">
      <c r="A148" s="40">
        <v>147.0</v>
      </c>
      <c r="B148" s="30" t="s">
        <v>433</v>
      </c>
      <c r="C148" s="30" t="s">
        <v>16</v>
      </c>
      <c r="D148" s="30" t="s">
        <v>434</v>
      </c>
      <c r="E148" s="50"/>
      <c r="F148" s="33">
        <v>1.0</v>
      </c>
      <c r="G148" s="30" t="str">
        <f t="shared" si="1"/>
        <v>FAIL</v>
      </c>
      <c r="H148" s="49" t="s">
        <v>46</v>
      </c>
      <c r="I148" s="47" t="s">
        <v>28</v>
      </c>
      <c r="J148" s="43">
        <v>0.0</v>
      </c>
      <c r="K148" s="52"/>
      <c r="L148" s="28">
        <v>0.0</v>
      </c>
      <c r="M148" s="28" t="str">
        <f>IFERROR(__xludf.DUMMYFUNCTION("VLOOKUP(B148,IMPORTRANGE(""1CGZ0Bai7Upqd4o8ih3likiFIYVFcX2B2CZFasZGKRII"",""Refined according to Results!B:J""),9,FALSE)"),"")</f>
        <v/>
      </c>
      <c r="Q148" s="45">
        <v>0.0</v>
      </c>
      <c r="R148" s="45"/>
      <c r="S148" s="45"/>
      <c r="T148" s="45"/>
    </row>
    <row r="149" ht="15.75" customHeight="1">
      <c r="A149" s="40">
        <v>148.0</v>
      </c>
      <c r="B149" s="30" t="s">
        <v>435</v>
      </c>
      <c r="C149" s="30" t="s">
        <v>16</v>
      </c>
      <c r="D149" s="30" t="s">
        <v>436</v>
      </c>
      <c r="E149" s="41">
        <v>8.75</v>
      </c>
      <c r="F149" s="33">
        <v>0.0</v>
      </c>
      <c r="G149" s="30" t="str">
        <f t="shared" si="1"/>
        <v>PASS</v>
      </c>
      <c r="H149" s="46" t="s">
        <v>46</v>
      </c>
      <c r="I149" s="47" t="s">
        <v>27</v>
      </c>
      <c r="J149" s="43">
        <v>0.0</v>
      </c>
      <c r="K149" s="48" t="s">
        <v>437</v>
      </c>
      <c r="L149" s="45">
        <v>3.0</v>
      </c>
      <c r="M149" s="28">
        <f>IFERROR(__xludf.DUMMYFUNCTION("VLOOKUP(B149,IMPORTRANGE(""1CGZ0Bai7Upqd4o8ih3likiFIYVFcX2B2CZFasZGKRII"",""Refined according to Results!B:J""),9,FALSE)"),8.85)</f>
        <v>8.85</v>
      </c>
      <c r="Q149" s="45" t="s">
        <v>91</v>
      </c>
      <c r="R149" s="45" t="s">
        <v>52</v>
      </c>
      <c r="S149" s="45"/>
      <c r="T149" s="45"/>
    </row>
    <row r="150" ht="15.75" customHeight="1">
      <c r="A150" s="40">
        <v>149.0</v>
      </c>
      <c r="B150" s="30" t="s">
        <v>438</v>
      </c>
      <c r="C150" s="30" t="s">
        <v>16</v>
      </c>
      <c r="D150" s="30" t="s">
        <v>439</v>
      </c>
      <c r="E150" s="41">
        <v>7.88</v>
      </c>
      <c r="F150" s="33">
        <v>0.0</v>
      </c>
      <c r="G150" s="30" t="str">
        <f t="shared" si="1"/>
        <v>PASS</v>
      </c>
      <c r="H150" s="49" t="s">
        <v>46</v>
      </c>
      <c r="I150" s="47" t="s">
        <v>28</v>
      </c>
      <c r="J150" s="43" t="s">
        <v>365</v>
      </c>
      <c r="K150" s="44" t="s">
        <v>440</v>
      </c>
      <c r="L150" s="45">
        <v>1.0</v>
      </c>
      <c r="M150" s="28">
        <f>IFERROR(__xludf.DUMMYFUNCTION("VLOOKUP(B150,IMPORTRANGE(""1CGZ0Bai7Upqd4o8ih3likiFIYVFcX2B2CZFasZGKRII"",""Refined according to Results!B:J""),9,FALSE)"),7.95)</f>
        <v>7.95</v>
      </c>
      <c r="Q150" s="45">
        <v>0.0</v>
      </c>
      <c r="R150" s="45"/>
      <c r="S150" s="45"/>
      <c r="T150" s="45"/>
    </row>
    <row r="151" ht="15.75" customHeight="1">
      <c r="A151" s="40">
        <v>150.0</v>
      </c>
      <c r="B151" s="30" t="s">
        <v>441</v>
      </c>
      <c r="C151" s="30" t="s">
        <v>16</v>
      </c>
      <c r="D151" s="30" t="s">
        <v>442</v>
      </c>
      <c r="E151" s="41">
        <v>8.82</v>
      </c>
      <c r="F151" s="33">
        <v>0.0</v>
      </c>
      <c r="G151" s="30" t="str">
        <f t="shared" si="1"/>
        <v>PASS</v>
      </c>
      <c r="H151" s="46" t="s">
        <v>46</v>
      </c>
      <c r="I151" s="47" t="s">
        <v>27</v>
      </c>
      <c r="J151" s="43">
        <v>0.0</v>
      </c>
      <c r="K151" s="48" t="s">
        <v>443</v>
      </c>
      <c r="L151" s="45">
        <v>3.0</v>
      </c>
      <c r="M151" s="28">
        <f>IFERROR(__xludf.DUMMYFUNCTION("VLOOKUP(B151,IMPORTRANGE(""1CGZ0Bai7Upqd4o8ih3likiFIYVFcX2B2CZFasZGKRII"",""Refined according to Results!B:J""),9,FALSE)"),9.28)</f>
        <v>9.28</v>
      </c>
      <c r="Q151" s="45" t="s">
        <v>52</v>
      </c>
      <c r="R151" s="45" t="s">
        <v>48</v>
      </c>
      <c r="S151" s="45" t="s">
        <v>63</v>
      </c>
      <c r="T151" s="45"/>
    </row>
    <row r="152" ht="15.75" customHeight="1">
      <c r="A152" s="40">
        <v>151.0</v>
      </c>
      <c r="B152" s="30" t="s">
        <v>444</v>
      </c>
      <c r="C152" s="30" t="s">
        <v>16</v>
      </c>
      <c r="D152" s="30" t="s">
        <v>445</v>
      </c>
      <c r="E152" s="41">
        <v>7.23</v>
      </c>
      <c r="F152" s="33">
        <v>0.0</v>
      </c>
      <c r="G152" s="30" t="str">
        <f t="shared" si="1"/>
        <v>PASS</v>
      </c>
      <c r="H152" s="49" t="s">
        <v>46</v>
      </c>
      <c r="I152" s="47" t="s">
        <v>27</v>
      </c>
      <c r="J152" s="43">
        <v>0.0</v>
      </c>
      <c r="K152" s="44" t="s">
        <v>237</v>
      </c>
      <c r="L152" s="45">
        <v>1.0</v>
      </c>
      <c r="M152" s="28">
        <f>IFERROR(__xludf.DUMMYFUNCTION("VLOOKUP(B152,IMPORTRANGE(""1CGZ0Bai7Upqd4o8ih3likiFIYVFcX2B2CZFasZGKRII"",""Refined according to Results!B:J""),9,FALSE)"),7.03)</f>
        <v>7.03</v>
      </c>
      <c r="Q152" s="45">
        <v>0.0</v>
      </c>
      <c r="R152" s="45"/>
      <c r="S152" s="45"/>
      <c r="T152" s="45"/>
    </row>
    <row r="153" ht="15.75" customHeight="1">
      <c r="A153" s="40">
        <v>152.0</v>
      </c>
      <c r="B153" s="30" t="s">
        <v>446</v>
      </c>
      <c r="C153" s="30" t="s">
        <v>16</v>
      </c>
      <c r="D153" s="30" t="s">
        <v>447</v>
      </c>
      <c r="E153" s="41">
        <v>7.49</v>
      </c>
      <c r="F153" s="33">
        <v>0.0</v>
      </c>
      <c r="G153" s="30" t="str">
        <f t="shared" si="1"/>
        <v>PASS</v>
      </c>
      <c r="H153" s="46" t="s">
        <v>60</v>
      </c>
      <c r="I153" s="47" t="s">
        <v>28</v>
      </c>
      <c r="J153" s="43">
        <v>0.0</v>
      </c>
      <c r="K153" s="48" t="s">
        <v>237</v>
      </c>
      <c r="L153" s="45">
        <v>1.0</v>
      </c>
      <c r="M153" s="28">
        <f>IFERROR(__xludf.DUMMYFUNCTION("VLOOKUP(B153,IMPORTRANGE(""1CGZ0Bai7Upqd4o8ih3likiFIYVFcX2B2CZFasZGKRII"",""Refined according to Results!B:J""),9,FALSE)"),7.29)</f>
        <v>7.29</v>
      </c>
      <c r="Q153" s="45">
        <v>0.0</v>
      </c>
      <c r="R153" s="45"/>
      <c r="S153" s="45"/>
      <c r="T153" s="45"/>
    </row>
    <row r="154" ht="15.75" customHeight="1">
      <c r="A154" s="40">
        <v>153.0</v>
      </c>
      <c r="B154" s="30" t="s">
        <v>448</v>
      </c>
      <c r="C154" s="30" t="s">
        <v>16</v>
      </c>
      <c r="D154" s="30" t="s">
        <v>449</v>
      </c>
      <c r="E154" s="41">
        <v>9.1</v>
      </c>
      <c r="F154" s="33">
        <v>0.0</v>
      </c>
      <c r="G154" s="30" t="str">
        <f t="shared" si="1"/>
        <v>PASS</v>
      </c>
      <c r="H154" s="49" t="s">
        <v>60</v>
      </c>
      <c r="I154" s="47" t="s">
        <v>27</v>
      </c>
      <c r="J154" s="43" t="s">
        <v>450</v>
      </c>
      <c r="K154" s="44" t="s">
        <v>451</v>
      </c>
      <c r="L154" s="45">
        <v>2.0</v>
      </c>
      <c r="M154" s="28">
        <f>IFERROR(__xludf.DUMMYFUNCTION("VLOOKUP(B154,IMPORTRANGE(""1CGZ0Bai7Upqd4o8ih3likiFIYVFcX2B2CZFasZGKRII"",""Refined according to Results!B:J""),9,FALSE)"),9.37)</f>
        <v>9.37</v>
      </c>
      <c r="Q154" s="45" t="s">
        <v>94</v>
      </c>
      <c r="R154" s="45"/>
      <c r="S154" s="45"/>
      <c r="T154" s="45"/>
    </row>
    <row r="155" ht="15.75" customHeight="1">
      <c r="A155" s="40">
        <v>154.0</v>
      </c>
      <c r="B155" s="30" t="s">
        <v>452</v>
      </c>
      <c r="C155" s="30" t="s">
        <v>16</v>
      </c>
      <c r="D155" s="30" t="s">
        <v>453</v>
      </c>
      <c r="E155" s="41">
        <v>7.25</v>
      </c>
      <c r="F155" s="33">
        <v>0.0</v>
      </c>
      <c r="G155" s="30" t="str">
        <f t="shared" si="1"/>
        <v>PASS</v>
      </c>
      <c r="H155" s="46" t="s">
        <v>46</v>
      </c>
      <c r="I155" s="47" t="s">
        <v>28</v>
      </c>
      <c r="J155" s="43">
        <v>0.0</v>
      </c>
      <c r="K155" s="51"/>
      <c r="L155" s="28">
        <v>0.0</v>
      </c>
      <c r="M155" s="28">
        <f>IFERROR(__xludf.DUMMYFUNCTION("VLOOKUP(B155,IMPORTRANGE(""1CGZ0Bai7Upqd4o8ih3likiFIYVFcX2B2CZFasZGKRII"",""Refined according to Results!B:J""),9,FALSE)"),7.31)</f>
        <v>7.31</v>
      </c>
      <c r="Q155" s="45">
        <v>0.0</v>
      </c>
      <c r="R155" s="45"/>
      <c r="S155" s="45"/>
      <c r="T155" s="45"/>
    </row>
    <row r="156" ht="15.75" customHeight="1">
      <c r="A156" s="40">
        <v>155.0</v>
      </c>
      <c r="B156" s="30" t="s">
        <v>454</v>
      </c>
      <c r="C156" s="30" t="s">
        <v>16</v>
      </c>
      <c r="D156" s="30" t="s">
        <v>455</v>
      </c>
      <c r="E156" s="50"/>
      <c r="F156" s="33">
        <v>1.0</v>
      </c>
      <c r="G156" s="30" t="str">
        <f t="shared" si="1"/>
        <v>FAIL</v>
      </c>
      <c r="H156" s="49" t="s">
        <v>46</v>
      </c>
      <c r="I156" s="47" t="s">
        <v>28</v>
      </c>
      <c r="J156" s="43">
        <v>0.0</v>
      </c>
      <c r="K156" s="52"/>
      <c r="L156" s="28">
        <v>0.0</v>
      </c>
      <c r="M156" s="28" t="str">
        <f>IFERROR(__xludf.DUMMYFUNCTION("VLOOKUP(B156,IMPORTRANGE(""1CGZ0Bai7Upqd4o8ih3likiFIYVFcX2B2CZFasZGKRII"",""Refined according to Results!B:J""),9,FALSE)"),"")</f>
        <v/>
      </c>
      <c r="Q156" s="45">
        <v>0.0</v>
      </c>
      <c r="R156" s="45"/>
      <c r="S156" s="45"/>
      <c r="T156" s="45"/>
    </row>
    <row r="157" ht="15.75" customHeight="1">
      <c r="A157" s="40">
        <v>156.0</v>
      </c>
      <c r="B157" s="30" t="s">
        <v>456</v>
      </c>
      <c r="C157" s="30" t="s">
        <v>16</v>
      </c>
      <c r="D157" s="30" t="s">
        <v>457</v>
      </c>
      <c r="E157" s="41">
        <v>7.25</v>
      </c>
      <c r="F157" s="33">
        <v>0.0</v>
      </c>
      <c r="G157" s="30" t="str">
        <f t="shared" si="1"/>
        <v>PASS</v>
      </c>
      <c r="H157" s="46" t="s">
        <v>46</v>
      </c>
      <c r="I157" s="55" t="s">
        <v>27</v>
      </c>
      <c r="J157" s="56">
        <v>0.0</v>
      </c>
      <c r="K157" s="51"/>
      <c r="L157" s="28">
        <v>0.0</v>
      </c>
      <c r="M157" s="28">
        <f>IFERROR(__xludf.DUMMYFUNCTION("VLOOKUP(B157,IMPORTRANGE(""1CGZ0Bai7Upqd4o8ih3likiFIYVFcX2B2CZFasZGKRII"",""Refined according to Results!B:J""),9,FALSE)"),7.23)</f>
        <v>7.23</v>
      </c>
      <c r="Q157" s="45">
        <v>0.0</v>
      </c>
      <c r="R157" s="45"/>
      <c r="S157" s="45"/>
      <c r="T157" s="45"/>
    </row>
    <row r="158" ht="15.75" customHeight="1">
      <c r="A158" s="40">
        <v>157.0</v>
      </c>
      <c r="B158" s="30" t="s">
        <v>458</v>
      </c>
      <c r="C158" s="30" t="s">
        <v>16</v>
      </c>
      <c r="D158" s="30" t="s">
        <v>459</v>
      </c>
      <c r="E158" s="41">
        <v>7.51</v>
      </c>
      <c r="F158" s="33">
        <v>0.0</v>
      </c>
      <c r="G158" s="30" t="str">
        <f t="shared" si="1"/>
        <v>PASS</v>
      </c>
      <c r="H158" s="49" t="s">
        <v>46</v>
      </c>
      <c r="I158" s="47" t="s">
        <v>27</v>
      </c>
      <c r="J158" s="43">
        <v>0.0</v>
      </c>
      <c r="K158" s="44" t="s">
        <v>460</v>
      </c>
      <c r="L158" s="45">
        <v>3.0</v>
      </c>
      <c r="M158" s="28">
        <f>IFERROR(__xludf.DUMMYFUNCTION("VLOOKUP(B158,IMPORTRANGE(""1CGZ0Bai7Upqd4o8ih3likiFIYVFcX2B2CZFasZGKRII"",""Refined according to Results!B:J""),9,FALSE)"),7.67)</f>
        <v>7.67</v>
      </c>
      <c r="Q158" s="45" t="s">
        <v>80</v>
      </c>
      <c r="R158" s="45" t="s">
        <v>63</v>
      </c>
      <c r="S158" s="45"/>
      <c r="T158" s="45"/>
    </row>
    <row r="159" ht="15.75" customHeight="1">
      <c r="A159" s="40">
        <v>158.0</v>
      </c>
      <c r="B159" s="30" t="s">
        <v>461</v>
      </c>
      <c r="C159" s="30" t="s">
        <v>16</v>
      </c>
      <c r="D159" s="30" t="s">
        <v>462</v>
      </c>
      <c r="E159" s="41">
        <v>8.94</v>
      </c>
      <c r="F159" s="33">
        <v>0.0</v>
      </c>
      <c r="G159" s="30" t="str">
        <f t="shared" si="1"/>
        <v>PASS</v>
      </c>
      <c r="H159" s="46" t="s">
        <v>46</v>
      </c>
      <c r="I159" s="47" t="s">
        <v>28</v>
      </c>
      <c r="J159" s="43" t="s">
        <v>463</v>
      </c>
      <c r="K159" s="48" t="s">
        <v>464</v>
      </c>
      <c r="L159" s="45">
        <v>2.0</v>
      </c>
      <c r="M159" s="28">
        <f>IFERROR(__xludf.DUMMYFUNCTION("VLOOKUP(B159,IMPORTRANGE(""1CGZ0Bai7Upqd4o8ih3likiFIYVFcX2B2CZFasZGKRII"",""Refined according to Results!B:J""),9,FALSE)"),9.21)</f>
        <v>9.21</v>
      </c>
      <c r="Q159" s="45" t="s">
        <v>52</v>
      </c>
      <c r="R159" s="45"/>
      <c r="S159" s="45"/>
      <c r="T159" s="45"/>
    </row>
    <row r="160" ht="15.75" customHeight="1">
      <c r="A160" s="40">
        <v>159.0</v>
      </c>
      <c r="B160" s="30" t="s">
        <v>465</v>
      </c>
      <c r="C160" s="30" t="s">
        <v>16</v>
      </c>
      <c r="D160" s="30" t="s">
        <v>466</v>
      </c>
      <c r="E160" s="41">
        <v>8.99</v>
      </c>
      <c r="F160" s="33">
        <v>0.0</v>
      </c>
      <c r="G160" s="30" t="str">
        <f t="shared" si="1"/>
        <v>PASS</v>
      </c>
      <c r="H160" s="49" t="s">
        <v>60</v>
      </c>
      <c r="I160" s="47" t="s">
        <v>28</v>
      </c>
      <c r="J160" s="43">
        <v>0.0</v>
      </c>
      <c r="K160" s="44" t="s">
        <v>467</v>
      </c>
      <c r="L160" s="45">
        <v>4.0</v>
      </c>
      <c r="M160" s="28">
        <f>IFERROR(__xludf.DUMMYFUNCTION("VLOOKUP(B160,IMPORTRANGE(""1CGZ0Bai7Upqd4o8ih3likiFIYVFcX2B2CZFasZGKRII"",""Refined according to Results!B:J""),9,FALSE)"),9.29)</f>
        <v>9.29</v>
      </c>
      <c r="Q160" s="45" t="s">
        <v>52</v>
      </c>
      <c r="R160" s="45" t="s">
        <v>79</v>
      </c>
      <c r="S160" s="45" t="s">
        <v>63</v>
      </c>
      <c r="T160" s="45"/>
    </row>
    <row r="161" ht="15.75" customHeight="1">
      <c r="A161" s="40">
        <v>160.0</v>
      </c>
      <c r="B161" s="30" t="s">
        <v>468</v>
      </c>
      <c r="C161" s="30" t="s">
        <v>16</v>
      </c>
      <c r="D161" s="30" t="s">
        <v>469</v>
      </c>
      <c r="E161" s="41">
        <v>8.68</v>
      </c>
      <c r="F161" s="33">
        <v>0.0</v>
      </c>
      <c r="G161" s="30" t="str">
        <f t="shared" si="1"/>
        <v>PASS</v>
      </c>
      <c r="H161" s="46" t="s">
        <v>46</v>
      </c>
      <c r="I161" s="47" t="s">
        <v>27</v>
      </c>
      <c r="J161" s="43">
        <v>0.0</v>
      </c>
      <c r="K161" s="48" t="s">
        <v>228</v>
      </c>
      <c r="L161" s="45">
        <v>1.0</v>
      </c>
      <c r="M161" s="28">
        <f>IFERROR(__xludf.DUMMYFUNCTION("VLOOKUP(B161,IMPORTRANGE(""1CGZ0Bai7Upqd4o8ih3likiFIYVFcX2B2CZFasZGKRII"",""Refined according to Results!B:J""),9,FALSE)"),8.76)</f>
        <v>8.76</v>
      </c>
      <c r="Q161" s="45">
        <v>0.0</v>
      </c>
      <c r="R161" s="45"/>
      <c r="S161" s="45"/>
      <c r="T161" s="45"/>
    </row>
    <row r="162" ht="15.75" customHeight="1">
      <c r="A162" s="40">
        <v>161.0</v>
      </c>
      <c r="B162" s="30" t="s">
        <v>470</v>
      </c>
      <c r="C162" s="30" t="s">
        <v>16</v>
      </c>
      <c r="D162" s="30" t="s">
        <v>471</v>
      </c>
      <c r="E162" s="50"/>
      <c r="F162" s="33">
        <v>9.0</v>
      </c>
      <c r="G162" s="30" t="str">
        <f t="shared" si="1"/>
        <v>FAIL</v>
      </c>
      <c r="H162" s="49" t="s">
        <v>46</v>
      </c>
      <c r="I162" s="47" t="s">
        <v>28</v>
      </c>
      <c r="J162" s="43">
        <v>0.0</v>
      </c>
      <c r="K162" s="52"/>
      <c r="L162" s="28">
        <v>0.0</v>
      </c>
      <c r="M162" s="28" t="str">
        <f>IFERROR(__xludf.DUMMYFUNCTION("VLOOKUP(B162,IMPORTRANGE(""1CGZ0Bai7Upqd4o8ih3likiFIYVFcX2B2CZFasZGKRII"",""Refined according to Results!B:J""),9,FALSE)"),"")</f>
        <v/>
      </c>
      <c r="Q162" s="45">
        <v>0.0</v>
      </c>
      <c r="R162" s="45"/>
      <c r="S162" s="45"/>
      <c r="T162" s="45"/>
    </row>
    <row r="163" ht="15.75" customHeight="1">
      <c r="A163" s="40">
        <v>162.0</v>
      </c>
      <c r="B163" s="30" t="s">
        <v>472</v>
      </c>
      <c r="C163" s="30" t="s">
        <v>16</v>
      </c>
      <c r="D163" s="30" t="s">
        <v>473</v>
      </c>
      <c r="E163" s="41">
        <v>8.52</v>
      </c>
      <c r="F163" s="33">
        <v>0.0</v>
      </c>
      <c r="G163" s="30" t="str">
        <f t="shared" si="1"/>
        <v>PASS</v>
      </c>
      <c r="H163" s="46" t="s">
        <v>46</v>
      </c>
      <c r="I163" s="47" t="s">
        <v>27</v>
      </c>
      <c r="J163" s="43" t="s">
        <v>222</v>
      </c>
      <c r="K163" s="48" t="s">
        <v>474</v>
      </c>
      <c r="L163" s="45">
        <v>3.0</v>
      </c>
      <c r="M163" s="28">
        <f>IFERROR(__xludf.DUMMYFUNCTION("VLOOKUP(B163,IMPORTRANGE(""1CGZ0Bai7Upqd4o8ih3likiFIYVFcX2B2CZFasZGKRII"",""Refined according to Results!B:J""),9,FALSE)"),8.59)</f>
        <v>8.59</v>
      </c>
      <c r="Q163" s="45" t="s">
        <v>52</v>
      </c>
      <c r="R163" s="45" t="s">
        <v>48</v>
      </c>
      <c r="S163" s="45"/>
      <c r="T163" s="45"/>
    </row>
    <row r="164" ht="15.75" customHeight="1">
      <c r="A164" s="40">
        <v>163.0</v>
      </c>
      <c r="B164" s="30" t="s">
        <v>475</v>
      </c>
      <c r="C164" s="30" t="s">
        <v>16</v>
      </c>
      <c r="D164" s="30" t="s">
        <v>476</v>
      </c>
      <c r="E164" s="50"/>
      <c r="F164" s="33">
        <v>17.0</v>
      </c>
      <c r="G164" s="30" t="str">
        <f t="shared" si="1"/>
        <v>FAIL</v>
      </c>
      <c r="H164" s="49" t="s">
        <v>46</v>
      </c>
      <c r="I164" s="47" t="s">
        <v>27</v>
      </c>
      <c r="J164" s="43">
        <v>0.0</v>
      </c>
      <c r="K164" s="52"/>
      <c r="L164" s="28">
        <v>0.0</v>
      </c>
      <c r="M164" s="28" t="str">
        <f>IFERROR(__xludf.DUMMYFUNCTION("VLOOKUP(B164,IMPORTRANGE(""1CGZ0Bai7Upqd4o8ih3likiFIYVFcX2B2CZFasZGKRII"",""Refined according to Results!B:J""),9,FALSE)"),"")</f>
        <v/>
      </c>
      <c r="Q164" s="45">
        <v>0.0</v>
      </c>
      <c r="R164" s="45"/>
      <c r="S164" s="45"/>
      <c r="T164" s="45"/>
    </row>
    <row r="165" ht="15.75" customHeight="1">
      <c r="A165" s="40">
        <v>164.0</v>
      </c>
      <c r="B165" s="30" t="s">
        <v>477</v>
      </c>
      <c r="C165" s="30" t="s">
        <v>16</v>
      </c>
      <c r="D165" s="30" t="s">
        <v>478</v>
      </c>
      <c r="E165" s="41">
        <v>8.82</v>
      </c>
      <c r="F165" s="33">
        <v>0.0</v>
      </c>
      <c r="G165" s="30" t="str">
        <f t="shared" si="1"/>
        <v>PASS</v>
      </c>
      <c r="H165" s="46" t="s">
        <v>46</v>
      </c>
      <c r="I165" s="47" t="s">
        <v>27</v>
      </c>
      <c r="J165" s="43">
        <v>0.0</v>
      </c>
      <c r="K165" s="48" t="s">
        <v>79</v>
      </c>
      <c r="L165" s="45">
        <v>1.0</v>
      </c>
      <c r="M165" s="28">
        <f>IFERROR(__xludf.DUMMYFUNCTION("VLOOKUP(B165,IMPORTRANGE(""1CGZ0Bai7Upqd4o8ih3likiFIYVFcX2B2CZFasZGKRII"",""Refined according to Results!B:J""),9,FALSE)"),9.01)</f>
        <v>9.01</v>
      </c>
      <c r="Q165" s="45" t="s">
        <v>79</v>
      </c>
      <c r="R165" s="45"/>
      <c r="S165" s="45"/>
      <c r="T165" s="45"/>
    </row>
    <row r="166" ht="15.75" customHeight="1">
      <c r="A166" s="40">
        <v>165.0</v>
      </c>
      <c r="B166" s="30" t="s">
        <v>479</v>
      </c>
      <c r="C166" s="30" t="s">
        <v>16</v>
      </c>
      <c r="D166" s="30" t="s">
        <v>480</v>
      </c>
      <c r="E166" s="41">
        <v>8.76</v>
      </c>
      <c r="F166" s="33">
        <v>0.0</v>
      </c>
      <c r="G166" s="30" t="str">
        <f t="shared" si="1"/>
        <v>PASS</v>
      </c>
      <c r="H166" s="49" t="s">
        <v>46</v>
      </c>
      <c r="I166" s="47" t="s">
        <v>27</v>
      </c>
      <c r="J166" s="43">
        <v>0.0</v>
      </c>
      <c r="K166" s="44" t="s">
        <v>481</v>
      </c>
      <c r="L166" s="45">
        <v>4.0</v>
      </c>
      <c r="M166" s="28">
        <f>IFERROR(__xludf.DUMMYFUNCTION("VLOOKUP(B166,IMPORTRANGE(""1CGZ0Bai7Upqd4o8ih3likiFIYVFcX2B2CZFasZGKRII"",""Refined according to Results!B:J""),9,FALSE)"),8.81)</f>
        <v>8.81</v>
      </c>
      <c r="Q166" s="45" t="s">
        <v>48</v>
      </c>
      <c r="R166" s="45" t="s">
        <v>63</v>
      </c>
      <c r="S166" s="45"/>
      <c r="T166" s="45"/>
    </row>
    <row r="167" ht="15.75" customHeight="1">
      <c r="A167" s="40">
        <v>166.0</v>
      </c>
      <c r="B167" s="30" t="s">
        <v>482</v>
      </c>
      <c r="C167" s="30" t="s">
        <v>16</v>
      </c>
      <c r="D167" s="30" t="s">
        <v>483</v>
      </c>
      <c r="E167" s="41">
        <v>8.6</v>
      </c>
      <c r="F167" s="33">
        <v>0.0</v>
      </c>
      <c r="G167" s="30" t="str">
        <f t="shared" si="1"/>
        <v>PASS</v>
      </c>
      <c r="H167" s="46" t="s">
        <v>60</v>
      </c>
      <c r="I167" s="47" t="s">
        <v>27</v>
      </c>
      <c r="J167" s="43">
        <v>0.0</v>
      </c>
      <c r="K167" s="51"/>
      <c r="L167" s="28">
        <v>0.0</v>
      </c>
      <c r="M167" s="28">
        <f>IFERROR(__xludf.DUMMYFUNCTION("VLOOKUP(B167,IMPORTRANGE(""1CGZ0Bai7Upqd4o8ih3likiFIYVFcX2B2CZFasZGKRII"",""Refined according to Results!B:J""),9,FALSE)"),8.58)</f>
        <v>8.58</v>
      </c>
      <c r="Q167" s="45">
        <v>0.0</v>
      </c>
      <c r="R167" s="45"/>
      <c r="S167" s="45"/>
      <c r="T167" s="45"/>
    </row>
    <row r="168" ht="15.75" customHeight="1">
      <c r="A168" s="40">
        <v>167.0</v>
      </c>
      <c r="B168" s="30" t="s">
        <v>484</v>
      </c>
      <c r="C168" s="30" t="s">
        <v>16</v>
      </c>
      <c r="D168" s="30" t="s">
        <v>485</v>
      </c>
      <c r="E168" s="41">
        <v>8.5</v>
      </c>
      <c r="F168" s="33">
        <v>0.0</v>
      </c>
      <c r="G168" s="30" t="str">
        <f t="shared" si="1"/>
        <v>PASS</v>
      </c>
      <c r="H168" s="49" t="s">
        <v>46</v>
      </c>
      <c r="I168" s="47" t="s">
        <v>27</v>
      </c>
      <c r="J168" s="43">
        <v>0.0</v>
      </c>
      <c r="K168" s="44" t="s">
        <v>486</v>
      </c>
      <c r="L168" s="45">
        <v>2.0</v>
      </c>
      <c r="M168" s="28">
        <f>IFERROR(__xludf.DUMMYFUNCTION("VLOOKUP(B168,IMPORTRANGE(""1CGZ0Bai7Upqd4o8ih3likiFIYVFcX2B2CZFasZGKRII"",""Refined according to Results!B:J""),9,FALSE)"),8.73)</f>
        <v>8.73</v>
      </c>
      <c r="Q168" s="45" t="s">
        <v>52</v>
      </c>
      <c r="R168" s="45"/>
      <c r="S168" s="45"/>
      <c r="T168" s="45"/>
    </row>
    <row r="169" ht="15.75" customHeight="1">
      <c r="A169" s="40">
        <v>168.0</v>
      </c>
      <c r="B169" s="30" t="s">
        <v>487</v>
      </c>
      <c r="C169" s="30" t="s">
        <v>16</v>
      </c>
      <c r="D169" s="30" t="s">
        <v>488</v>
      </c>
      <c r="E169" s="41">
        <v>6.48</v>
      </c>
      <c r="F169" s="33">
        <v>0.0</v>
      </c>
      <c r="G169" s="30" t="str">
        <f t="shared" si="1"/>
        <v>PASS</v>
      </c>
      <c r="H169" s="46" t="s">
        <v>60</v>
      </c>
      <c r="I169" s="47" t="s">
        <v>27</v>
      </c>
      <c r="J169" s="43" t="s">
        <v>365</v>
      </c>
      <c r="K169" s="48" t="s">
        <v>440</v>
      </c>
      <c r="L169" s="45">
        <v>1.0</v>
      </c>
      <c r="M169" s="28" t="str">
        <f>IFERROR(__xludf.DUMMYFUNCTION("VLOOKUP(B169,IMPORTRANGE(""1CGZ0Bai7Upqd4o8ih3likiFIYVFcX2B2CZFasZGKRII"",""Refined according to Results!B:J""),9,FALSE)"),"")</f>
        <v/>
      </c>
      <c r="Q169" s="45">
        <v>0.0</v>
      </c>
      <c r="R169" s="45"/>
      <c r="S169" s="45"/>
      <c r="T169" s="45"/>
    </row>
    <row r="170" ht="15.75" customHeight="1">
      <c r="A170" s="40">
        <v>169.0</v>
      </c>
      <c r="B170" s="30" t="s">
        <v>489</v>
      </c>
      <c r="C170" s="30" t="s">
        <v>16</v>
      </c>
      <c r="D170" s="30" t="s">
        <v>490</v>
      </c>
      <c r="E170" s="41">
        <v>7.13</v>
      </c>
      <c r="F170" s="33">
        <v>0.0</v>
      </c>
      <c r="G170" s="30" t="str">
        <f t="shared" si="1"/>
        <v>PASS</v>
      </c>
      <c r="H170" s="49" t="s">
        <v>46</v>
      </c>
      <c r="I170" s="55" t="s">
        <v>28</v>
      </c>
      <c r="J170" s="56">
        <v>0.0</v>
      </c>
      <c r="K170" s="44" t="s">
        <v>278</v>
      </c>
      <c r="L170" s="45">
        <v>2.0</v>
      </c>
      <c r="M170" s="28">
        <f>IFERROR(__xludf.DUMMYFUNCTION("VLOOKUP(B170,IMPORTRANGE(""1CGZ0Bai7Upqd4o8ih3likiFIYVFcX2B2CZFasZGKRII"",""Refined according to Results!B:J""),9,FALSE)"),7.54)</f>
        <v>7.54</v>
      </c>
      <c r="Q170" s="45" t="s">
        <v>52</v>
      </c>
      <c r="R170" s="45"/>
      <c r="S170" s="45"/>
      <c r="T170" s="45"/>
    </row>
    <row r="171" ht="15.75" customHeight="1">
      <c r="A171" s="40">
        <v>170.0</v>
      </c>
      <c r="B171" s="30" t="s">
        <v>491</v>
      </c>
      <c r="C171" s="30" t="s">
        <v>16</v>
      </c>
      <c r="D171" s="30" t="s">
        <v>492</v>
      </c>
      <c r="E171" s="41">
        <v>8.75</v>
      </c>
      <c r="F171" s="33">
        <v>0.0</v>
      </c>
      <c r="G171" s="30" t="str">
        <f t="shared" si="1"/>
        <v>PASS</v>
      </c>
      <c r="H171" s="46" t="s">
        <v>46</v>
      </c>
      <c r="I171" s="47" t="s">
        <v>27</v>
      </c>
      <c r="J171" s="43">
        <v>0.0</v>
      </c>
      <c r="K171" s="48" t="s">
        <v>62</v>
      </c>
      <c r="L171" s="28">
        <v>2.0</v>
      </c>
      <c r="M171" s="28">
        <f>IFERROR(__xludf.DUMMYFUNCTION("VLOOKUP(B171,IMPORTRANGE(""1CGZ0Bai7Upqd4o8ih3likiFIYVFcX2B2CZFasZGKRII"",""Refined according to Results!B:J""),9,FALSE)"),8.67)</f>
        <v>8.67</v>
      </c>
      <c r="Q171" s="45" t="s">
        <v>52</v>
      </c>
      <c r="R171" s="45" t="s">
        <v>48</v>
      </c>
      <c r="S171" s="45"/>
      <c r="T171" s="45"/>
    </row>
    <row r="172" ht="15.75" customHeight="1">
      <c r="A172" s="40">
        <v>171.0</v>
      </c>
      <c r="B172" s="30" t="s">
        <v>493</v>
      </c>
      <c r="C172" s="30" t="s">
        <v>16</v>
      </c>
      <c r="D172" s="30" t="s">
        <v>494</v>
      </c>
      <c r="E172" s="41">
        <v>8.88</v>
      </c>
      <c r="F172" s="33">
        <v>0.0</v>
      </c>
      <c r="G172" s="30" t="str">
        <f t="shared" si="1"/>
        <v>PASS</v>
      </c>
      <c r="H172" s="49" t="s">
        <v>46</v>
      </c>
      <c r="I172" s="47" t="s">
        <v>27</v>
      </c>
      <c r="J172" s="43">
        <v>0.0</v>
      </c>
      <c r="K172" s="44" t="s">
        <v>278</v>
      </c>
      <c r="L172" s="45">
        <v>2.0</v>
      </c>
      <c r="M172" s="28">
        <f>IFERROR(__xludf.DUMMYFUNCTION("VLOOKUP(B172,IMPORTRANGE(""1CGZ0Bai7Upqd4o8ih3likiFIYVFcX2B2CZFasZGKRII"",""Refined according to Results!B:J""),9,FALSE)"),9.09)</f>
        <v>9.09</v>
      </c>
      <c r="Q172" s="45" t="s">
        <v>52</v>
      </c>
      <c r="R172" s="45"/>
      <c r="S172" s="45"/>
      <c r="T172" s="45"/>
    </row>
    <row r="173" ht="15.75" customHeight="1">
      <c r="A173" s="40">
        <v>172.0</v>
      </c>
      <c r="B173" s="30" t="s">
        <v>495</v>
      </c>
      <c r="C173" s="30" t="s">
        <v>16</v>
      </c>
      <c r="D173" s="30" t="s">
        <v>496</v>
      </c>
      <c r="E173" s="41">
        <v>8.25</v>
      </c>
      <c r="F173" s="33">
        <v>0.0</v>
      </c>
      <c r="G173" s="30" t="str">
        <f t="shared" si="1"/>
        <v>PASS</v>
      </c>
      <c r="H173" s="46" t="s">
        <v>60</v>
      </c>
      <c r="I173" s="47" t="s">
        <v>27</v>
      </c>
      <c r="J173" s="43">
        <v>0.0</v>
      </c>
      <c r="K173" s="48" t="s">
        <v>406</v>
      </c>
      <c r="L173" s="45">
        <v>2.0</v>
      </c>
      <c r="M173" s="28">
        <f>IFERROR(__xludf.DUMMYFUNCTION("VLOOKUP(B173,IMPORTRANGE(""1CGZ0Bai7Upqd4o8ih3likiFIYVFcX2B2CZFasZGKRII"",""Refined according to Results!B:J""),9,FALSE)"),8.35)</f>
        <v>8.35</v>
      </c>
      <c r="Q173" s="45" t="s">
        <v>52</v>
      </c>
      <c r="R173" s="45"/>
      <c r="S173" s="45"/>
      <c r="T173" s="45"/>
    </row>
    <row r="174" ht="15.75" customHeight="1">
      <c r="A174" s="40">
        <v>173.0</v>
      </c>
      <c r="B174" s="30" t="s">
        <v>497</v>
      </c>
      <c r="C174" s="30" t="s">
        <v>16</v>
      </c>
      <c r="D174" s="30" t="s">
        <v>498</v>
      </c>
      <c r="E174" s="50"/>
      <c r="F174" s="33">
        <v>1.0</v>
      </c>
      <c r="G174" s="30" t="str">
        <f t="shared" si="1"/>
        <v>FAIL</v>
      </c>
      <c r="H174" s="49" t="s">
        <v>46</v>
      </c>
      <c r="I174" s="47" t="s">
        <v>27</v>
      </c>
      <c r="J174" s="43">
        <v>0.0</v>
      </c>
      <c r="K174" s="44" t="s">
        <v>175</v>
      </c>
      <c r="L174" s="45">
        <v>1.0</v>
      </c>
      <c r="M174" s="28">
        <f>IFERROR(__xludf.DUMMYFUNCTION("VLOOKUP(B174,IMPORTRANGE(""1CGZ0Bai7Upqd4o8ih3likiFIYVFcX2B2CZFasZGKRII"",""Refined according to Results!B:J""),9,FALSE)"),7.35)</f>
        <v>7.35</v>
      </c>
      <c r="Q174" s="45">
        <v>0.0</v>
      </c>
      <c r="R174" s="45"/>
      <c r="S174" s="45"/>
      <c r="T174" s="45"/>
    </row>
    <row r="175" ht="15.75" customHeight="1">
      <c r="A175" s="40">
        <v>174.0</v>
      </c>
      <c r="B175" s="30" t="s">
        <v>499</v>
      </c>
      <c r="C175" s="30" t="s">
        <v>16</v>
      </c>
      <c r="D175" s="30" t="s">
        <v>500</v>
      </c>
      <c r="E175" s="41">
        <v>8.5</v>
      </c>
      <c r="F175" s="33">
        <v>0.0</v>
      </c>
      <c r="G175" s="30" t="str">
        <f t="shared" si="1"/>
        <v>PASS</v>
      </c>
      <c r="H175" s="46" t="s">
        <v>46</v>
      </c>
      <c r="I175" s="47" t="s">
        <v>27</v>
      </c>
      <c r="J175" s="43">
        <v>0.0</v>
      </c>
      <c r="K175" s="48" t="s">
        <v>406</v>
      </c>
      <c r="L175" s="45">
        <v>2.0</v>
      </c>
      <c r="M175" s="28">
        <f>IFERROR(__xludf.DUMMYFUNCTION("VLOOKUP(B175,IMPORTRANGE(""1CGZ0Bai7Upqd4o8ih3likiFIYVFcX2B2CZFasZGKRII"",""Refined according to Results!B:J""),9,FALSE)"),8.92)</f>
        <v>8.92</v>
      </c>
      <c r="Q175" s="45" t="s">
        <v>52</v>
      </c>
      <c r="R175" s="45" t="s">
        <v>63</v>
      </c>
      <c r="S175" s="45"/>
      <c r="T175" s="45"/>
    </row>
    <row r="176" ht="15.75" customHeight="1">
      <c r="A176" s="40">
        <v>175.0</v>
      </c>
      <c r="B176" s="30" t="s">
        <v>501</v>
      </c>
      <c r="C176" s="30" t="s">
        <v>16</v>
      </c>
      <c r="D176" s="30" t="s">
        <v>502</v>
      </c>
      <c r="E176" s="50"/>
      <c r="F176" s="33">
        <v>4.0</v>
      </c>
      <c r="G176" s="30" t="str">
        <f t="shared" si="1"/>
        <v>FAIL</v>
      </c>
      <c r="H176" s="49" t="s">
        <v>46</v>
      </c>
      <c r="I176" s="47" t="s">
        <v>27</v>
      </c>
      <c r="J176" s="43">
        <v>0.0</v>
      </c>
      <c r="K176" s="52"/>
      <c r="L176" s="28">
        <v>0.0</v>
      </c>
      <c r="M176" s="28" t="str">
        <f>IFERROR(__xludf.DUMMYFUNCTION("VLOOKUP(B176,IMPORTRANGE(""1CGZ0Bai7Upqd4o8ih3likiFIYVFcX2B2CZFasZGKRII"",""Refined according to Results!B:J""),9,FALSE)"),"")</f>
        <v/>
      </c>
      <c r="Q176" s="45">
        <v>0.0</v>
      </c>
      <c r="R176" s="45"/>
      <c r="S176" s="45"/>
      <c r="T176" s="45"/>
    </row>
    <row r="177" ht="15.75" customHeight="1">
      <c r="A177" s="40">
        <v>176.0</v>
      </c>
      <c r="B177" s="30" t="s">
        <v>503</v>
      </c>
      <c r="C177" s="30" t="s">
        <v>16</v>
      </c>
      <c r="D177" s="30" t="s">
        <v>504</v>
      </c>
      <c r="E177" s="41">
        <v>9.26</v>
      </c>
      <c r="F177" s="33">
        <v>0.0</v>
      </c>
      <c r="G177" s="30" t="str">
        <f t="shared" si="1"/>
        <v>PASS</v>
      </c>
      <c r="H177" s="46" t="s">
        <v>46</v>
      </c>
      <c r="I177" s="47" t="s">
        <v>27</v>
      </c>
      <c r="J177" s="43">
        <v>0.0</v>
      </c>
      <c r="K177" s="48" t="s">
        <v>505</v>
      </c>
      <c r="L177" s="45">
        <v>3.0</v>
      </c>
      <c r="M177" s="28">
        <f>IFERROR(__xludf.DUMMYFUNCTION("VLOOKUP(B177,IMPORTRANGE(""1CGZ0Bai7Upqd4o8ih3likiFIYVFcX2B2CZFasZGKRII"",""Refined according to Results!B:J""),9,FALSE)"),9.53)</f>
        <v>9.53</v>
      </c>
      <c r="Q177" s="45" t="s">
        <v>57</v>
      </c>
      <c r="R177" s="45" t="s">
        <v>52</v>
      </c>
      <c r="S177" s="45" t="s">
        <v>79</v>
      </c>
      <c r="T177" s="45"/>
    </row>
    <row r="178" ht="15.75" customHeight="1">
      <c r="A178" s="40">
        <v>177.0</v>
      </c>
      <c r="B178" s="30" t="s">
        <v>506</v>
      </c>
      <c r="C178" s="30" t="s">
        <v>16</v>
      </c>
      <c r="D178" s="30" t="s">
        <v>507</v>
      </c>
      <c r="E178" s="41">
        <v>8.15</v>
      </c>
      <c r="F178" s="33">
        <v>0.0</v>
      </c>
      <c r="G178" s="30" t="str">
        <f t="shared" si="1"/>
        <v>PASS</v>
      </c>
      <c r="H178" s="49" t="s">
        <v>46</v>
      </c>
      <c r="I178" s="47" t="s">
        <v>27</v>
      </c>
      <c r="J178" s="43">
        <v>0.0</v>
      </c>
      <c r="K178" s="44" t="s">
        <v>508</v>
      </c>
      <c r="L178" s="45">
        <v>2.0</v>
      </c>
      <c r="M178" s="28">
        <f>IFERROR(__xludf.DUMMYFUNCTION("VLOOKUP(B178,IMPORTRANGE(""1CGZ0Bai7Upqd4o8ih3likiFIYVFcX2B2CZFasZGKRII"",""Refined according to Results!B:J""),9,FALSE)"),8.5)</f>
        <v>8.5</v>
      </c>
      <c r="Q178" s="45">
        <v>0.0</v>
      </c>
      <c r="R178" s="45"/>
      <c r="S178" s="45"/>
      <c r="T178" s="45"/>
    </row>
    <row r="179" ht="15.75" customHeight="1">
      <c r="A179" s="40">
        <v>178.0</v>
      </c>
      <c r="B179" s="30" t="s">
        <v>509</v>
      </c>
      <c r="C179" s="30" t="s">
        <v>16</v>
      </c>
      <c r="D179" s="30" t="s">
        <v>510</v>
      </c>
      <c r="E179" s="41">
        <v>8.94</v>
      </c>
      <c r="F179" s="33">
        <v>0.0</v>
      </c>
      <c r="G179" s="30" t="str">
        <f t="shared" si="1"/>
        <v>PASS</v>
      </c>
      <c r="H179" s="46" t="s">
        <v>60</v>
      </c>
      <c r="I179" s="47" t="s">
        <v>28</v>
      </c>
      <c r="J179" s="43">
        <v>0.0</v>
      </c>
      <c r="K179" s="48" t="s">
        <v>278</v>
      </c>
      <c r="L179" s="45">
        <v>2.0</v>
      </c>
      <c r="M179" s="28">
        <f>IFERROR(__xludf.DUMMYFUNCTION("VLOOKUP(B179,IMPORTRANGE(""1CGZ0Bai7Upqd4o8ih3likiFIYVFcX2B2CZFasZGKRII"",""Refined according to Results!B:J""),9,FALSE)"),8.86)</f>
        <v>8.86</v>
      </c>
      <c r="Q179" s="45" t="s">
        <v>52</v>
      </c>
      <c r="R179" s="45"/>
      <c r="S179" s="45"/>
      <c r="T179" s="45"/>
    </row>
    <row r="180" ht="15.75" customHeight="1">
      <c r="A180" s="40">
        <v>179.0</v>
      </c>
      <c r="B180" s="30" t="s">
        <v>511</v>
      </c>
      <c r="C180" s="30" t="s">
        <v>16</v>
      </c>
      <c r="D180" s="30" t="s">
        <v>512</v>
      </c>
      <c r="E180" s="41">
        <v>7.07</v>
      </c>
      <c r="F180" s="33">
        <v>0.0</v>
      </c>
      <c r="G180" s="30" t="str">
        <f t="shared" si="1"/>
        <v>PASS</v>
      </c>
      <c r="H180" s="49" t="s">
        <v>46</v>
      </c>
      <c r="I180" s="47" t="s">
        <v>27</v>
      </c>
      <c r="J180" s="43">
        <v>0.0</v>
      </c>
      <c r="K180" s="44" t="s">
        <v>52</v>
      </c>
      <c r="L180" s="28">
        <v>1.0</v>
      </c>
      <c r="M180" s="28">
        <f>IFERROR(__xludf.DUMMYFUNCTION("VLOOKUP(B180,IMPORTRANGE(""1CGZ0Bai7Upqd4o8ih3likiFIYVFcX2B2CZFasZGKRII"",""Refined according to Results!B:J""),9,FALSE)"),6.87)</f>
        <v>6.87</v>
      </c>
      <c r="Q180" s="45" t="s">
        <v>52</v>
      </c>
      <c r="R180" s="45"/>
      <c r="S180" s="45"/>
      <c r="T180" s="45"/>
    </row>
    <row r="181" ht="15.75" customHeight="1">
      <c r="A181" s="40">
        <v>180.0</v>
      </c>
      <c r="B181" s="30" t="s">
        <v>513</v>
      </c>
      <c r="C181" s="30" t="s">
        <v>16</v>
      </c>
      <c r="D181" s="30" t="s">
        <v>514</v>
      </c>
      <c r="E181" s="41">
        <v>7.3</v>
      </c>
      <c r="F181" s="33">
        <v>0.0</v>
      </c>
      <c r="G181" s="30" t="str">
        <f t="shared" si="1"/>
        <v>PASS</v>
      </c>
      <c r="H181" s="46" t="s">
        <v>46</v>
      </c>
      <c r="I181" s="47" t="s">
        <v>27</v>
      </c>
      <c r="J181" s="43">
        <v>0.0</v>
      </c>
      <c r="K181" s="48" t="s">
        <v>515</v>
      </c>
      <c r="L181" s="45">
        <v>1.0</v>
      </c>
      <c r="M181" s="28">
        <f>IFERROR(__xludf.DUMMYFUNCTION("VLOOKUP(B181,IMPORTRANGE(""1CGZ0Bai7Upqd4o8ih3likiFIYVFcX2B2CZFasZGKRII"",""Refined according to Results!B:J""),9,FALSE)"),7.45)</f>
        <v>7.45</v>
      </c>
      <c r="Q181" s="45">
        <v>0.0</v>
      </c>
      <c r="R181" s="45"/>
      <c r="S181" s="45"/>
      <c r="T181" s="45"/>
    </row>
    <row r="182" ht="15.75" customHeight="1">
      <c r="A182" s="40">
        <v>181.0</v>
      </c>
      <c r="B182" s="30" t="s">
        <v>516</v>
      </c>
      <c r="C182" s="30" t="s">
        <v>16</v>
      </c>
      <c r="D182" s="30" t="s">
        <v>517</v>
      </c>
      <c r="E182" s="41">
        <v>8.33</v>
      </c>
      <c r="F182" s="33">
        <v>0.0</v>
      </c>
      <c r="G182" s="30" t="str">
        <f t="shared" si="1"/>
        <v>PASS</v>
      </c>
      <c r="H182" s="49" t="s">
        <v>46</v>
      </c>
      <c r="I182" s="47" t="s">
        <v>27</v>
      </c>
      <c r="J182" s="43">
        <v>0.0</v>
      </c>
      <c r="K182" s="44" t="s">
        <v>518</v>
      </c>
      <c r="L182" s="45">
        <v>2.0</v>
      </c>
      <c r="M182" s="28">
        <f>IFERROR(__xludf.DUMMYFUNCTION("VLOOKUP(B182,IMPORTRANGE(""1CGZ0Bai7Upqd4o8ih3likiFIYVFcX2B2CZFasZGKRII"",""Refined according to Results!B:J""),9,FALSE)"),7.86)</f>
        <v>7.86</v>
      </c>
      <c r="Q182" s="45" t="s">
        <v>48</v>
      </c>
      <c r="R182" s="45" t="s">
        <v>63</v>
      </c>
      <c r="S182" s="45"/>
      <c r="T182" s="45"/>
    </row>
    <row r="183" ht="15.75" customHeight="1">
      <c r="A183" s="40">
        <v>182.0</v>
      </c>
      <c r="B183" s="30" t="s">
        <v>519</v>
      </c>
      <c r="C183" s="30" t="s">
        <v>16</v>
      </c>
      <c r="D183" s="30" t="s">
        <v>520</v>
      </c>
      <c r="E183" s="41">
        <v>8.31</v>
      </c>
      <c r="F183" s="33">
        <v>0.0</v>
      </c>
      <c r="G183" s="30" t="str">
        <f t="shared" si="1"/>
        <v>PASS</v>
      </c>
      <c r="H183" s="46" t="s">
        <v>46</v>
      </c>
      <c r="I183" s="47" t="s">
        <v>27</v>
      </c>
      <c r="J183" s="43" t="s">
        <v>94</v>
      </c>
      <c r="K183" s="48" t="s">
        <v>521</v>
      </c>
      <c r="L183" s="45">
        <v>3.0</v>
      </c>
      <c r="M183" s="28">
        <f>IFERROR(__xludf.DUMMYFUNCTION("VLOOKUP(B183,IMPORTRANGE(""1CGZ0Bai7Upqd4o8ih3likiFIYVFcX2B2CZFasZGKRII"",""Refined according to Results!B:J""),9,FALSE)"),8.33)</f>
        <v>8.33</v>
      </c>
      <c r="Q183" s="45" t="s">
        <v>52</v>
      </c>
      <c r="R183" s="45" t="s">
        <v>94</v>
      </c>
      <c r="S183" s="45"/>
      <c r="T183" s="45"/>
    </row>
    <row r="184" ht="15.75" customHeight="1">
      <c r="A184" s="40">
        <v>183.0</v>
      </c>
      <c r="B184" s="30" t="s">
        <v>522</v>
      </c>
      <c r="C184" s="30" t="s">
        <v>16</v>
      </c>
      <c r="D184" s="30" t="s">
        <v>523</v>
      </c>
      <c r="E184" s="50"/>
      <c r="F184" s="33">
        <v>6.0</v>
      </c>
      <c r="G184" s="30" t="str">
        <f t="shared" si="1"/>
        <v>FAIL</v>
      </c>
      <c r="H184" s="49" t="s">
        <v>60</v>
      </c>
      <c r="I184" s="47" t="s">
        <v>28</v>
      </c>
      <c r="J184" s="43">
        <v>0.0</v>
      </c>
      <c r="K184" s="52"/>
      <c r="L184" s="28">
        <v>0.0</v>
      </c>
      <c r="M184" s="28" t="str">
        <f>IFERROR(__xludf.DUMMYFUNCTION("VLOOKUP(B184,IMPORTRANGE(""1CGZ0Bai7Upqd4o8ih3likiFIYVFcX2B2CZFasZGKRII"",""Refined according to Results!B:J""),9,FALSE)"),"")</f>
        <v/>
      </c>
      <c r="Q184" s="45">
        <v>0.0</v>
      </c>
      <c r="R184" s="45"/>
      <c r="S184" s="45"/>
      <c r="T184" s="45"/>
    </row>
    <row r="185" ht="15.75" customHeight="1">
      <c r="A185" s="40">
        <v>184.0</v>
      </c>
      <c r="B185" s="30" t="s">
        <v>524</v>
      </c>
      <c r="C185" s="30" t="s">
        <v>16</v>
      </c>
      <c r="D185" s="30" t="s">
        <v>525</v>
      </c>
      <c r="E185" s="50"/>
      <c r="F185" s="33">
        <v>1.0</v>
      </c>
      <c r="G185" s="30" t="str">
        <f t="shared" si="1"/>
        <v>FAIL</v>
      </c>
      <c r="H185" s="46" t="s">
        <v>60</v>
      </c>
      <c r="I185" s="47" t="s">
        <v>27</v>
      </c>
      <c r="J185" s="43">
        <v>0.0</v>
      </c>
      <c r="K185" s="48" t="s">
        <v>255</v>
      </c>
      <c r="L185" s="45">
        <v>1.0</v>
      </c>
      <c r="M185" s="28" t="str">
        <f>IFERROR(__xludf.DUMMYFUNCTION("VLOOKUP(B185,IMPORTRANGE(""1CGZ0Bai7Upqd4o8ih3likiFIYVFcX2B2CZFasZGKRII"",""Refined according to Results!B:J""),9,FALSE)"),"")</f>
        <v/>
      </c>
      <c r="Q185" s="45">
        <v>0.0</v>
      </c>
      <c r="R185" s="45"/>
      <c r="S185" s="45"/>
      <c r="T185" s="45"/>
    </row>
    <row r="186" ht="15.75" customHeight="1">
      <c r="A186" s="40">
        <v>185.0</v>
      </c>
      <c r="B186" s="30" t="s">
        <v>526</v>
      </c>
      <c r="C186" s="30" t="s">
        <v>16</v>
      </c>
      <c r="D186" s="30" t="s">
        <v>527</v>
      </c>
      <c r="E186" s="50"/>
      <c r="F186" s="33">
        <v>1.0</v>
      </c>
      <c r="G186" s="30" t="str">
        <f t="shared" si="1"/>
        <v>FAIL</v>
      </c>
      <c r="H186" s="49" t="s">
        <v>60</v>
      </c>
      <c r="I186" s="47" t="s">
        <v>27</v>
      </c>
      <c r="J186" s="43">
        <v>0.0</v>
      </c>
      <c r="K186" s="52"/>
      <c r="L186" s="28">
        <v>0.0</v>
      </c>
      <c r="M186" s="28">
        <f>IFERROR(__xludf.DUMMYFUNCTION("VLOOKUP(B186,IMPORTRANGE(""1CGZ0Bai7Upqd4o8ih3likiFIYVFcX2B2CZFasZGKRII"",""Refined according to Results!B:J""),9,FALSE)"),7.24)</f>
        <v>7.24</v>
      </c>
      <c r="Q186" s="45">
        <v>0.0</v>
      </c>
      <c r="R186" s="45"/>
      <c r="S186" s="45"/>
      <c r="T186" s="45"/>
    </row>
    <row r="187" ht="15.75" customHeight="1">
      <c r="A187" s="40">
        <v>186.0</v>
      </c>
      <c r="B187" s="30" t="s">
        <v>528</v>
      </c>
      <c r="C187" s="30" t="s">
        <v>16</v>
      </c>
      <c r="D187" s="30" t="s">
        <v>529</v>
      </c>
      <c r="E187" s="50"/>
      <c r="F187" s="33">
        <v>1.0</v>
      </c>
      <c r="G187" s="30" t="str">
        <f t="shared" si="1"/>
        <v>FAIL</v>
      </c>
      <c r="H187" s="46" t="s">
        <v>46</v>
      </c>
      <c r="I187" s="47" t="s">
        <v>27</v>
      </c>
      <c r="J187" s="43">
        <v>0.0</v>
      </c>
      <c r="K187" s="48" t="s">
        <v>530</v>
      </c>
      <c r="L187" s="45">
        <v>1.0</v>
      </c>
      <c r="M187" s="28">
        <f>IFERROR(__xludf.DUMMYFUNCTION("VLOOKUP(B187,IMPORTRANGE(""1CGZ0Bai7Upqd4o8ih3likiFIYVFcX2B2CZFasZGKRII"",""Refined according to Results!B:J""),9,FALSE)"),8.13)</f>
        <v>8.13</v>
      </c>
      <c r="Q187" s="45">
        <v>0.0</v>
      </c>
      <c r="R187" s="45"/>
      <c r="S187" s="45"/>
      <c r="T187" s="45"/>
    </row>
    <row r="188" ht="15.75" customHeight="1">
      <c r="A188" s="40">
        <v>187.0</v>
      </c>
      <c r="B188" s="30" t="s">
        <v>531</v>
      </c>
      <c r="C188" s="30" t="s">
        <v>16</v>
      </c>
      <c r="D188" s="30" t="s">
        <v>532</v>
      </c>
      <c r="E188" s="41">
        <v>8.73</v>
      </c>
      <c r="F188" s="33">
        <v>0.0</v>
      </c>
      <c r="G188" s="30" t="str">
        <f t="shared" si="1"/>
        <v>PASS</v>
      </c>
      <c r="H188" s="49" t="s">
        <v>46</v>
      </c>
      <c r="I188" s="47" t="s">
        <v>28</v>
      </c>
      <c r="J188" s="43" t="s">
        <v>222</v>
      </c>
      <c r="K188" s="44" t="s">
        <v>533</v>
      </c>
      <c r="L188" s="45">
        <v>3.0</v>
      </c>
      <c r="M188" s="28">
        <f>IFERROR(__xludf.DUMMYFUNCTION("VLOOKUP(B188,IMPORTRANGE(""1CGZ0Bai7Upqd4o8ih3likiFIYVFcX2B2CZFasZGKRII"",""Refined according to Results!B:J""),9,FALSE)"),9.04)</f>
        <v>9.04</v>
      </c>
      <c r="Q188" s="45" t="s">
        <v>63</v>
      </c>
      <c r="R188" s="45"/>
      <c r="S188" s="45"/>
      <c r="T188" s="45"/>
    </row>
    <row r="189" ht="15.75" customHeight="1">
      <c r="A189" s="40">
        <v>188.0</v>
      </c>
      <c r="B189" s="30" t="s">
        <v>534</v>
      </c>
      <c r="C189" s="30" t="s">
        <v>16</v>
      </c>
      <c r="D189" s="30" t="s">
        <v>535</v>
      </c>
      <c r="E189" s="41">
        <v>8.2</v>
      </c>
      <c r="F189" s="33">
        <v>0.0</v>
      </c>
      <c r="G189" s="30" t="str">
        <f t="shared" si="1"/>
        <v>PASS</v>
      </c>
      <c r="H189" s="46" t="s">
        <v>46</v>
      </c>
      <c r="I189" s="47" t="s">
        <v>28</v>
      </c>
      <c r="J189" s="43">
        <v>0.0</v>
      </c>
      <c r="K189" s="48" t="s">
        <v>52</v>
      </c>
      <c r="L189" s="28">
        <v>1.0</v>
      </c>
      <c r="M189" s="28">
        <f>IFERROR(__xludf.DUMMYFUNCTION("VLOOKUP(B189,IMPORTRANGE(""1CGZ0Bai7Upqd4o8ih3likiFIYVFcX2B2CZFasZGKRII"",""Refined according to Results!B:J""),9,FALSE)"),8.53)</f>
        <v>8.53</v>
      </c>
      <c r="Q189" s="45" t="s">
        <v>52</v>
      </c>
      <c r="R189" s="45"/>
      <c r="S189" s="45"/>
      <c r="T189" s="45"/>
    </row>
    <row r="190" ht="15.75" customHeight="1">
      <c r="A190" s="40">
        <v>189.0</v>
      </c>
      <c r="B190" s="30" t="s">
        <v>536</v>
      </c>
      <c r="C190" s="30" t="s">
        <v>16</v>
      </c>
      <c r="D190" s="30" t="s">
        <v>537</v>
      </c>
      <c r="E190" s="41">
        <v>7.57</v>
      </c>
      <c r="F190" s="33">
        <v>0.0</v>
      </c>
      <c r="G190" s="30" t="str">
        <f t="shared" si="1"/>
        <v>PASS</v>
      </c>
      <c r="H190" s="49" t="s">
        <v>60</v>
      </c>
      <c r="I190" s="47" t="s">
        <v>27</v>
      </c>
      <c r="J190" s="43">
        <v>0.0</v>
      </c>
      <c r="K190" s="44" t="s">
        <v>237</v>
      </c>
      <c r="L190" s="45">
        <v>1.0</v>
      </c>
      <c r="M190" s="28">
        <f>IFERROR(__xludf.DUMMYFUNCTION("VLOOKUP(B190,IMPORTRANGE(""1CGZ0Bai7Upqd4o8ih3likiFIYVFcX2B2CZFasZGKRII"",""Refined according to Results!B:J""),9,FALSE)"),7.62)</f>
        <v>7.62</v>
      </c>
      <c r="Q190" s="45">
        <v>0.0</v>
      </c>
      <c r="R190" s="45"/>
      <c r="S190" s="45"/>
      <c r="T190" s="45"/>
    </row>
    <row r="191" ht="15.75" customHeight="1">
      <c r="A191" s="40">
        <v>190.0</v>
      </c>
      <c r="B191" s="30" t="s">
        <v>538</v>
      </c>
      <c r="C191" s="30" t="s">
        <v>16</v>
      </c>
      <c r="D191" s="30" t="s">
        <v>539</v>
      </c>
      <c r="E191" s="41">
        <v>8.49</v>
      </c>
      <c r="F191" s="33">
        <v>0.0</v>
      </c>
      <c r="G191" s="30" t="str">
        <f t="shared" si="1"/>
        <v>PASS</v>
      </c>
      <c r="H191" s="46" t="s">
        <v>46</v>
      </c>
      <c r="I191" s="47" t="s">
        <v>27</v>
      </c>
      <c r="J191" s="43">
        <v>0.0</v>
      </c>
      <c r="K191" s="48" t="s">
        <v>278</v>
      </c>
      <c r="L191" s="45">
        <v>2.0</v>
      </c>
      <c r="M191" s="28">
        <f>IFERROR(__xludf.DUMMYFUNCTION("VLOOKUP(B191,IMPORTRANGE(""1CGZ0Bai7Upqd4o8ih3likiFIYVFcX2B2CZFasZGKRII"",""Refined according to Results!B:J""),9,FALSE)"),9.15)</f>
        <v>9.15</v>
      </c>
      <c r="Q191" s="45" t="s">
        <v>52</v>
      </c>
      <c r="R191" s="45"/>
      <c r="S191" s="45"/>
      <c r="T191" s="45"/>
    </row>
    <row r="192" ht="15.75" customHeight="1">
      <c r="A192" s="40">
        <v>191.0</v>
      </c>
      <c r="B192" s="30" t="s">
        <v>540</v>
      </c>
      <c r="C192" s="30" t="s">
        <v>16</v>
      </c>
      <c r="D192" s="30" t="s">
        <v>541</v>
      </c>
      <c r="E192" s="50"/>
      <c r="F192" s="33">
        <v>1.0</v>
      </c>
      <c r="G192" s="30" t="str">
        <f t="shared" si="1"/>
        <v>FAIL</v>
      </c>
      <c r="H192" s="49" t="s">
        <v>46</v>
      </c>
      <c r="I192" s="47" t="s">
        <v>28</v>
      </c>
      <c r="J192" s="43">
        <v>0.0</v>
      </c>
      <c r="K192" s="52"/>
      <c r="L192" s="28">
        <v>0.0</v>
      </c>
      <c r="M192" s="28">
        <f>IFERROR(__xludf.DUMMYFUNCTION("VLOOKUP(B192,IMPORTRANGE(""1CGZ0Bai7Upqd4o8ih3likiFIYVFcX2B2CZFasZGKRII"",""Refined according to Results!B:J""),9,FALSE)"),6.85)</f>
        <v>6.85</v>
      </c>
      <c r="Q192" s="45">
        <v>0.0</v>
      </c>
      <c r="R192" s="45"/>
      <c r="S192" s="45"/>
      <c r="T192" s="45"/>
    </row>
    <row r="193" ht="15.75" customHeight="1">
      <c r="A193" s="40">
        <v>192.0</v>
      </c>
      <c r="B193" s="30" t="s">
        <v>542</v>
      </c>
      <c r="C193" s="30" t="s">
        <v>16</v>
      </c>
      <c r="D193" s="30" t="s">
        <v>543</v>
      </c>
      <c r="E193" s="41">
        <v>6.93</v>
      </c>
      <c r="F193" s="33">
        <v>0.0</v>
      </c>
      <c r="G193" s="30" t="str">
        <f t="shared" si="1"/>
        <v>PASS</v>
      </c>
      <c r="H193" s="46" t="s">
        <v>46</v>
      </c>
      <c r="I193" s="47" t="s">
        <v>27</v>
      </c>
      <c r="J193" s="43">
        <v>0.0</v>
      </c>
      <c r="K193" s="48" t="s">
        <v>52</v>
      </c>
      <c r="L193" s="28">
        <v>1.0</v>
      </c>
      <c r="M193" s="28" t="str">
        <f>IFERROR(__xludf.DUMMYFUNCTION("VLOOKUP(B193,IMPORTRANGE(""1CGZ0Bai7Upqd4o8ih3likiFIYVFcX2B2CZFasZGKRII"",""Refined according to Results!B:J""),9,FALSE)"),"")</f>
        <v/>
      </c>
      <c r="Q193" s="45" t="s">
        <v>52</v>
      </c>
      <c r="R193" s="45"/>
      <c r="S193" s="45"/>
      <c r="T193" s="45"/>
    </row>
    <row r="194" ht="15.75" customHeight="1">
      <c r="A194" s="40">
        <v>193.0</v>
      </c>
      <c r="B194" s="30" t="s">
        <v>544</v>
      </c>
      <c r="C194" s="30" t="s">
        <v>16</v>
      </c>
      <c r="D194" s="30" t="s">
        <v>545</v>
      </c>
      <c r="E194" s="41">
        <v>8.91</v>
      </c>
      <c r="F194" s="33">
        <v>0.0</v>
      </c>
      <c r="G194" s="30" t="str">
        <f t="shared" si="1"/>
        <v>PASS</v>
      </c>
      <c r="H194" s="49" t="s">
        <v>60</v>
      </c>
      <c r="I194" s="47" t="s">
        <v>27</v>
      </c>
      <c r="J194" s="43" t="s">
        <v>463</v>
      </c>
      <c r="K194" s="44" t="s">
        <v>546</v>
      </c>
      <c r="L194" s="45">
        <v>2.0</v>
      </c>
      <c r="M194" s="28">
        <f>IFERROR(__xludf.DUMMYFUNCTION("VLOOKUP(B194,IMPORTRANGE(""1CGZ0Bai7Upqd4o8ih3likiFIYVFcX2B2CZFasZGKRII"",""Refined according to Results!B:J""),9,FALSE)"),9.26)</f>
        <v>9.26</v>
      </c>
      <c r="Q194" s="45" t="s">
        <v>52</v>
      </c>
      <c r="R194" s="45" t="s">
        <v>79</v>
      </c>
      <c r="S194" s="45"/>
      <c r="T194" s="45"/>
    </row>
    <row r="195" ht="15.75" customHeight="1">
      <c r="A195" s="40">
        <v>194.0</v>
      </c>
      <c r="B195" s="30" t="s">
        <v>547</v>
      </c>
      <c r="C195" s="30" t="s">
        <v>16</v>
      </c>
      <c r="D195" s="30" t="s">
        <v>548</v>
      </c>
      <c r="E195" s="41">
        <v>7.87</v>
      </c>
      <c r="F195" s="33">
        <v>0.0</v>
      </c>
      <c r="G195" s="30" t="str">
        <f t="shared" si="1"/>
        <v>PASS</v>
      </c>
      <c r="H195" s="46" t="s">
        <v>60</v>
      </c>
      <c r="I195" s="57" t="s">
        <v>27</v>
      </c>
      <c r="J195" s="58">
        <v>0.0</v>
      </c>
      <c r="K195" s="48" t="s">
        <v>278</v>
      </c>
      <c r="L195" s="45">
        <v>2.0</v>
      </c>
      <c r="M195" s="28">
        <f>IFERROR(__xludf.DUMMYFUNCTION("VLOOKUP(B195,IMPORTRANGE(""1CGZ0Bai7Upqd4o8ih3likiFIYVFcX2B2CZFasZGKRII"",""Refined according to Results!B:J""),9,FALSE)"),7.87)</f>
        <v>7.87</v>
      </c>
      <c r="Q195" s="45" t="s">
        <v>52</v>
      </c>
      <c r="R195" s="45"/>
      <c r="S195" s="45"/>
      <c r="T195" s="45"/>
    </row>
    <row r="196" ht="15.75" customHeight="1">
      <c r="A196" s="40">
        <v>195.0</v>
      </c>
      <c r="B196" s="30" t="s">
        <v>549</v>
      </c>
      <c r="C196" s="30" t="s">
        <v>16</v>
      </c>
      <c r="D196" s="30" t="s">
        <v>550</v>
      </c>
      <c r="E196" s="41">
        <v>8.14</v>
      </c>
      <c r="F196" s="33">
        <v>0.0</v>
      </c>
      <c r="G196" s="30" t="str">
        <f t="shared" si="1"/>
        <v>PASS</v>
      </c>
      <c r="H196" s="49" t="s">
        <v>60</v>
      </c>
      <c r="I196" s="47" t="s">
        <v>27</v>
      </c>
      <c r="J196" s="43">
        <v>0.0</v>
      </c>
      <c r="K196" s="52"/>
      <c r="L196" s="28">
        <v>0.0</v>
      </c>
      <c r="M196" s="28">
        <f>IFERROR(__xludf.DUMMYFUNCTION("VLOOKUP(B196,IMPORTRANGE(""1CGZ0Bai7Upqd4o8ih3likiFIYVFcX2B2CZFasZGKRII"",""Refined according to Results!B:J""),9,FALSE)"),7.78)</f>
        <v>7.78</v>
      </c>
      <c r="Q196" s="45">
        <v>0.0</v>
      </c>
      <c r="R196" s="45"/>
      <c r="S196" s="45"/>
      <c r="T196" s="45"/>
    </row>
    <row r="197" ht="15.75" customHeight="1">
      <c r="A197" s="40">
        <v>196.0</v>
      </c>
      <c r="B197" s="30" t="s">
        <v>551</v>
      </c>
      <c r="C197" s="30" t="s">
        <v>16</v>
      </c>
      <c r="D197" s="30" t="s">
        <v>552</v>
      </c>
      <c r="E197" s="41">
        <v>7.8</v>
      </c>
      <c r="F197" s="33">
        <v>0.0</v>
      </c>
      <c r="G197" s="30" t="str">
        <f t="shared" si="1"/>
        <v>PASS</v>
      </c>
      <c r="H197" s="46" t="s">
        <v>46</v>
      </c>
      <c r="I197" s="47" t="s">
        <v>28</v>
      </c>
      <c r="J197" s="43">
        <v>0.0</v>
      </c>
      <c r="K197" s="51"/>
      <c r="L197" s="28">
        <v>0.0</v>
      </c>
      <c r="M197" s="28">
        <f>IFERROR(__xludf.DUMMYFUNCTION("VLOOKUP(B197,IMPORTRANGE(""1CGZ0Bai7Upqd4o8ih3likiFIYVFcX2B2CZFasZGKRII"",""Refined according to Results!B:J""),9,FALSE)"),8.37)</f>
        <v>8.37</v>
      </c>
      <c r="Q197" s="45">
        <v>0.0</v>
      </c>
      <c r="R197" s="45"/>
      <c r="S197" s="45"/>
      <c r="T197" s="45"/>
    </row>
    <row r="198" ht="15.75" customHeight="1">
      <c r="A198" s="40">
        <v>197.0</v>
      </c>
      <c r="B198" s="30" t="s">
        <v>553</v>
      </c>
      <c r="C198" s="30" t="s">
        <v>16</v>
      </c>
      <c r="D198" s="30" t="s">
        <v>554</v>
      </c>
      <c r="E198" s="50"/>
      <c r="F198" s="33">
        <v>2.0</v>
      </c>
      <c r="G198" s="30" t="str">
        <f t="shared" si="1"/>
        <v>FAIL</v>
      </c>
      <c r="H198" s="49" t="s">
        <v>46</v>
      </c>
      <c r="I198" s="55" t="s">
        <v>27</v>
      </c>
      <c r="J198" s="56">
        <v>0.0</v>
      </c>
      <c r="K198" s="52"/>
      <c r="L198" s="28">
        <v>0.0</v>
      </c>
      <c r="M198" s="28" t="str">
        <f>IFERROR(__xludf.DUMMYFUNCTION("VLOOKUP(B198,IMPORTRANGE(""1CGZ0Bai7Upqd4o8ih3likiFIYVFcX2B2CZFasZGKRII"",""Refined according to Results!B:J""),9,FALSE)"),"")</f>
        <v/>
      </c>
      <c r="Q198" s="45">
        <v>0.0</v>
      </c>
      <c r="R198" s="45"/>
      <c r="S198" s="45"/>
      <c r="T198" s="45"/>
    </row>
    <row r="199" ht="15.75" customHeight="1">
      <c r="A199" s="40">
        <v>198.0</v>
      </c>
      <c r="B199" s="30" t="s">
        <v>555</v>
      </c>
      <c r="C199" s="30" t="s">
        <v>16</v>
      </c>
      <c r="D199" s="30" t="s">
        <v>556</v>
      </c>
      <c r="E199" s="41">
        <v>8.07</v>
      </c>
      <c r="F199" s="33">
        <v>0.0</v>
      </c>
      <c r="G199" s="30" t="str">
        <f t="shared" si="1"/>
        <v>PASS</v>
      </c>
      <c r="H199" s="46" t="s">
        <v>46</v>
      </c>
      <c r="I199" s="47" t="s">
        <v>28</v>
      </c>
      <c r="J199" s="43">
        <v>0.0</v>
      </c>
      <c r="K199" s="48" t="s">
        <v>237</v>
      </c>
      <c r="L199" s="45">
        <v>1.0</v>
      </c>
      <c r="M199" s="28">
        <f>IFERROR(__xludf.DUMMYFUNCTION("VLOOKUP(B199,IMPORTRANGE(""1CGZ0Bai7Upqd4o8ih3likiFIYVFcX2B2CZFasZGKRII"",""Refined according to Results!B:J""),9,FALSE)"),8.29)</f>
        <v>8.29</v>
      </c>
      <c r="Q199" s="45">
        <v>0.0</v>
      </c>
      <c r="R199" s="45"/>
      <c r="S199" s="45"/>
      <c r="T199" s="45"/>
    </row>
    <row r="200" ht="15.75" customHeight="1">
      <c r="A200" s="40">
        <v>199.0</v>
      </c>
      <c r="B200" s="30" t="s">
        <v>557</v>
      </c>
      <c r="C200" s="30" t="s">
        <v>16</v>
      </c>
      <c r="D200" s="30" t="s">
        <v>558</v>
      </c>
      <c r="E200" s="41">
        <v>8.6</v>
      </c>
      <c r="F200" s="33">
        <v>0.0</v>
      </c>
      <c r="G200" s="30" t="str">
        <f t="shared" si="1"/>
        <v>PASS</v>
      </c>
      <c r="H200" s="49" t="s">
        <v>60</v>
      </c>
      <c r="I200" s="57" t="s">
        <v>28</v>
      </c>
      <c r="J200" s="58" t="s">
        <v>559</v>
      </c>
      <c r="K200" s="44" t="s">
        <v>546</v>
      </c>
      <c r="L200" s="45">
        <v>2.0</v>
      </c>
      <c r="M200" s="28">
        <f>IFERROR(__xludf.DUMMYFUNCTION("VLOOKUP(B200,IMPORTRANGE(""1CGZ0Bai7Upqd4o8ih3likiFIYVFcX2B2CZFasZGKRII"",""Refined according to Results!B:J""),9,FALSE)"),8.82)</f>
        <v>8.82</v>
      </c>
      <c r="Q200" s="45" t="s">
        <v>52</v>
      </c>
      <c r="R200" s="45" t="s">
        <v>79</v>
      </c>
      <c r="S200" s="45"/>
      <c r="T200" s="45"/>
    </row>
    <row r="201" ht="15.75" customHeight="1">
      <c r="A201" s="40">
        <v>200.0</v>
      </c>
      <c r="B201" s="30" t="s">
        <v>560</v>
      </c>
      <c r="C201" s="30" t="s">
        <v>16</v>
      </c>
      <c r="D201" s="30" t="s">
        <v>561</v>
      </c>
      <c r="E201" s="41">
        <v>8.47</v>
      </c>
      <c r="F201" s="33">
        <v>0.0</v>
      </c>
      <c r="G201" s="30" t="str">
        <f t="shared" si="1"/>
        <v>PASS</v>
      </c>
      <c r="H201" s="46" t="s">
        <v>60</v>
      </c>
      <c r="I201" s="47" t="s">
        <v>27</v>
      </c>
      <c r="J201" s="43">
        <v>0.0</v>
      </c>
      <c r="K201" s="48" t="s">
        <v>278</v>
      </c>
      <c r="L201" s="45">
        <v>2.0</v>
      </c>
      <c r="M201" s="28">
        <f>IFERROR(__xludf.DUMMYFUNCTION("VLOOKUP(B201,IMPORTRANGE(""1CGZ0Bai7Upqd4o8ih3likiFIYVFcX2B2CZFasZGKRII"",""Refined according to Results!B:J""),9,FALSE)"),8.32)</f>
        <v>8.32</v>
      </c>
      <c r="Q201" s="45" t="s">
        <v>52</v>
      </c>
      <c r="R201" s="45"/>
      <c r="S201" s="45"/>
      <c r="T201" s="45"/>
    </row>
    <row r="202" ht="15.75" customHeight="1">
      <c r="A202" s="40">
        <v>201.0</v>
      </c>
      <c r="B202" s="30" t="s">
        <v>562</v>
      </c>
      <c r="C202" s="30" t="s">
        <v>16</v>
      </c>
      <c r="D202" s="30" t="s">
        <v>563</v>
      </c>
      <c r="E202" s="41">
        <v>8.41</v>
      </c>
      <c r="F202" s="33">
        <v>0.0</v>
      </c>
      <c r="G202" s="30" t="str">
        <f t="shared" si="1"/>
        <v>PASS</v>
      </c>
      <c r="H202" s="49" t="s">
        <v>60</v>
      </c>
      <c r="I202" s="47" t="s">
        <v>28</v>
      </c>
      <c r="J202" s="43">
        <v>0.0</v>
      </c>
      <c r="K202" s="44" t="s">
        <v>237</v>
      </c>
      <c r="L202" s="45">
        <v>1.0</v>
      </c>
      <c r="M202" s="28">
        <f>IFERROR(__xludf.DUMMYFUNCTION("VLOOKUP(B202,IMPORTRANGE(""1CGZ0Bai7Upqd4o8ih3likiFIYVFcX2B2CZFasZGKRII"",""Refined according to Results!B:J""),9,FALSE)"),8.37)</f>
        <v>8.37</v>
      </c>
      <c r="Q202" s="45">
        <v>0.0</v>
      </c>
      <c r="R202" s="45"/>
      <c r="S202" s="45"/>
      <c r="T202" s="45"/>
    </row>
    <row r="203" ht="15.75" customHeight="1">
      <c r="A203" s="40">
        <v>202.0</v>
      </c>
      <c r="B203" s="30" t="s">
        <v>564</v>
      </c>
      <c r="C203" s="30" t="s">
        <v>16</v>
      </c>
      <c r="D203" s="30" t="s">
        <v>565</v>
      </c>
      <c r="E203" s="41">
        <v>7.73</v>
      </c>
      <c r="F203" s="33">
        <v>0.0</v>
      </c>
      <c r="G203" s="30" t="str">
        <f t="shared" si="1"/>
        <v>PASS</v>
      </c>
      <c r="H203" s="46" t="s">
        <v>60</v>
      </c>
      <c r="I203" s="47" t="s">
        <v>27</v>
      </c>
      <c r="J203" s="43">
        <v>0.0</v>
      </c>
      <c r="K203" s="48" t="s">
        <v>48</v>
      </c>
      <c r="L203" s="45">
        <v>2.0</v>
      </c>
      <c r="M203" s="28">
        <f>IFERROR(__xludf.DUMMYFUNCTION("VLOOKUP(B203,IMPORTRANGE(""1CGZ0Bai7Upqd4o8ih3likiFIYVFcX2B2CZFasZGKRII"",""Refined according to Results!B:J""),9,FALSE)"),7.88)</f>
        <v>7.88</v>
      </c>
      <c r="Q203" s="45" t="s">
        <v>48</v>
      </c>
      <c r="R203" s="45"/>
      <c r="S203" s="45"/>
      <c r="T203" s="45"/>
    </row>
    <row r="204" ht="15.75" customHeight="1">
      <c r="A204" s="40">
        <v>203.0</v>
      </c>
      <c r="B204" s="30" t="s">
        <v>566</v>
      </c>
      <c r="C204" s="30" t="s">
        <v>16</v>
      </c>
      <c r="D204" s="30" t="s">
        <v>567</v>
      </c>
      <c r="E204" s="50"/>
      <c r="F204" s="33">
        <v>1.0</v>
      </c>
      <c r="G204" s="30" t="str">
        <f t="shared" si="1"/>
        <v>FAIL</v>
      </c>
      <c r="H204" s="49" t="s">
        <v>46</v>
      </c>
      <c r="I204" s="47" t="s">
        <v>27</v>
      </c>
      <c r="J204" s="43">
        <v>0.0</v>
      </c>
      <c r="K204" s="52"/>
      <c r="L204" s="28">
        <v>0.0</v>
      </c>
      <c r="M204" s="28">
        <f>IFERROR(__xludf.DUMMYFUNCTION("VLOOKUP(B204,IMPORTRANGE(""1CGZ0Bai7Upqd4o8ih3likiFIYVFcX2B2CZFasZGKRII"",""Refined according to Results!B:J""),9,FALSE)"),6.94)</f>
        <v>6.94</v>
      </c>
      <c r="Q204" s="45">
        <v>0.0</v>
      </c>
      <c r="R204" s="45"/>
      <c r="S204" s="45"/>
      <c r="T204" s="45"/>
    </row>
    <row r="205" ht="15.75" customHeight="1">
      <c r="A205" s="40">
        <v>204.0</v>
      </c>
      <c r="B205" s="30" t="s">
        <v>568</v>
      </c>
      <c r="C205" s="30" t="s">
        <v>16</v>
      </c>
      <c r="D205" s="30" t="s">
        <v>569</v>
      </c>
      <c r="E205" s="41">
        <v>7.25</v>
      </c>
      <c r="F205" s="33">
        <v>0.0</v>
      </c>
      <c r="G205" s="30" t="str">
        <f t="shared" si="1"/>
        <v>PASS</v>
      </c>
      <c r="H205" s="46" t="s">
        <v>46</v>
      </c>
      <c r="I205" s="47" t="s">
        <v>27</v>
      </c>
      <c r="J205" s="43">
        <v>0.0</v>
      </c>
      <c r="K205" s="51"/>
      <c r="L205" s="28">
        <v>0.0</v>
      </c>
      <c r="M205" s="28">
        <f>IFERROR(__xludf.DUMMYFUNCTION("VLOOKUP(B205,IMPORTRANGE(""1CGZ0Bai7Upqd4o8ih3likiFIYVFcX2B2CZFasZGKRII"",""Refined according to Results!B:J""),9,FALSE)"),7.18)</f>
        <v>7.18</v>
      </c>
      <c r="Q205" s="45">
        <v>0.0</v>
      </c>
      <c r="R205" s="45"/>
      <c r="S205" s="45"/>
      <c r="T205" s="45"/>
    </row>
    <row r="206" ht="15.75" customHeight="1">
      <c r="A206" s="40">
        <v>205.0</v>
      </c>
      <c r="B206" s="30" t="s">
        <v>570</v>
      </c>
      <c r="C206" s="30" t="s">
        <v>16</v>
      </c>
      <c r="D206" s="30" t="s">
        <v>571</v>
      </c>
      <c r="E206" s="41">
        <v>8.96</v>
      </c>
      <c r="F206" s="33">
        <v>0.0</v>
      </c>
      <c r="G206" s="30" t="str">
        <f t="shared" si="1"/>
        <v>PASS</v>
      </c>
      <c r="H206" s="49" t="s">
        <v>60</v>
      </c>
      <c r="I206" s="47" t="s">
        <v>27</v>
      </c>
      <c r="J206" s="43">
        <v>0.0</v>
      </c>
      <c r="K206" s="44" t="s">
        <v>572</v>
      </c>
      <c r="L206" s="45">
        <v>2.0</v>
      </c>
      <c r="M206" s="28">
        <f>IFERROR(__xludf.DUMMYFUNCTION("VLOOKUP(B206,IMPORTRANGE(""1CGZ0Bai7Upqd4o8ih3likiFIYVFcX2B2CZFasZGKRII"",""Refined according to Results!B:J""),9,FALSE)"),9.21)</f>
        <v>9.21</v>
      </c>
      <c r="Q206" s="45" t="s">
        <v>52</v>
      </c>
      <c r="R206" s="45"/>
      <c r="S206" s="45"/>
      <c r="T206" s="45"/>
    </row>
    <row r="207" ht="15.75" customHeight="1">
      <c r="A207" s="40">
        <v>206.0</v>
      </c>
      <c r="B207" s="30" t="s">
        <v>573</v>
      </c>
      <c r="C207" s="30" t="s">
        <v>16</v>
      </c>
      <c r="D207" s="30" t="s">
        <v>574</v>
      </c>
      <c r="E207" s="41">
        <v>9.24</v>
      </c>
      <c r="F207" s="33">
        <v>0.0</v>
      </c>
      <c r="G207" s="30" t="str">
        <f t="shared" si="1"/>
        <v>PASS</v>
      </c>
      <c r="H207" s="46" t="s">
        <v>60</v>
      </c>
      <c r="I207" s="47" t="s">
        <v>27</v>
      </c>
      <c r="J207" s="43">
        <v>0.0</v>
      </c>
      <c r="K207" s="48" t="s">
        <v>87</v>
      </c>
      <c r="L207" s="28">
        <v>1.0</v>
      </c>
      <c r="M207" s="28">
        <f>IFERROR(__xludf.DUMMYFUNCTION("VLOOKUP(B207,IMPORTRANGE(""1CGZ0Bai7Upqd4o8ih3likiFIYVFcX2B2CZFasZGKRII"",""Refined according to Results!B:J""),9,FALSE)"),9.56)</f>
        <v>9.56</v>
      </c>
      <c r="Q207" s="45" t="s">
        <v>87</v>
      </c>
      <c r="R207" s="45"/>
      <c r="S207" s="45"/>
      <c r="T207" s="45"/>
    </row>
    <row r="208" ht="15.75" customHeight="1">
      <c r="A208" s="40">
        <v>207.0</v>
      </c>
      <c r="B208" s="30" t="s">
        <v>575</v>
      </c>
      <c r="C208" s="30" t="s">
        <v>16</v>
      </c>
      <c r="D208" s="30" t="s">
        <v>576</v>
      </c>
      <c r="E208" s="41">
        <v>8.37</v>
      </c>
      <c r="F208" s="33">
        <v>0.0</v>
      </c>
      <c r="G208" s="30" t="str">
        <f t="shared" si="1"/>
        <v>PASS</v>
      </c>
      <c r="H208" s="49" t="s">
        <v>46</v>
      </c>
      <c r="I208" s="47" t="s">
        <v>27</v>
      </c>
      <c r="J208" s="43">
        <v>0.0</v>
      </c>
      <c r="K208" s="44" t="s">
        <v>52</v>
      </c>
      <c r="L208" s="28">
        <v>1.0</v>
      </c>
      <c r="M208" s="28">
        <f>IFERROR(__xludf.DUMMYFUNCTION("VLOOKUP(B208,IMPORTRANGE(""1CGZ0Bai7Upqd4o8ih3likiFIYVFcX2B2CZFasZGKRII"",""Refined according to Results!B:J""),9,FALSE)"),8.41)</f>
        <v>8.41</v>
      </c>
      <c r="Q208" s="45" t="s">
        <v>52</v>
      </c>
      <c r="R208" s="45"/>
      <c r="S208" s="45"/>
      <c r="T208" s="45"/>
    </row>
    <row r="209" ht="15.75" customHeight="1">
      <c r="A209" s="40">
        <v>208.0</v>
      </c>
      <c r="B209" s="30" t="s">
        <v>577</v>
      </c>
      <c r="C209" s="30" t="s">
        <v>16</v>
      </c>
      <c r="D209" s="30" t="s">
        <v>578</v>
      </c>
      <c r="E209" s="41">
        <v>8.16</v>
      </c>
      <c r="F209" s="33">
        <v>0.0</v>
      </c>
      <c r="G209" s="30" t="str">
        <f t="shared" si="1"/>
        <v>PASS</v>
      </c>
      <c r="H209" s="46" t="s">
        <v>46</v>
      </c>
      <c r="I209" s="55" t="s">
        <v>27</v>
      </c>
      <c r="J209" s="56">
        <v>0.0</v>
      </c>
      <c r="K209" s="48" t="s">
        <v>90</v>
      </c>
      <c r="L209" s="45">
        <v>1.0</v>
      </c>
      <c r="M209" s="28">
        <f>IFERROR(__xludf.DUMMYFUNCTION("VLOOKUP(B209,IMPORTRANGE(""1CGZ0Bai7Upqd4o8ih3likiFIYVFcX2B2CZFasZGKRII"",""Refined according to Results!B:J""),9,FALSE)"),8.22)</f>
        <v>8.22</v>
      </c>
      <c r="Q209" s="45">
        <v>0.0</v>
      </c>
      <c r="R209" s="45"/>
      <c r="S209" s="45"/>
      <c r="T209" s="45"/>
    </row>
    <row r="210" ht="15.75" customHeight="1">
      <c r="A210" s="40">
        <v>209.0</v>
      </c>
      <c r="B210" s="30" t="s">
        <v>579</v>
      </c>
      <c r="C210" s="30" t="s">
        <v>16</v>
      </c>
      <c r="D210" s="30" t="s">
        <v>580</v>
      </c>
      <c r="E210" s="33">
        <v>8.25</v>
      </c>
      <c r="F210" s="33">
        <v>0.0</v>
      </c>
      <c r="G210" s="30" t="str">
        <f t="shared" si="1"/>
        <v>PASS</v>
      </c>
      <c r="H210" s="49" t="s">
        <v>60</v>
      </c>
      <c r="I210" s="47" t="s">
        <v>27</v>
      </c>
      <c r="J210" s="43" t="s">
        <v>365</v>
      </c>
      <c r="K210" s="44" t="s">
        <v>440</v>
      </c>
      <c r="L210" s="45">
        <v>1.0</v>
      </c>
      <c r="M210" s="28" t="str">
        <f>IFERROR(__xludf.DUMMYFUNCTION("VLOOKUP(B210,IMPORTRANGE(""1CGZ0Bai7Upqd4o8ih3likiFIYVFcX2B2CZFasZGKRII"",""Refined according to Results!B:J""),9,FALSE)"),"#N/A")</f>
        <v>#N/A</v>
      </c>
      <c r="Q210" s="45">
        <v>0.0</v>
      </c>
      <c r="R210" s="45"/>
      <c r="S210" s="45"/>
      <c r="T210" s="45"/>
    </row>
    <row r="211" ht="15.75" customHeight="1">
      <c r="A211" s="40">
        <v>210.0</v>
      </c>
      <c r="B211" s="30" t="s">
        <v>581</v>
      </c>
      <c r="C211" s="30" t="s">
        <v>16</v>
      </c>
      <c r="D211" s="30" t="s">
        <v>582</v>
      </c>
      <c r="E211" s="33">
        <v>7.89</v>
      </c>
      <c r="F211" s="33">
        <v>0.0</v>
      </c>
      <c r="G211" s="30" t="str">
        <f t="shared" si="1"/>
        <v>PASS</v>
      </c>
      <c r="H211" s="46" t="s">
        <v>46</v>
      </c>
      <c r="I211" s="47" t="s">
        <v>27</v>
      </c>
      <c r="J211" s="43">
        <v>0.0</v>
      </c>
      <c r="K211" s="48" t="s">
        <v>52</v>
      </c>
      <c r="L211" s="28">
        <v>1.0</v>
      </c>
      <c r="M211" s="28" t="str">
        <f>IFERROR(__xludf.DUMMYFUNCTION("VLOOKUP(B211,IMPORTRANGE(""1CGZ0Bai7Upqd4o8ih3likiFIYVFcX2B2CZFasZGKRII"",""Refined according to Results!B:J""),9,FALSE)"),"#N/A")</f>
        <v>#N/A</v>
      </c>
      <c r="Q211" s="45" t="s">
        <v>52</v>
      </c>
      <c r="R211" s="45"/>
      <c r="S211" s="45"/>
      <c r="T211" s="45"/>
    </row>
    <row r="212" ht="15.75" customHeight="1">
      <c r="A212" s="40">
        <v>211.0</v>
      </c>
      <c r="B212" s="30" t="s">
        <v>583</v>
      </c>
      <c r="C212" s="30" t="s">
        <v>16</v>
      </c>
      <c r="D212" s="30" t="s">
        <v>584</v>
      </c>
      <c r="E212" s="33">
        <v>7.71</v>
      </c>
      <c r="F212" s="33">
        <v>0.0</v>
      </c>
      <c r="G212" s="30" t="str">
        <f t="shared" si="1"/>
        <v>PASS</v>
      </c>
      <c r="H212" s="49" t="s">
        <v>46</v>
      </c>
      <c r="I212" s="47" t="s">
        <v>28</v>
      </c>
      <c r="J212" s="43">
        <v>0.0</v>
      </c>
      <c r="K212" s="44" t="s">
        <v>585</v>
      </c>
      <c r="L212" s="45">
        <v>1.0</v>
      </c>
      <c r="M212" s="28" t="str">
        <f>IFERROR(__xludf.DUMMYFUNCTION("VLOOKUP(B212,IMPORTRANGE(""1CGZ0Bai7Upqd4o8ih3likiFIYVFcX2B2CZFasZGKRII"",""Refined according to Results!B:J""),9,FALSE)"),"#N/A")</f>
        <v>#N/A</v>
      </c>
      <c r="Q212" s="45">
        <v>0.0</v>
      </c>
      <c r="R212" s="45"/>
      <c r="S212" s="45"/>
      <c r="T212" s="45"/>
    </row>
    <row r="213" ht="15.75" customHeight="1">
      <c r="A213" s="40">
        <v>212.0</v>
      </c>
      <c r="B213" s="30" t="s">
        <v>586</v>
      </c>
      <c r="C213" s="30" t="s">
        <v>16</v>
      </c>
      <c r="D213" s="30" t="s">
        <v>587</v>
      </c>
      <c r="E213" s="33">
        <v>8.17</v>
      </c>
      <c r="F213" s="33">
        <v>0.0</v>
      </c>
      <c r="G213" s="30" t="str">
        <f t="shared" si="1"/>
        <v>PASS</v>
      </c>
      <c r="H213" s="46" t="s">
        <v>46</v>
      </c>
      <c r="I213" s="47" t="s">
        <v>28</v>
      </c>
      <c r="J213" s="43">
        <v>0.0</v>
      </c>
      <c r="K213" s="48" t="s">
        <v>136</v>
      </c>
      <c r="L213" s="45">
        <v>1.0</v>
      </c>
      <c r="M213" s="28" t="str">
        <f>IFERROR(__xludf.DUMMYFUNCTION("VLOOKUP(B213,IMPORTRANGE(""1CGZ0Bai7Upqd4o8ih3likiFIYVFcX2B2CZFasZGKRII"",""Refined according to Results!B:J""),9,FALSE)"),"#N/A")</f>
        <v>#N/A</v>
      </c>
      <c r="Q213" s="45">
        <v>0.0</v>
      </c>
      <c r="R213" s="45"/>
      <c r="S213" s="45"/>
      <c r="T213" s="45"/>
    </row>
    <row r="214" ht="15.75" customHeight="1">
      <c r="A214" s="40">
        <v>213.0</v>
      </c>
      <c r="B214" s="30" t="s">
        <v>588</v>
      </c>
      <c r="C214" s="30" t="s">
        <v>16</v>
      </c>
      <c r="D214" s="30" t="s">
        <v>589</v>
      </c>
      <c r="E214" s="33">
        <v>8.35</v>
      </c>
      <c r="F214" s="33">
        <v>0.0</v>
      </c>
      <c r="G214" s="30" t="str">
        <f t="shared" si="1"/>
        <v>PASS</v>
      </c>
      <c r="H214" s="49" t="s">
        <v>46</v>
      </c>
      <c r="I214" s="47" t="s">
        <v>27</v>
      </c>
      <c r="J214" s="43">
        <v>0.0</v>
      </c>
      <c r="K214" s="44" t="s">
        <v>52</v>
      </c>
      <c r="L214" s="45">
        <v>2.0</v>
      </c>
      <c r="M214" s="28" t="str">
        <f>IFERROR(__xludf.DUMMYFUNCTION("VLOOKUP(B214,IMPORTRANGE(""1CGZ0Bai7Upqd4o8ih3likiFIYVFcX2B2CZFasZGKRII"",""Refined according to Results!B:J""),9,FALSE)"),"#N/A")</f>
        <v>#N/A</v>
      </c>
      <c r="Q214" s="45" t="s">
        <v>52</v>
      </c>
      <c r="R214" s="45"/>
      <c r="S214" s="45"/>
      <c r="T214" s="45"/>
    </row>
    <row r="215" ht="15.75" customHeight="1">
      <c r="A215" s="40">
        <v>214.0</v>
      </c>
      <c r="B215" s="30" t="s">
        <v>590</v>
      </c>
      <c r="C215" s="30" t="s">
        <v>16</v>
      </c>
      <c r="D215" s="30" t="s">
        <v>591</v>
      </c>
      <c r="E215" s="33">
        <v>8.81</v>
      </c>
      <c r="F215" s="33">
        <v>0.0</v>
      </c>
      <c r="G215" s="30" t="str">
        <f t="shared" si="1"/>
        <v>PASS</v>
      </c>
      <c r="H215" s="46" t="s">
        <v>60</v>
      </c>
      <c r="I215" s="47" t="s">
        <v>28</v>
      </c>
      <c r="J215" s="43">
        <v>0.0</v>
      </c>
      <c r="K215" s="48" t="s">
        <v>210</v>
      </c>
      <c r="L215" s="45">
        <v>1.0</v>
      </c>
      <c r="M215" s="28" t="str">
        <f>IFERROR(__xludf.DUMMYFUNCTION("VLOOKUP(B215,IMPORTRANGE(""1CGZ0Bai7Upqd4o8ih3likiFIYVFcX2B2CZFasZGKRII"",""Refined according to Results!B:J""),9,FALSE)"),"#N/A")</f>
        <v>#N/A</v>
      </c>
      <c r="Q215" s="45" t="s">
        <v>63</v>
      </c>
      <c r="R215" s="45"/>
      <c r="S215" s="45"/>
      <c r="T215" s="45"/>
    </row>
    <row r="216" ht="15.75" customHeight="1">
      <c r="A216" s="40">
        <v>215.0</v>
      </c>
      <c r="B216" s="30" t="s">
        <v>592</v>
      </c>
      <c r="C216" s="30" t="s">
        <v>16</v>
      </c>
      <c r="D216" s="30" t="s">
        <v>593</v>
      </c>
      <c r="E216" s="64"/>
      <c r="F216" s="33">
        <v>6.0</v>
      </c>
      <c r="G216" s="30" t="str">
        <f t="shared" si="1"/>
        <v>FAIL</v>
      </c>
      <c r="H216" s="49" t="s">
        <v>46</v>
      </c>
      <c r="I216" s="47" t="s">
        <v>27</v>
      </c>
      <c r="J216" s="43">
        <v>0.0</v>
      </c>
      <c r="K216" s="52"/>
      <c r="L216" s="28">
        <v>0.0</v>
      </c>
      <c r="M216" s="28" t="str">
        <f>IFERROR(__xludf.DUMMYFUNCTION("VLOOKUP(B216,IMPORTRANGE(""1CGZ0Bai7Upqd4o8ih3likiFIYVFcX2B2CZFasZGKRII"",""Refined according to Results!B:J""),9,FALSE)"),"#N/A")</f>
        <v>#N/A</v>
      </c>
      <c r="Q216" s="45">
        <v>0.0</v>
      </c>
      <c r="R216" s="45"/>
      <c r="S216" s="45"/>
      <c r="T216" s="45"/>
    </row>
    <row r="217" ht="15.75" customHeight="1">
      <c r="A217" s="40">
        <v>216.0</v>
      </c>
      <c r="B217" s="30" t="s">
        <v>594</v>
      </c>
      <c r="C217" s="30" t="s">
        <v>17</v>
      </c>
      <c r="D217" s="30" t="s">
        <v>595</v>
      </c>
      <c r="E217" s="41">
        <v>7.73</v>
      </c>
      <c r="F217" s="33">
        <v>0.0</v>
      </c>
      <c r="G217" s="30" t="str">
        <f t="shared" si="1"/>
        <v>PASS</v>
      </c>
      <c r="H217" s="46" t="s">
        <v>46</v>
      </c>
      <c r="I217" s="47" t="s">
        <v>28</v>
      </c>
      <c r="J217" s="43">
        <v>0.0</v>
      </c>
      <c r="K217" s="48" t="s">
        <v>596</v>
      </c>
      <c r="L217" s="45">
        <v>4.0</v>
      </c>
      <c r="M217" s="28">
        <f>IFERROR(__xludf.DUMMYFUNCTION("VLOOKUP(B217,IMPORTRANGE(""1CGZ0Bai7Upqd4o8ih3likiFIYVFcX2B2CZFasZGKRII"",""Refined according to Results!B:J""),9,FALSE)"),7.83)</f>
        <v>7.83</v>
      </c>
      <c r="Q217" s="45">
        <v>0.0</v>
      </c>
      <c r="R217" s="45"/>
      <c r="S217" s="45"/>
      <c r="T217" s="45"/>
    </row>
    <row r="218" ht="15.75" customHeight="1">
      <c r="A218" s="40">
        <v>217.0</v>
      </c>
      <c r="B218" s="30" t="s">
        <v>597</v>
      </c>
      <c r="C218" s="30" t="s">
        <v>17</v>
      </c>
      <c r="D218" s="30" t="s">
        <v>598</v>
      </c>
      <c r="E218" s="41">
        <v>7.27</v>
      </c>
      <c r="F218" s="33">
        <v>0.0</v>
      </c>
      <c r="G218" s="30" t="str">
        <f t="shared" si="1"/>
        <v>PASS</v>
      </c>
      <c r="H218" s="49" t="s">
        <v>60</v>
      </c>
      <c r="I218" s="47" t="s">
        <v>28</v>
      </c>
      <c r="J218" s="43">
        <v>0.0</v>
      </c>
      <c r="K218" s="44" t="s">
        <v>52</v>
      </c>
      <c r="L218" s="28">
        <v>1.0</v>
      </c>
      <c r="M218" s="28">
        <f>IFERROR(__xludf.DUMMYFUNCTION("VLOOKUP(B218,IMPORTRANGE(""1CGZ0Bai7Upqd4o8ih3likiFIYVFcX2B2CZFasZGKRII"",""Refined according to Results!B:J""),9,FALSE)"),6.86)</f>
        <v>6.86</v>
      </c>
      <c r="Q218" s="45" t="s">
        <v>52</v>
      </c>
      <c r="R218" s="45"/>
      <c r="S218" s="45"/>
      <c r="T218" s="45"/>
    </row>
    <row r="219" ht="15.75" customHeight="1">
      <c r="A219" s="40">
        <v>218.0</v>
      </c>
      <c r="B219" s="30" t="s">
        <v>599</v>
      </c>
      <c r="C219" s="30" t="s">
        <v>17</v>
      </c>
      <c r="D219" s="30" t="s">
        <v>600</v>
      </c>
      <c r="E219" s="41">
        <v>8.32</v>
      </c>
      <c r="F219" s="33">
        <v>0.0</v>
      </c>
      <c r="G219" s="30" t="str">
        <f t="shared" si="1"/>
        <v>PASS</v>
      </c>
      <c r="H219" s="46" t="s">
        <v>46</v>
      </c>
      <c r="I219" s="47" t="s">
        <v>28</v>
      </c>
      <c r="J219" s="43">
        <v>0.0</v>
      </c>
      <c r="K219" s="48" t="s">
        <v>601</v>
      </c>
      <c r="L219" s="45">
        <v>2.0</v>
      </c>
      <c r="M219" s="28">
        <f>IFERROR(__xludf.DUMMYFUNCTION("VLOOKUP(B219,IMPORTRANGE(""1CGZ0Bai7Upqd4o8ih3likiFIYVFcX2B2CZFasZGKRII"",""Refined according to Results!B:J""),9,FALSE)"),7.97)</f>
        <v>7.97</v>
      </c>
      <c r="Q219" s="45">
        <v>0.0</v>
      </c>
      <c r="R219" s="45"/>
      <c r="S219" s="45"/>
      <c r="T219" s="45"/>
    </row>
    <row r="220" ht="15.75" customHeight="1">
      <c r="A220" s="40">
        <v>219.0</v>
      </c>
      <c r="B220" s="30" t="s">
        <v>602</v>
      </c>
      <c r="C220" s="30" t="s">
        <v>17</v>
      </c>
      <c r="D220" s="30" t="s">
        <v>603</v>
      </c>
      <c r="E220" s="41">
        <v>7.69</v>
      </c>
      <c r="F220" s="33">
        <v>0.0</v>
      </c>
      <c r="G220" s="30" t="str">
        <f t="shared" si="1"/>
        <v>PASS</v>
      </c>
      <c r="H220" s="49" t="s">
        <v>46</v>
      </c>
      <c r="I220" s="47" t="s">
        <v>28</v>
      </c>
      <c r="J220" s="43">
        <v>0.0</v>
      </c>
      <c r="K220" s="44" t="s">
        <v>604</v>
      </c>
      <c r="L220" s="45">
        <v>2.0</v>
      </c>
      <c r="M220" s="28" t="str">
        <f>IFERROR(__xludf.DUMMYFUNCTION("VLOOKUP(B220,IMPORTRANGE(""1CGZ0Bai7Upqd4o8ih3likiFIYVFcX2B2CZFasZGKRII"",""Refined according to Results!B:J""),9,FALSE)"),"")</f>
        <v/>
      </c>
      <c r="Q220" s="45">
        <v>0.0</v>
      </c>
      <c r="R220" s="45"/>
      <c r="S220" s="45"/>
      <c r="T220" s="45"/>
    </row>
    <row r="221" ht="15.75" customHeight="1">
      <c r="A221" s="40">
        <v>220.0</v>
      </c>
      <c r="B221" s="30" t="s">
        <v>605</v>
      </c>
      <c r="C221" s="30" t="s">
        <v>17</v>
      </c>
      <c r="D221" s="30" t="s">
        <v>606</v>
      </c>
      <c r="E221" s="41">
        <v>7.41</v>
      </c>
      <c r="F221" s="33">
        <v>0.0</v>
      </c>
      <c r="G221" s="30" t="str">
        <f t="shared" si="1"/>
        <v>PASS</v>
      </c>
      <c r="H221" s="46" t="s">
        <v>46</v>
      </c>
      <c r="I221" s="47" t="s">
        <v>27</v>
      </c>
      <c r="J221" s="43">
        <v>0.0</v>
      </c>
      <c r="K221" s="51"/>
      <c r="L221" s="28">
        <v>0.0</v>
      </c>
      <c r="M221" s="28">
        <f>IFERROR(__xludf.DUMMYFUNCTION("VLOOKUP(B221,IMPORTRANGE(""1CGZ0Bai7Upqd4o8ih3likiFIYVFcX2B2CZFasZGKRII"",""Refined according to Results!B:J""),9,FALSE)"),7.46)</f>
        <v>7.46</v>
      </c>
      <c r="Q221" s="45">
        <v>0.0</v>
      </c>
      <c r="R221" s="45"/>
      <c r="S221" s="45"/>
      <c r="T221" s="45"/>
    </row>
    <row r="222" ht="15.75" customHeight="1">
      <c r="A222" s="40">
        <v>221.0</v>
      </c>
      <c r="B222" s="30" t="s">
        <v>607</v>
      </c>
      <c r="C222" s="30" t="s">
        <v>17</v>
      </c>
      <c r="D222" s="30" t="s">
        <v>608</v>
      </c>
      <c r="E222" s="41">
        <v>8.07</v>
      </c>
      <c r="F222" s="33">
        <v>0.0</v>
      </c>
      <c r="G222" s="30" t="str">
        <f t="shared" si="1"/>
        <v>PASS</v>
      </c>
      <c r="H222" s="49" t="s">
        <v>60</v>
      </c>
      <c r="I222" s="47" t="s">
        <v>28</v>
      </c>
      <c r="J222" s="43">
        <v>0.0</v>
      </c>
      <c r="K222" s="44" t="s">
        <v>609</v>
      </c>
      <c r="L222" s="45">
        <v>2.0</v>
      </c>
      <c r="M222" s="28">
        <f>IFERROR(__xludf.DUMMYFUNCTION("VLOOKUP(B222,IMPORTRANGE(""1CGZ0Bai7Upqd4o8ih3likiFIYVFcX2B2CZFasZGKRII"",""Refined according to Results!B:J""),9,FALSE)"),8.26)</f>
        <v>8.26</v>
      </c>
      <c r="Q222" s="45">
        <v>0.0</v>
      </c>
      <c r="R222" s="45"/>
      <c r="S222" s="45"/>
      <c r="T222" s="45"/>
    </row>
    <row r="223" ht="15.75" customHeight="1">
      <c r="A223" s="40">
        <v>222.0</v>
      </c>
      <c r="B223" s="30" t="s">
        <v>610</v>
      </c>
      <c r="C223" s="30" t="s">
        <v>17</v>
      </c>
      <c r="D223" s="30" t="s">
        <v>611</v>
      </c>
      <c r="E223" s="50"/>
      <c r="F223" s="33">
        <v>17.0</v>
      </c>
      <c r="G223" s="30" t="str">
        <f t="shared" si="1"/>
        <v>FAIL</v>
      </c>
      <c r="H223" s="46" t="s">
        <v>46</v>
      </c>
      <c r="I223" s="47" t="s">
        <v>27</v>
      </c>
      <c r="J223" s="43">
        <v>0.0</v>
      </c>
      <c r="K223" s="51"/>
      <c r="L223" s="28">
        <v>0.0</v>
      </c>
      <c r="M223" s="28" t="str">
        <f>IFERROR(__xludf.DUMMYFUNCTION("VLOOKUP(B223,IMPORTRANGE(""1CGZ0Bai7Upqd4o8ih3likiFIYVFcX2B2CZFasZGKRII"",""Refined according to Results!B:J""),9,FALSE)"),"")</f>
        <v/>
      </c>
      <c r="Q223" s="45">
        <v>0.0</v>
      </c>
      <c r="R223" s="45"/>
      <c r="S223" s="45"/>
      <c r="T223" s="45"/>
    </row>
    <row r="224" ht="15.75" customHeight="1">
      <c r="A224" s="40">
        <v>223.0</v>
      </c>
      <c r="B224" s="30" t="s">
        <v>612</v>
      </c>
      <c r="C224" s="30" t="s">
        <v>17</v>
      </c>
      <c r="D224" s="30" t="s">
        <v>613</v>
      </c>
      <c r="E224" s="41">
        <v>8.77</v>
      </c>
      <c r="F224" s="33">
        <v>0.0</v>
      </c>
      <c r="G224" s="30" t="str">
        <f t="shared" si="1"/>
        <v>PASS</v>
      </c>
      <c r="H224" s="49" t="s">
        <v>60</v>
      </c>
      <c r="I224" s="47" t="s">
        <v>27</v>
      </c>
      <c r="J224" s="43">
        <v>0.0</v>
      </c>
      <c r="K224" s="44" t="s">
        <v>52</v>
      </c>
      <c r="L224" s="28">
        <v>1.0</v>
      </c>
      <c r="M224" s="28">
        <f>IFERROR(__xludf.DUMMYFUNCTION("VLOOKUP(B224,IMPORTRANGE(""1CGZ0Bai7Upqd4o8ih3likiFIYVFcX2B2CZFasZGKRII"",""Refined according to Results!B:J""),9,FALSE)"),8.51)</f>
        <v>8.51</v>
      </c>
      <c r="Q224" s="45" t="s">
        <v>52</v>
      </c>
      <c r="R224" s="45"/>
      <c r="S224" s="45"/>
      <c r="T224" s="45"/>
    </row>
    <row r="225" ht="15.75" customHeight="1">
      <c r="A225" s="40">
        <v>224.0</v>
      </c>
      <c r="B225" s="30" t="s">
        <v>614</v>
      </c>
      <c r="C225" s="30" t="s">
        <v>17</v>
      </c>
      <c r="D225" s="30" t="s">
        <v>615</v>
      </c>
      <c r="E225" s="41">
        <v>8.4</v>
      </c>
      <c r="F225" s="33">
        <v>0.0</v>
      </c>
      <c r="G225" s="30" t="str">
        <f t="shared" si="1"/>
        <v>PASS</v>
      </c>
      <c r="H225" s="46" t="s">
        <v>46</v>
      </c>
      <c r="I225" s="47" t="s">
        <v>27</v>
      </c>
      <c r="J225" s="43">
        <v>0.0</v>
      </c>
      <c r="K225" s="48" t="s">
        <v>616</v>
      </c>
      <c r="L225" s="45">
        <v>1.0</v>
      </c>
      <c r="M225" s="28">
        <f>IFERROR(__xludf.DUMMYFUNCTION("VLOOKUP(B225,IMPORTRANGE(""1CGZ0Bai7Upqd4o8ih3likiFIYVFcX2B2CZFasZGKRII"",""Refined according to Results!B:J""),9,FALSE)"),8.33)</f>
        <v>8.33</v>
      </c>
      <c r="Q225" s="45">
        <v>0.0</v>
      </c>
      <c r="R225" s="45"/>
      <c r="S225" s="45"/>
      <c r="T225" s="45"/>
    </row>
    <row r="226" ht="15.75" customHeight="1">
      <c r="A226" s="40">
        <v>225.0</v>
      </c>
      <c r="B226" s="30" t="s">
        <v>617</v>
      </c>
      <c r="C226" s="30" t="s">
        <v>17</v>
      </c>
      <c r="D226" s="30" t="s">
        <v>618</v>
      </c>
      <c r="E226" s="41">
        <v>9.03</v>
      </c>
      <c r="F226" s="33">
        <v>0.0</v>
      </c>
      <c r="G226" s="30" t="str">
        <f t="shared" si="1"/>
        <v>PASS</v>
      </c>
      <c r="H226" s="49" t="s">
        <v>60</v>
      </c>
      <c r="I226" s="47" t="s">
        <v>27</v>
      </c>
      <c r="J226" s="43">
        <v>0.0</v>
      </c>
      <c r="K226" s="44" t="s">
        <v>52</v>
      </c>
      <c r="L226" s="28">
        <v>1.0</v>
      </c>
      <c r="M226" s="28">
        <f>IFERROR(__xludf.DUMMYFUNCTION("VLOOKUP(B226,IMPORTRANGE(""1CGZ0Bai7Upqd4o8ih3likiFIYVFcX2B2CZFasZGKRII"",""Refined according to Results!B:J""),9,FALSE)"),9.12)</f>
        <v>9.12</v>
      </c>
      <c r="Q226" s="45" t="s">
        <v>52</v>
      </c>
      <c r="R226" s="45"/>
      <c r="S226" s="45"/>
      <c r="T226" s="45"/>
    </row>
    <row r="227" ht="15.75" customHeight="1">
      <c r="A227" s="40">
        <v>226.0</v>
      </c>
      <c r="B227" s="30" t="s">
        <v>619</v>
      </c>
      <c r="C227" s="30" t="s">
        <v>17</v>
      </c>
      <c r="D227" s="30" t="s">
        <v>620</v>
      </c>
      <c r="E227" s="41">
        <v>9.07</v>
      </c>
      <c r="F227" s="33">
        <v>0.0</v>
      </c>
      <c r="G227" s="30" t="str">
        <f t="shared" si="1"/>
        <v>PASS</v>
      </c>
      <c r="H227" s="46" t="s">
        <v>60</v>
      </c>
      <c r="I227" s="47" t="s">
        <v>27</v>
      </c>
      <c r="J227" s="43" t="s">
        <v>621</v>
      </c>
      <c r="K227" s="48" t="s">
        <v>622</v>
      </c>
      <c r="L227" s="45">
        <v>3.0</v>
      </c>
      <c r="M227" s="28">
        <f>IFERROR(__xludf.DUMMYFUNCTION("VLOOKUP(B227,IMPORTRANGE(""1CGZ0Bai7Upqd4o8ih3likiFIYVFcX2B2CZFasZGKRII"",""Refined according to Results!B:J""),9,FALSE)"),9.13)</f>
        <v>9.13</v>
      </c>
      <c r="Q227" s="45" t="s">
        <v>57</v>
      </c>
      <c r="R227" s="45" t="s">
        <v>48</v>
      </c>
      <c r="S227" s="45"/>
      <c r="T227" s="45"/>
    </row>
    <row r="228" ht="15.75" customHeight="1">
      <c r="A228" s="40">
        <v>227.0</v>
      </c>
      <c r="B228" s="30" t="s">
        <v>623</v>
      </c>
      <c r="C228" s="30" t="s">
        <v>17</v>
      </c>
      <c r="D228" s="30" t="s">
        <v>624</v>
      </c>
      <c r="E228" s="41">
        <v>6.93</v>
      </c>
      <c r="F228" s="33">
        <v>0.0</v>
      </c>
      <c r="G228" s="30" t="str">
        <f t="shared" si="1"/>
        <v>PASS</v>
      </c>
      <c r="H228" s="49" t="s">
        <v>60</v>
      </c>
      <c r="I228" s="47" t="s">
        <v>27</v>
      </c>
      <c r="J228" s="43">
        <v>0.0</v>
      </c>
      <c r="K228" s="52"/>
      <c r="L228" s="28">
        <v>0.0</v>
      </c>
      <c r="M228" s="28" t="str">
        <f>IFERROR(__xludf.DUMMYFUNCTION("VLOOKUP(B228,IMPORTRANGE(""1CGZ0Bai7Upqd4o8ih3likiFIYVFcX2B2CZFasZGKRII"",""Refined according to Results!B:J""),9,FALSE)"),"")</f>
        <v/>
      </c>
      <c r="Q228" s="45">
        <v>0.0</v>
      </c>
      <c r="R228" s="45"/>
      <c r="S228" s="45"/>
      <c r="T228" s="45"/>
    </row>
    <row r="229" ht="15.75" customHeight="1">
      <c r="A229" s="40">
        <v>228.0</v>
      </c>
      <c r="B229" s="30" t="s">
        <v>625</v>
      </c>
      <c r="C229" s="30" t="s">
        <v>17</v>
      </c>
      <c r="D229" s="30" t="s">
        <v>626</v>
      </c>
      <c r="E229" s="41">
        <v>8.2</v>
      </c>
      <c r="F229" s="33">
        <v>0.0</v>
      </c>
      <c r="G229" s="30" t="str">
        <f t="shared" si="1"/>
        <v>PASS</v>
      </c>
      <c r="H229" s="46" t="s">
        <v>46</v>
      </c>
      <c r="I229" s="47" t="s">
        <v>27</v>
      </c>
      <c r="J229" s="43">
        <v>0.0</v>
      </c>
      <c r="K229" s="48" t="s">
        <v>204</v>
      </c>
      <c r="L229" s="45">
        <v>1.0</v>
      </c>
      <c r="M229" s="28">
        <f>IFERROR(__xludf.DUMMYFUNCTION("VLOOKUP(B229,IMPORTRANGE(""1CGZ0Bai7Upqd4o8ih3likiFIYVFcX2B2CZFasZGKRII"",""Refined according to Results!B:J""),9,FALSE)"),7.88)</f>
        <v>7.88</v>
      </c>
      <c r="Q229" s="45">
        <v>0.0</v>
      </c>
      <c r="R229" s="45"/>
      <c r="S229" s="45"/>
      <c r="T229" s="45"/>
    </row>
    <row r="230" ht="15.75" customHeight="1">
      <c r="A230" s="40">
        <v>229.0</v>
      </c>
      <c r="B230" s="30" t="s">
        <v>627</v>
      </c>
      <c r="C230" s="30" t="s">
        <v>17</v>
      </c>
      <c r="D230" s="30" t="s">
        <v>628</v>
      </c>
      <c r="E230" s="41">
        <v>7.74</v>
      </c>
      <c r="F230" s="33">
        <v>0.0</v>
      </c>
      <c r="G230" s="30" t="str">
        <f t="shared" si="1"/>
        <v>PASS</v>
      </c>
      <c r="H230" s="49" t="s">
        <v>46</v>
      </c>
      <c r="I230" s="47" t="s">
        <v>27</v>
      </c>
      <c r="J230" s="43">
        <v>0.0</v>
      </c>
      <c r="K230" s="44" t="s">
        <v>629</v>
      </c>
      <c r="L230" s="45">
        <v>1.0</v>
      </c>
      <c r="M230" s="28">
        <f>IFERROR(__xludf.DUMMYFUNCTION("VLOOKUP(B230,IMPORTRANGE(""1CGZ0Bai7Upqd4o8ih3likiFIYVFcX2B2CZFasZGKRII"",""Refined according to Results!B:J""),9,FALSE)"),7.58)</f>
        <v>7.58</v>
      </c>
      <c r="Q230" s="45">
        <v>0.0</v>
      </c>
      <c r="R230" s="45"/>
      <c r="S230" s="45"/>
      <c r="T230" s="45"/>
    </row>
    <row r="231" ht="15.75" customHeight="1">
      <c r="A231" s="40">
        <v>230.0</v>
      </c>
      <c r="B231" s="30" t="s">
        <v>630</v>
      </c>
      <c r="C231" s="30" t="s">
        <v>17</v>
      </c>
      <c r="D231" s="30" t="s">
        <v>631</v>
      </c>
      <c r="E231" s="50"/>
      <c r="F231" s="33">
        <v>1.0</v>
      </c>
      <c r="G231" s="30" t="str">
        <f t="shared" si="1"/>
        <v>FAIL</v>
      </c>
      <c r="H231" s="46" t="s">
        <v>60</v>
      </c>
      <c r="I231" s="47" t="s">
        <v>28</v>
      </c>
      <c r="J231" s="43">
        <v>0.0</v>
      </c>
      <c r="K231" s="51"/>
      <c r="L231" s="28">
        <v>0.0</v>
      </c>
      <c r="M231" s="28" t="str">
        <f>IFERROR(__xludf.DUMMYFUNCTION("VLOOKUP(B231,IMPORTRANGE(""1CGZ0Bai7Upqd4o8ih3likiFIYVFcX2B2CZFasZGKRII"",""Refined according to Results!B:J""),9,FALSE)"),"")</f>
        <v/>
      </c>
      <c r="Q231" s="45">
        <v>0.0</v>
      </c>
      <c r="R231" s="45"/>
      <c r="S231" s="45"/>
      <c r="T231" s="45"/>
    </row>
    <row r="232" ht="15.75" customHeight="1">
      <c r="A232" s="40">
        <v>231.0</v>
      </c>
      <c r="B232" s="30" t="s">
        <v>632</v>
      </c>
      <c r="C232" s="30" t="s">
        <v>17</v>
      </c>
      <c r="D232" s="30" t="s">
        <v>633</v>
      </c>
      <c r="E232" s="41">
        <v>9.01</v>
      </c>
      <c r="F232" s="33">
        <v>0.0</v>
      </c>
      <c r="G232" s="30" t="str">
        <f t="shared" si="1"/>
        <v>PASS</v>
      </c>
      <c r="H232" s="49" t="s">
        <v>60</v>
      </c>
      <c r="I232" s="47" t="s">
        <v>28</v>
      </c>
      <c r="J232" s="43">
        <v>0.0</v>
      </c>
      <c r="K232" s="44" t="s">
        <v>52</v>
      </c>
      <c r="L232" s="28">
        <v>1.0</v>
      </c>
      <c r="M232" s="28">
        <f>IFERROR(__xludf.DUMMYFUNCTION("VLOOKUP(B232,IMPORTRANGE(""1CGZ0Bai7Upqd4o8ih3likiFIYVFcX2B2CZFasZGKRII"",""Refined according to Results!B:J""),9,FALSE)"),9.24)</f>
        <v>9.24</v>
      </c>
      <c r="Q232" s="45" t="s">
        <v>52</v>
      </c>
      <c r="R232" s="45"/>
      <c r="S232" s="45"/>
      <c r="T232" s="45"/>
    </row>
    <row r="233" ht="15.75" customHeight="1">
      <c r="A233" s="40">
        <v>232.0</v>
      </c>
      <c r="B233" s="30" t="s">
        <v>634</v>
      </c>
      <c r="C233" s="30" t="s">
        <v>17</v>
      </c>
      <c r="D233" s="30" t="s">
        <v>635</v>
      </c>
      <c r="E233" s="41">
        <v>7.85</v>
      </c>
      <c r="F233" s="33">
        <v>0.0</v>
      </c>
      <c r="G233" s="30" t="str">
        <f t="shared" si="1"/>
        <v>PASS</v>
      </c>
      <c r="H233" s="46" t="s">
        <v>60</v>
      </c>
      <c r="I233" s="47" t="s">
        <v>27</v>
      </c>
      <c r="J233" s="43">
        <v>0.0</v>
      </c>
      <c r="K233" s="48" t="s">
        <v>636</v>
      </c>
      <c r="L233" s="45">
        <v>1.0</v>
      </c>
      <c r="M233" s="28">
        <f>IFERROR(__xludf.DUMMYFUNCTION("VLOOKUP(B233,IMPORTRANGE(""1CGZ0Bai7Upqd4o8ih3likiFIYVFcX2B2CZFasZGKRII"",""Refined according to Results!B:J""),9,FALSE)"),8.12)</f>
        <v>8.12</v>
      </c>
      <c r="Q233" s="45">
        <v>0.0</v>
      </c>
      <c r="R233" s="45"/>
      <c r="S233" s="45"/>
      <c r="T233" s="45"/>
    </row>
    <row r="234" ht="15.75" customHeight="1">
      <c r="A234" s="40">
        <v>233.0</v>
      </c>
      <c r="B234" s="30" t="s">
        <v>637</v>
      </c>
      <c r="C234" s="30" t="s">
        <v>17</v>
      </c>
      <c r="D234" s="30" t="s">
        <v>638</v>
      </c>
      <c r="E234" s="41">
        <v>8.26</v>
      </c>
      <c r="F234" s="33">
        <v>0.0</v>
      </c>
      <c r="G234" s="30" t="str">
        <f t="shared" si="1"/>
        <v>PASS</v>
      </c>
      <c r="H234" s="49" t="s">
        <v>60</v>
      </c>
      <c r="I234" s="47" t="s">
        <v>27</v>
      </c>
      <c r="J234" s="43" t="s">
        <v>365</v>
      </c>
      <c r="K234" s="44" t="s">
        <v>639</v>
      </c>
      <c r="L234" s="45">
        <v>2.0</v>
      </c>
      <c r="M234" s="28">
        <f>IFERROR(__xludf.DUMMYFUNCTION("VLOOKUP(B234,IMPORTRANGE(""1CGZ0Bai7Upqd4o8ih3likiFIYVFcX2B2CZFasZGKRII"",""Refined according to Results!B:J""),9,FALSE)"),8.12)</f>
        <v>8.12</v>
      </c>
      <c r="Q234" s="45">
        <v>0.0</v>
      </c>
      <c r="R234" s="45"/>
      <c r="S234" s="45"/>
      <c r="T234" s="45"/>
    </row>
    <row r="235" ht="15.75" customHeight="1">
      <c r="A235" s="40">
        <v>234.0</v>
      </c>
      <c r="B235" s="30" t="s">
        <v>640</v>
      </c>
      <c r="C235" s="30" t="s">
        <v>17</v>
      </c>
      <c r="D235" s="30" t="s">
        <v>641</v>
      </c>
      <c r="E235" s="41">
        <v>8.04</v>
      </c>
      <c r="F235" s="33">
        <v>0.0</v>
      </c>
      <c r="G235" s="30" t="str">
        <f t="shared" si="1"/>
        <v>PASS</v>
      </c>
      <c r="H235" s="46" t="s">
        <v>46</v>
      </c>
      <c r="I235" s="47" t="s">
        <v>28</v>
      </c>
      <c r="J235" s="43">
        <v>0.0</v>
      </c>
      <c r="K235" s="51"/>
      <c r="L235" s="28">
        <v>0.0</v>
      </c>
      <c r="M235" s="28">
        <f>IFERROR(__xludf.DUMMYFUNCTION("VLOOKUP(B235,IMPORTRANGE(""1CGZ0Bai7Upqd4o8ih3likiFIYVFcX2B2CZFasZGKRII"",""Refined according to Results!B:J""),9,FALSE)"),7.63)</f>
        <v>7.63</v>
      </c>
      <c r="Q235" s="45">
        <v>0.0</v>
      </c>
      <c r="R235" s="45"/>
      <c r="S235" s="45"/>
      <c r="T235" s="45"/>
    </row>
    <row r="236" ht="15.75" customHeight="1">
      <c r="A236" s="40">
        <v>235.0</v>
      </c>
      <c r="B236" s="30" t="s">
        <v>642</v>
      </c>
      <c r="C236" s="30" t="s">
        <v>17</v>
      </c>
      <c r="D236" s="30" t="s">
        <v>643</v>
      </c>
      <c r="E236" s="50"/>
      <c r="F236" s="33">
        <v>1.0</v>
      </c>
      <c r="G236" s="30" t="str">
        <f t="shared" si="1"/>
        <v>FAIL</v>
      </c>
      <c r="H236" s="49" t="s">
        <v>60</v>
      </c>
      <c r="I236" s="47" t="s">
        <v>27</v>
      </c>
      <c r="J236" s="43" t="s">
        <v>644</v>
      </c>
      <c r="K236" s="44" t="s">
        <v>645</v>
      </c>
      <c r="L236" s="45">
        <v>3.0</v>
      </c>
      <c r="M236" s="28" t="str">
        <f>IFERROR(__xludf.DUMMYFUNCTION("VLOOKUP(B236,IMPORTRANGE(""1CGZ0Bai7Upqd4o8ih3likiFIYVFcX2B2CZFasZGKRII"",""Refined according to Results!B:J""),9,FALSE)"),"")</f>
        <v/>
      </c>
      <c r="Q236" s="45">
        <v>0.0</v>
      </c>
      <c r="R236" s="45"/>
      <c r="S236" s="45"/>
      <c r="T236" s="45"/>
    </row>
    <row r="237" ht="15.75" customHeight="1">
      <c r="A237" s="40">
        <v>236.0</v>
      </c>
      <c r="B237" s="30" t="s">
        <v>646</v>
      </c>
      <c r="C237" s="30" t="s">
        <v>17</v>
      </c>
      <c r="D237" s="30" t="s">
        <v>647</v>
      </c>
      <c r="E237" s="41">
        <v>8.32</v>
      </c>
      <c r="F237" s="33">
        <v>0.0</v>
      </c>
      <c r="G237" s="30" t="str">
        <f t="shared" si="1"/>
        <v>PASS</v>
      </c>
      <c r="H237" s="46" t="s">
        <v>46</v>
      </c>
      <c r="I237" s="47" t="s">
        <v>28</v>
      </c>
      <c r="J237" s="43">
        <v>0.0</v>
      </c>
      <c r="K237" s="48" t="s">
        <v>52</v>
      </c>
      <c r="L237" s="28">
        <v>1.0</v>
      </c>
      <c r="M237" s="28">
        <f>IFERROR(__xludf.DUMMYFUNCTION("VLOOKUP(B237,IMPORTRANGE(""1CGZ0Bai7Upqd4o8ih3likiFIYVFcX2B2CZFasZGKRII"",""Refined according to Results!B:J""),9,FALSE)"),8.26)</f>
        <v>8.26</v>
      </c>
      <c r="Q237" s="45" t="s">
        <v>52</v>
      </c>
      <c r="R237" s="45"/>
      <c r="S237" s="45"/>
      <c r="T237" s="45"/>
    </row>
    <row r="238" ht="15.75" customHeight="1">
      <c r="A238" s="40">
        <v>237.0</v>
      </c>
      <c r="B238" s="30" t="s">
        <v>648</v>
      </c>
      <c r="C238" s="30" t="s">
        <v>17</v>
      </c>
      <c r="D238" s="30" t="s">
        <v>649</v>
      </c>
      <c r="E238" s="50"/>
      <c r="F238" s="33">
        <v>3.0</v>
      </c>
      <c r="G238" s="30" t="str">
        <f t="shared" si="1"/>
        <v>FAIL</v>
      </c>
      <c r="H238" s="49" t="s">
        <v>46</v>
      </c>
      <c r="I238" s="47" t="s">
        <v>27</v>
      </c>
      <c r="J238" s="43">
        <v>0.0</v>
      </c>
      <c r="K238" s="52"/>
      <c r="L238" s="28">
        <v>0.0</v>
      </c>
      <c r="M238" s="28" t="str">
        <f>IFERROR(__xludf.DUMMYFUNCTION("VLOOKUP(B238,IMPORTRANGE(""1CGZ0Bai7Upqd4o8ih3likiFIYVFcX2B2CZFasZGKRII"",""Refined according to Results!B:J""),9,FALSE)"),"")</f>
        <v/>
      </c>
      <c r="Q238" s="45">
        <v>0.0</v>
      </c>
      <c r="R238" s="45"/>
      <c r="S238" s="45"/>
      <c r="T238" s="45"/>
    </row>
    <row r="239" ht="15.75" customHeight="1">
      <c r="A239" s="40">
        <v>238.0</v>
      </c>
      <c r="B239" s="30" t="s">
        <v>650</v>
      </c>
      <c r="C239" s="30" t="s">
        <v>17</v>
      </c>
      <c r="D239" s="30" t="s">
        <v>651</v>
      </c>
      <c r="E239" s="41">
        <v>7.47</v>
      </c>
      <c r="F239" s="33">
        <v>0.0</v>
      </c>
      <c r="G239" s="30" t="str">
        <f t="shared" si="1"/>
        <v>PASS</v>
      </c>
      <c r="H239" s="46" t="s">
        <v>60</v>
      </c>
      <c r="I239" s="47" t="s">
        <v>28</v>
      </c>
      <c r="J239" s="43">
        <v>0.0</v>
      </c>
      <c r="K239" s="51"/>
      <c r="L239" s="28">
        <v>0.0</v>
      </c>
      <c r="M239" s="28">
        <f>IFERROR(__xludf.DUMMYFUNCTION("VLOOKUP(B239,IMPORTRANGE(""1CGZ0Bai7Upqd4o8ih3likiFIYVFcX2B2CZFasZGKRII"",""Refined according to Results!B:J""),9,FALSE)"),7.38)</f>
        <v>7.38</v>
      </c>
      <c r="Q239" s="45">
        <v>0.0</v>
      </c>
      <c r="R239" s="45"/>
      <c r="S239" s="45"/>
      <c r="T239" s="45"/>
    </row>
    <row r="240" ht="15.75" customHeight="1">
      <c r="A240" s="40">
        <v>239.0</v>
      </c>
      <c r="B240" s="30" t="s">
        <v>652</v>
      </c>
      <c r="C240" s="30" t="s">
        <v>17</v>
      </c>
      <c r="D240" s="30" t="s">
        <v>653</v>
      </c>
      <c r="E240" s="50"/>
      <c r="F240" s="33">
        <v>1.0</v>
      </c>
      <c r="G240" s="30" t="str">
        <f t="shared" si="1"/>
        <v>FAIL</v>
      </c>
      <c r="H240" s="49" t="s">
        <v>46</v>
      </c>
      <c r="I240" s="47" t="s">
        <v>27</v>
      </c>
      <c r="J240" s="43">
        <v>0.0</v>
      </c>
      <c r="K240" s="52"/>
      <c r="L240" s="28">
        <v>0.0</v>
      </c>
      <c r="M240" s="28">
        <f>IFERROR(__xludf.DUMMYFUNCTION("VLOOKUP(B240,IMPORTRANGE(""1CGZ0Bai7Upqd4o8ih3likiFIYVFcX2B2CZFasZGKRII"",""Refined according to Results!B:J""),9,FALSE)"),6.6)</f>
        <v>6.6</v>
      </c>
      <c r="Q240" s="45">
        <v>0.0</v>
      </c>
      <c r="R240" s="45"/>
      <c r="S240" s="45"/>
      <c r="T240" s="45"/>
    </row>
    <row r="241" ht="15.75" customHeight="1">
      <c r="A241" s="40">
        <v>240.0</v>
      </c>
      <c r="B241" s="30" t="s">
        <v>654</v>
      </c>
      <c r="C241" s="30" t="s">
        <v>17</v>
      </c>
      <c r="D241" s="30" t="s">
        <v>655</v>
      </c>
      <c r="E241" s="41">
        <v>7.08</v>
      </c>
      <c r="F241" s="33">
        <v>0.0</v>
      </c>
      <c r="G241" s="30" t="str">
        <f t="shared" si="1"/>
        <v>PASS</v>
      </c>
      <c r="H241" s="46" t="s">
        <v>46</v>
      </c>
      <c r="I241" s="47" t="s">
        <v>27</v>
      </c>
      <c r="J241" s="43">
        <v>0.0</v>
      </c>
      <c r="K241" s="51"/>
      <c r="L241" s="28">
        <v>0.0</v>
      </c>
      <c r="M241" s="28">
        <f>IFERROR(__xludf.DUMMYFUNCTION("VLOOKUP(B241,IMPORTRANGE(""1CGZ0Bai7Upqd4o8ih3likiFIYVFcX2B2CZFasZGKRII"",""Refined according to Results!B:J""),9,FALSE)"),6.76)</f>
        <v>6.76</v>
      </c>
      <c r="Q241" s="45">
        <v>0.0</v>
      </c>
      <c r="R241" s="45"/>
      <c r="S241" s="45"/>
      <c r="T241" s="45"/>
    </row>
    <row r="242" ht="15.75" customHeight="1">
      <c r="A242" s="40">
        <v>241.0</v>
      </c>
      <c r="B242" s="30" t="s">
        <v>656</v>
      </c>
      <c r="C242" s="30" t="s">
        <v>17</v>
      </c>
      <c r="D242" s="30" t="s">
        <v>657</v>
      </c>
      <c r="E242" s="41">
        <v>8.55</v>
      </c>
      <c r="F242" s="33">
        <v>0.0</v>
      </c>
      <c r="G242" s="30" t="str">
        <f t="shared" si="1"/>
        <v>PASS</v>
      </c>
      <c r="H242" s="49" t="s">
        <v>46</v>
      </c>
      <c r="I242" s="47" t="s">
        <v>27</v>
      </c>
      <c r="J242" s="43" t="s">
        <v>658</v>
      </c>
      <c r="K242" s="44" t="s">
        <v>659</v>
      </c>
      <c r="L242" s="45">
        <v>3.0</v>
      </c>
      <c r="M242" s="28">
        <f>IFERROR(__xludf.DUMMYFUNCTION("VLOOKUP(B242,IMPORTRANGE(""1CGZ0Bai7Upqd4o8ih3likiFIYVFcX2B2CZFasZGKRII"",""Refined according to Results!B:J""),9,FALSE)"),8.97)</f>
        <v>8.97</v>
      </c>
      <c r="Q242" s="45" t="s">
        <v>52</v>
      </c>
      <c r="R242" s="45" t="s">
        <v>94</v>
      </c>
      <c r="S242" s="45"/>
      <c r="T242" s="45"/>
    </row>
    <row r="243" ht="15.75" customHeight="1">
      <c r="A243" s="40">
        <v>242.0</v>
      </c>
      <c r="B243" s="30" t="s">
        <v>660</v>
      </c>
      <c r="C243" s="30" t="s">
        <v>17</v>
      </c>
      <c r="D243" s="30" t="s">
        <v>661</v>
      </c>
      <c r="E243" s="41">
        <v>7.87</v>
      </c>
      <c r="F243" s="33">
        <v>0.0</v>
      </c>
      <c r="G243" s="30" t="str">
        <f t="shared" si="1"/>
        <v>PASS</v>
      </c>
      <c r="H243" s="46" t="s">
        <v>46</v>
      </c>
      <c r="I243" s="47" t="s">
        <v>27</v>
      </c>
      <c r="J243" s="43">
        <v>0.0</v>
      </c>
      <c r="K243" s="48" t="s">
        <v>237</v>
      </c>
      <c r="L243" s="45">
        <v>1.0</v>
      </c>
      <c r="M243" s="28">
        <f>IFERROR(__xludf.DUMMYFUNCTION("VLOOKUP(B243,IMPORTRANGE(""1CGZ0Bai7Upqd4o8ih3likiFIYVFcX2B2CZFasZGKRII"",""Refined according to Results!B:J""),9,FALSE)"),7.47)</f>
        <v>7.47</v>
      </c>
      <c r="Q243" s="45">
        <v>0.0</v>
      </c>
      <c r="R243" s="45"/>
      <c r="S243" s="45"/>
      <c r="T243" s="45"/>
    </row>
    <row r="244" ht="15.75" customHeight="1">
      <c r="A244" s="40">
        <v>243.0</v>
      </c>
      <c r="B244" s="30" t="s">
        <v>662</v>
      </c>
      <c r="C244" s="30" t="s">
        <v>17</v>
      </c>
      <c r="D244" s="30" t="s">
        <v>663</v>
      </c>
      <c r="E244" s="41">
        <v>8.6</v>
      </c>
      <c r="F244" s="33">
        <v>0.0</v>
      </c>
      <c r="G244" s="30" t="str">
        <f t="shared" si="1"/>
        <v>PASS</v>
      </c>
      <c r="H244" s="49" t="s">
        <v>60</v>
      </c>
      <c r="I244" s="47" t="s">
        <v>27</v>
      </c>
      <c r="J244" s="43" t="s">
        <v>75</v>
      </c>
      <c r="K244" s="44" t="s">
        <v>664</v>
      </c>
      <c r="L244" s="45">
        <v>3.0</v>
      </c>
      <c r="M244" s="28">
        <f>IFERROR(__xludf.DUMMYFUNCTION("VLOOKUP(B244,IMPORTRANGE(""1CGZ0Bai7Upqd4o8ih3likiFIYVFcX2B2CZFasZGKRII"",""Refined according to Results!B:J""),9,FALSE)"),8.73)</f>
        <v>8.73</v>
      </c>
      <c r="Q244" s="45" t="s">
        <v>52</v>
      </c>
      <c r="R244" s="45" t="s">
        <v>48</v>
      </c>
      <c r="S244" s="45" t="s">
        <v>75</v>
      </c>
      <c r="T244" s="45"/>
    </row>
    <row r="245" ht="15.75" customHeight="1">
      <c r="A245" s="40">
        <v>244.0</v>
      </c>
      <c r="B245" s="30" t="s">
        <v>665</v>
      </c>
      <c r="C245" s="30" t="s">
        <v>17</v>
      </c>
      <c r="D245" s="30" t="s">
        <v>666</v>
      </c>
      <c r="E245" s="50"/>
      <c r="F245" s="33">
        <v>8.0</v>
      </c>
      <c r="G245" s="30" t="str">
        <f t="shared" si="1"/>
        <v>FAIL</v>
      </c>
      <c r="H245" s="46" t="s">
        <v>46</v>
      </c>
      <c r="I245" s="47" t="s">
        <v>27</v>
      </c>
      <c r="J245" s="43">
        <v>0.0</v>
      </c>
      <c r="K245" s="51"/>
      <c r="L245" s="28">
        <v>0.0</v>
      </c>
      <c r="M245" s="28" t="str">
        <f>IFERROR(__xludf.DUMMYFUNCTION("VLOOKUP(B245,IMPORTRANGE(""1CGZ0Bai7Upqd4o8ih3likiFIYVFcX2B2CZFasZGKRII"",""Refined according to Results!B:J""),9,FALSE)"),"")</f>
        <v/>
      </c>
      <c r="Q245" s="45">
        <v>0.0</v>
      </c>
      <c r="R245" s="45"/>
      <c r="S245" s="45"/>
      <c r="T245" s="45"/>
    </row>
    <row r="246" ht="15.75" customHeight="1">
      <c r="A246" s="40">
        <v>245.0</v>
      </c>
      <c r="B246" s="30" t="s">
        <v>667</v>
      </c>
      <c r="C246" s="30" t="s">
        <v>17</v>
      </c>
      <c r="D246" s="30" t="s">
        <v>668</v>
      </c>
      <c r="E246" s="41">
        <v>8.45</v>
      </c>
      <c r="F246" s="33">
        <v>0.0</v>
      </c>
      <c r="G246" s="30" t="str">
        <f t="shared" si="1"/>
        <v>PASS</v>
      </c>
      <c r="H246" s="49" t="s">
        <v>60</v>
      </c>
      <c r="I246" s="47" t="s">
        <v>27</v>
      </c>
      <c r="J246" s="43" t="s">
        <v>669</v>
      </c>
      <c r="K246" s="44" t="s">
        <v>670</v>
      </c>
      <c r="L246" s="45">
        <v>3.0</v>
      </c>
      <c r="M246" s="28">
        <f>IFERROR(__xludf.DUMMYFUNCTION("VLOOKUP(B246,IMPORTRANGE(""1CGZ0Bai7Upqd4o8ih3likiFIYVFcX2B2CZFasZGKRII"",""Refined according to Results!B:J""),9,FALSE)"),8.27)</f>
        <v>8.27</v>
      </c>
      <c r="Q246" s="45">
        <v>0.0</v>
      </c>
      <c r="R246" s="45"/>
      <c r="S246" s="45"/>
      <c r="T246" s="45"/>
    </row>
    <row r="247" ht="15.75" customHeight="1">
      <c r="A247" s="40">
        <v>246.0</v>
      </c>
      <c r="B247" s="30" t="s">
        <v>671</v>
      </c>
      <c r="C247" s="30" t="s">
        <v>17</v>
      </c>
      <c r="D247" s="30" t="s">
        <v>672</v>
      </c>
      <c r="E247" s="41">
        <v>7.42</v>
      </c>
      <c r="F247" s="33">
        <v>0.0</v>
      </c>
      <c r="G247" s="30" t="str">
        <f t="shared" si="1"/>
        <v>PASS</v>
      </c>
      <c r="H247" s="46" t="s">
        <v>46</v>
      </c>
      <c r="I247" s="47" t="s">
        <v>27</v>
      </c>
      <c r="J247" s="43">
        <v>0.0</v>
      </c>
      <c r="K247" s="51"/>
      <c r="L247" s="28">
        <v>0.0</v>
      </c>
      <c r="M247" s="28">
        <f>IFERROR(__xludf.DUMMYFUNCTION("VLOOKUP(B247,IMPORTRANGE(""1CGZ0Bai7Upqd4o8ih3likiFIYVFcX2B2CZFasZGKRII"",""Refined according to Results!B:J""),9,FALSE)"),7.55)</f>
        <v>7.55</v>
      </c>
      <c r="Q247" s="45">
        <v>0.0</v>
      </c>
      <c r="R247" s="45"/>
      <c r="S247" s="45"/>
      <c r="T247" s="45"/>
    </row>
    <row r="248" ht="15.75" customHeight="1">
      <c r="A248" s="40">
        <v>247.0</v>
      </c>
      <c r="B248" s="30" t="s">
        <v>673</v>
      </c>
      <c r="C248" s="30" t="s">
        <v>17</v>
      </c>
      <c r="D248" s="30" t="s">
        <v>674</v>
      </c>
      <c r="E248" s="41">
        <v>8.4</v>
      </c>
      <c r="F248" s="33">
        <v>0.0</v>
      </c>
      <c r="G248" s="30" t="str">
        <f t="shared" si="1"/>
        <v>PASS</v>
      </c>
      <c r="H248" s="49" t="s">
        <v>46</v>
      </c>
      <c r="I248" s="47" t="s">
        <v>27</v>
      </c>
      <c r="J248" s="43" t="s">
        <v>349</v>
      </c>
      <c r="K248" s="44" t="s">
        <v>675</v>
      </c>
      <c r="L248" s="45">
        <v>4.0</v>
      </c>
      <c r="M248" s="28">
        <f>IFERROR(__xludf.DUMMYFUNCTION("VLOOKUP(B248,IMPORTRANGE(""1CGZ0Bai7Upqd4o8ih3likiFIYVFcX2B2CZFasZGKRII"",""Refined according to Results!B:J""),9,FALSE)"),8.65)</f>
        <v>8.65</v>
      </c>
      <c r="Q248" s="45" t="s">
        <v>52</v>
      </c>
      <c r="R248" s="45"/>
      <c r="S248" s="45"/>
      <c r="T248" s="45"/>
    </row>
    <row r="249" ht="15.75" customHeight="1">
      <c r="A249" s="40">
        <v>248.0</v>
      </c>
      <c r="B249" s="30" t="s">
        <v>676</v>
      </c>
      <c r="C249" s="30" t="s">
        <v>17</v>
      </c>
      <c r="D249" s="30" t="s">
        <v>677</v>
      </c>
      <c r="E249" s="41">
        <v>9.09</v>
      </c>
      <c r="F249" s="33">
        <v>0.0</v>
      </c>
      <c r="G249" s="30" t="str">
        <f t="shared" si="1"/>
        <v>PASS</v>
      </c>
      <c r="H249" s="46" t="s">
        <v>60</v>
      </c>
      <c r="I249" s="47" t="s">
        <v>28</v>
      </c>
      <c r="J249" s="43">
        <v>0.0</v>
      </c>
      <c r="K249" s="48" t="s">
        <v>678</v>
      </c>
      <c r="L249" s="45">
        <v>2.0</v>
      </c>
      <c r="M249" s="28">
        <f>IFERROR(__xludf.DUMMYFUNCTION("VLOOKUP(B249,IMPORTRANGE(""1CGZ0Bai7Upqd4o8ih3likiFIYVFcX2B2CZFasZGKRII"",""Refined according to Results!B:J""),9,FALSE)"),9.29)</f>
        <v>9.29</v>
      </c>
      <c r="Q249" s="45" t="s">
        <v>48</v>
      </c>
      <c r="R249" s="45" t="s">
        <v>103</v>
      </c>
      <c r="S249" s="45"/>
      <c r="T249" s="45"/>
    </row>
    <row r="250" ht="15.75" customHeight="1">
      <c r="A250" s="40">
        <v>249.0</v>
      </c>
      <c r="B250" s="30" t="s">
        <v>679</v>
      </c>
      <c r="C250" s="30" t="s">
        <v>17</v>
      </c>
      <c r="D250" s="30" t="s">
        <v>680</v>
      </c>
      <c r="E250" s="41">
        <v>8.26</v>
      </c>
      <c r="F250" s="33">
        <v>0.0</v>
      </c>
      <c r="G250" s="30" t="str">
        <f t="shared" si="1"/>
        <v>PASS</v>
      </c>
      <c r="H250" s="49" t="s">
        <v>46</v>
      </c>
      <c r="I250" s="47" t="s">
        <v>28</v>
      </c>
      <c r="J250" s="43" t="s">
        <v>75</v>
      </c>
      <c r="K250" s="44" t="s">
        <v>681</v>
      </c>
      <c r="L250" s="45">
        <v>4.0</v>
      </c>
      <c r="M250" s="28">
        <f>IFERROR(__xludf.DUMMYFUNCTION("VLOOKUP(B250,IMPORTRANGE(""1CGZ0Bai7Upqd4o8ih3likiFIYVFcX2B2CZFasZGKRII"",""Refined according to Results!B:J""),9,FALSE)"),8.79)</f>
        <v>8.79</v>
      </c>
      <c r="Q250" s="45" t="s">
        <v>52</v>
      </c>
      <c r="R250" s="45" t="s">
        <v>48</v>
      </c>
      <c r="S250" s="45" t="s">
        <v>75</v>
      </c>
      <c r="T250" s="45"/>
    </row>
    <row r="251" ht="15.75" customHeight="1">
      <c r="A251" s="40">
        <v>250.0</v>
      </c>
      <c r="B251" s="30" t="s">
        <v>682</v>
      </c>
      <c r="C251" s="30" t="s">
        <v>17</v>
      </c>
      <c r="D251" s="30" t="s">
        <v>683</v>
      </c>
      <c r="E251" s="41">
        <v>8.86</v>
      </c>
      <c r="F251" s="33">
        <v>0.0</v>
      </c>
      <c r="G251" s="30" t="str">
        <f t="shared" si="1"/>
        <v>PASS</v>
      </c>
      <c r="H251" s="46" t="s">
        <v>60</v>
      </c>
      <c r="I251" s="47" t="s">
        <v>27</v>
      </c>
      <c r="J251" s="43">
        <v>0.0</v>
      </c>
      <c r="K251" s="48" t="s">
        <v>684</v>
      </c>
      <c r="L251" s="45">
        <v>3.0</v>
      </c>
      <c r="M251" s="28">
        <f>IFERROR(__xludf.DUMMYFUNCTION("VLOOKUP(B251,IMPORTRANGE(""1CGZ0Bai7Upqd4o8ih3likiFIYVFcX2B2CZFasZGKRII"",""Refined according to Results!B:J""),9,FALSE)"),8.97)</f>
        <v>8.97</v>
      </c>
      <c r="Q251" s="45" t="s">
        <v>52</v>
      </c>
      <c r="R251" s="45" t="s">
        <v>48</v>
      </c>
      <c r="S251" s="45" t="s">
        <v>79</v>
      </c>
      <c r="T251" s="45"/>
    </row>
    <row r="252" ht="15.75" customHeight="1">
      <c r="A252" s="40">
        <v>251.0</v>
      </c>
      <c r="B252" s="30" t="s">
        <v>685</v>
      </c>
      <c r="C252" s="30" t="s">
        <v>17</v>
      </c>
      <c r="D252" s="30" t="s">
        <v>686</v>
      </c>
      <c r="E252" s="41">
        <v>8.0</v>
      </c>
      <c r="F252" s="33">
        <v>0.0</v>
      </c>
      <c r="G252" s="30" t="str">
        <f t="shared" si="1"/>
        <v>PASS</v>
      </c>
      <c r="H252" s="49" t="s">
        <v>46</v>
      </c>
      <c r="I252" s="47" t="s">
        <v>27</v>
      </c>
      <c r="J252" s="43">
        <v>0.0</v>
      </c>
      <c r="K252" s="44" t="s">
        <v>687</v>
      </c>
      <c r="L252" s="45">
        <v>2.0</v>
      </c>
      <c r="M252" s="28">
        <f>IFERROR(__xludf.DUMMYFUNCTION("VLOOKUP(B252,IMPORTRANGE(""1CGZ0Bai7Upqd4o8ih3likiFIYVFcX2B2CZFasZGKRII"",""Refined according to Results!B:J""),9,FALSE)"),8.47)</f>
        <v>8.47</v>
      </c>
      <c r="Q252" s="45" t="s">
        <v>63</v>
      </c>
      <c r="R252" s="45"/>
      <c r="S252" s="45"/>
      <c r="T252" s="45"/>
    </row>
    <row r="253" ht="15.75" customHeight="1">
      <c r="A253" s="40">
        <v>252.0</v>
      </c>
      <c r="B253" s="30" t="s">
        <v>688</v>
      </c>
      <c r="C253" s="30" t="s">
        <v>17</v>
      </c>
      <c r="D253" s="30" t="s">
        <v>689</v>
      </c>
      <c r="E253" s="41">
        <v>7.43</v>
      </c>
      <c r="F253" s="33">
        <v>0.0</v>
      </c>
      <c r="G253" s="30" t="str">
        <f t="shared" si="1"/>
        <v>PASS</v>
      </c>
      <c r="H253" s="46" t="s">
        <v>46</v>
      </c>
      <c r="I253" s="47" t="s">
        <v>27</v>
      </c>
      <c r="J253" s="43">
        <v>0.0</v>
      </c>
      <c r="K253" s="48" t="s">
        <v>690</v>
      </c>
      <c r="L253" s="45">
        <v>2.0</v>
      </c>
      <c r="M253" s="28">
        <f>IFERROR(__xludf.DUMMYFUNCTION("VLOOKUP(B253,IMPORTRANGE(""1CGZ0Bai7Upqd4o8ih3likiFIYVFcX2B2CZFasZGKRII"",""Refined according to Results!B:J""),9,FALSE)"),7.33)</f>
        <v>7.33</v>
      </c>
      <c r="Q253" s="45" t="s">
        <v>48</v>
      </c>
      <c r="R253" s="45"/>
      <c r="S253" s="45"/>
      <c r="T253" s="45"/>
    </row>
    <row r="254" ht="15.75" customHeight="1">
      <c r="A254" s="40">
        <v>253.0</v>
      </c>
      <c r="B254" s="30" t="s">
        <v>691</v>
      </c>
      <c r="C254" s="30" t="s">
        <v>17</v>
      </c>
      <c r="D254" s="30" t="s">
        <v>692</v>
      </c>
      <c r="E254" s="41">
        <v>7.08</v>
      </c>
      <c r="F254" s="33">
        <v>0.0</v>
      </c>
      <c r="G254" s="30" t="str">
        <f t="shared" si="1"/>
        <v>PASS</v>
      </c>
      <c r="H254" s="49" t="s">
        <v>46</v>
      </c>
      <c r="I254" s="47" t="s">
        <v>27</v>
      </c>
      <c r="J254" s="43">
        <v>0.0</v>
      </c>
      <c r="K254" s="52"/>
      <c r="L254" s="28">
        <v>0.0</v>
      </c>
      <c r="M254" s="28" t="str">
        <f>IFERROR(__xludf.DUMMYFUNCTION("VLOOKUP(B254,IMPORTRANGE(""1CGZ0Bai7Upqd4o8ih3likiFIYVFcX2B2CZFasZGKRII"",""Refined according to Results!B:J""),9,FALSE)"),"")</f>
        <v/>
      </c>
      <c r="Q254" s="45">
        <v>0.0</v>
      </c>
      <c r="R254" s="45"/>
      <c r="S254" s="45"/>
      <c r="T254" s="45"/>
    </row>
    <row r="255" ht="15.75" customHeight="1">
      <c r="A255" s="40">
        <v>254.0</v>
      </c>
      <c r="B255" s="30" t="s">
        <v>693</v>
      </c>
      <c r="C255" s="30" t="s">
        <v>17</v>
      </c>
      <c r="D255" s="30" t="s">
        <v>694</v>
      </c>
      <c r="E255" s="41">
        <v>8.47</v>
      </c>
      <c r="F255" s="33">
        <v>0.0</v>
      </c>
      <c r="G255" s="30" t="str">
        <f t="shared" si="1"/>
        <v>PASS</v>
      </c>
      <c r="H255" s="46" t="s">
        <v>60</v>
      </c>
      <c r="I255" s="47" t="s">
        <v>27</v>
      </c>
      <c r="J255" s="43">
        <v>0.0</v>
      </c>
      <c r="K255" s="48" t="s">
        <v>278</v>
      </c>
      <c r="L255" s="45">
        <v>2.0</v>
      </c>
      <c r="M255" s="28">
        <f>IFERROR(__xludf.DUMMYFUNCTION("VLOOKUP(B255,IMPORTRANGE(""1CGZ0Bai7Upqd4o8ih3likiFIYVFcX2B2CZFasZGKRII"",""Refined according to Results!B:J""),9,FALSE)"),8.29)</f>
        <v>8.29</v>
      </c>
      <c r="Q255" s="45" t="s">
        <v>52</v>
      </c>
      <c r="R255" s="45"/>
      <c r="S255" s="45"/>
      <c r="T255" s="45"/>
    </row>
    <row r="256" ht="15.75" customHeight="1">
      <c r="A256" s="40">
        <v>255.0</v>
      </c>
      <c r="B256" s="30" t="s">
        <v>695</v>
      </c>
      <c r="C256" s="30" t="s">
        <v>17</v>
      </c>
      <c r="D256" s="30" t="s">
        <v>696</v>
      </c>
      <c r="E256" s="41">
        <v>7.79</v>
      </c>
      <c r="F256" s="33">
        <v>0.0</v>
      </c>
      <c r="G256" s="30" t="str">
        <f t="shared" si="1"/>
        <v>PASS</v>
      </c>
      <c r="H256" s="49" t="s">
        <v>60</v>
      </c>
      <c r="I256" s="65" t="s">
        <v>27</v>
      </c>
      <c r="J256" s="66">
        <v>0.0</v>
      </c>
      <c r="K256" s="52"/>
      <c r="L256" s="28">
        <v>0.0</v>
      </c>
      <c r="M256" s="28">
        <f>IFERROR(__xludf.DUMMYFUNCTION("VLOOKUP(B256,IMPORTRANGE(""1CGZ0Bai7Upqd4o8ih3likiFIYVFcX2B2CZFasZGKRII"",""Refined according to Results!B:J""),9,FALSE)"),7.73)</f>
        <v>7.73</v>
      </c>
      <c r="Q256" s="45">
        <v>0.0</v>
      </c>
      <c r="R256" s="45"/>
      <c r="S256" s="45"/>
      <c r="T256" s="45"/>
    </row>
    <row r="257" ht="15.75" customHeight="1">
      <c r="A257" s="40">
        <v>256.0</v>
      </c>
      <c r="B257" s="30" t="s">
        <v>697</v>
      </c>
      <c r="C257" s="30" t="s">
        <v>17</v>
      </c>
      <c r="D257" s="30" t="s">
        <v>698</v>
      </c>
      <c r="E257" s="41">
        <v>8.93</v>
      </c>
      <c r="F257" s="33">
        <v>0.0</v>
      </c>
      <c r="G257" s="30" t="str">
        <f t="shared" si="1"/>
        <v>PASS</v>
      </c>
      <c r="H257" s="46" t="s">
        <v>60</v>
      </c>
      <c r="I257" s="47" t="s">
        <v>27</v>
      </c>
      <c r="J257" s="43">
        <v>0.0</v>
      </c>
      <c r="K257" s="48" t="s">
        <v>684</v>
      </c>
      <c r="L257" s="45">
        <v>3.0</v>
      </c>
      <c r="M257" s="28">
        <f>IFERROR(__xludf.DUMMYFUNCTION("VLOOKUP(B257,IMPORTRANGE(""1CGZ0Bai7Upqd4o8ih3likiFIYVFcX2B2CZFasZGKRII"",""Refined according to Results!B:J""),9,FALSE)"),9.05)</f>
        <v>9.05</v>
      </c>
      <c r="Q257" s="45" t="s">
        <v>52</v>
      </c>
      <c r="R257" s="45" t="s">
        <v>48</v>
      </c>
      <c r="S257" s="45" t="s">
        <v>79</v>
      </c>
      <c r="T257" s="45"/>
    </row>
    <row r="258" ht="15.75" customHeight="1">
      <c r="A258" s="40">
        <v>257.0</v>
      </c>
      <c r="B258" s="30" t="s">
        <v>699</v>
      </c>
      <c r="C258" s="30" t="s">
        <v>17</v>
      </c>
      <c r="D258" s="30" t="s">
        <v>700</v>
      </c>
      <c r="E258" s="41">
        <v>8.94</v>
      </c>
      <c r="F258" s="33">
        <v>0.0</v>
      </c>
      <c r="G258" s="30" t="str">
        <f t="shared" si="1"/>
        <v>PASS</v>
      </c>
      <c r="H258" s="49" t="s">
        <v>60</v>
      </c>
      <c r="I258" s="47" t="s">
        <v>28</v>
      </c>
      <c r="J258" s="43">
        <v>0.0</v>
      </c>
      <c r="K258" s="44" t="s">
        <v>701</v>
      </c>
      <c r="L258" s="45">
        <v>1.0</v>
      </c>
      <c r="M258" s="28">
        <f>IFERROR(__xludf.DUMMYFUNCTION("VLOOKUP(B258,IMPORTRANGE(""1CGZ0Bai7Upqd4o8ih3likiFIYVFcX2B2CZFasZGKRII"",""Refined according to Results!B:J""),9,FALSE)"),8.81)</f>
        <v>8.81</v>
      </c>
      <c r="Q258" s="45">
        <v>0.0</v>
      </c>
      <c r="R258" s="45"/>
      <c r="S258" s="45"/>
      <c r="T258" s="45"/>
    </row>
    <row r="259" ht="15.75" customHeight="1">
      <c r="A259" s="40">
        <v>258.0</v>
      </c>
      <c r="B259" s="30" t="s">
        <v>702</v>
      </c>
      <c r="C259" s="30" t="s">
        <v>17</v>
      </c>
      <c r="D259" s="30" t="s">
        <v>703</v>
      </c>
      <c r="E259" s="41">
        <v>8.82</v>
      </c>
      <c r="F259" s="33">
        <v>0.0</v>
      </c>
      <c r="G259" s="30" t="str">
        <f t="shared" si="1"/>
        <v>PASS</v>
      </c>
      <c r="H259" s="46" t="s">
        <v>46</v>
      </c>
      <c r="I259" s="47" t="s">
        <v>27</v>
      </c>
      <c r="J259" s="43">
        <v>0.0</v>
      </c>
      <c r="K259" s="48" t="s">
        <v>704</v>
      </c>
      <c r="L259" s="45">
        <v>1.0</v>
      </c>
      <c r="M259" s="28">
        <f>IFERROR(__xludf.DUMMYFUNCTION("VLOOKUP(B259,IMPORTRANGE(""1CGZ0Bai7Upqd4o8ih3likiFIYVFcX2B2CZFasZGKRII"",""Refined according to Results!B:J""),9,FALSE)"),8.92)</f>
        <v>8.92</v>
      </c>
      <c r="Q259" s="45">
        <v>0.0</v>
      </c>
      <c r="R259" s="45"/>
      <c r="S259" s="45"/>
      <c r="T259" s="45"/>
    </row>
    <row r="260" ht="15.75" customHeight="1">
      <c r="A260" s="40">
        <v>259.0</v>
      </c>
      <c r="B260" s="30" t="s">
        <v>705</v>
      </c>
      <c r="C260" s="30" t="s">
        <v>17</v>
      </c>
      <c r="D260" s="30" t="s">
        <v>706</v>
      </c>
      <c r="E260" s="41">
        <v>8.06</v>
      </c>
      <c r="F260" s="33">
        <v>0.0</v>
      </c>
      <c r="G260" s="30" t="str">
        <f t="shared" si="1"/>
        <v>PASS</v>
      </c>
      <c r="H260" s="49" t="s">
        <v>46</v>
      </c>
      <c r="I260" s="47" t="s">
        <v>27</v>
      </c>
      <c r="J260" s="43">
        <v>0.0</v>
      </c>
      <c r="K260" s="44" t="s">
        <v>255</v>
      </c>
      <c r="L260" s="45">
        <v>1.0</v>
      </c>
      <c r="M260" s="28">
        <f>IFERROR(__xludf.DUMMYFUNCTION("VLOOKUP(B260,IMPORTRANGE(""1CGZ0Bai7Upqd4o8ih3likiFIYVFcX2B2CZFasZGKRII"",""Refined according to Results!B:J""),9,FALSE)"),7.62)</f>
        <v>7.62</v>
      </c>
      <c r="Q260" s="45">
        <v>0.0</v>
      </c>
      <c r="R260" s="45"/>
      <c r="S260" s="45"/>
      <c r="T260" s="45"/>
    </row>
    <row r="261" ht="15.75" customHeight="1">
      <c r="A261" s="40">
        <v>260.0</v>
      </c>
      <c r="B261" s="30" t="s">
        <v>707</v>
      </c>
      <c r="C261" s="30" t="s">
        <v>17</v>
      </c>
      <c r="D261" s="30" t="s">
        <v>708</v>
      </c>
      <c r="E261" s="41">
        <v>7.69</v>
      </c>
      <c r="F261" s="33">
        <v>0.0</v>
      </c>
      <c r="G261" s="30" t="str">
        <f t="shared" si="1"/>
        <v>PASS</v>
      </c>
      <c r="H261" s="46" t="s">
        <v>46</v>
      </c>
      <c r="I261" s="60" t="s">
        <v>27</v>
      </c>
      <c r="J261" s="61" t="s">
        <v>621</v>
      </c>
      <c r="K261" s="48" t="s">
        <v>709</v>
      </c>
      <c r="L261" s="45">
        <v>2.0</v>
      </c>
      <c r="M261" s="28">
        <f>IFERROR(__xludf.DUMMYFUNCTION("VLOOKUP(B261,IMPORTRANGE(""1CGZ0Bai7Upqd4o8ih3likiFIYVFcX2B2CZFasZGKRII"",""Refined according to Results!B:J""),9,FALSE)"),7.23)</f>
        <v>7.23</v>
      </c>
      <c r="Q261" s="45" t="s">
        <v>63</v>
      </c>
      <c r="R261" s="45"/>
      <c r="S261" s="45"/>
      <c r="T261" s="45"/>
    </row>
    <row r="262" ht="15.75" customHeight="1">
      <c r="A262" s="40">
        <v>261.0</v>
      </c>
      <c r="B262" s="30" t="s">
        <v>710</v>
      </c>
      <c r="C262" s="30" t="s">
        <v>17</v>
      </c>
      <c r="D262" s="30" t="s">
        <v>711</v>
      </c>
      <c r="E262" s="41">
        <v>8.73</v>
      </c>
      <c r="F262" s="33">
        <v>0.0</v>
      </c>
      <c r="G262" s="30" t="str">
        <f t="shared" si="1"/>
        <v>PASS</v>
      </c>
      <c r="H262" s="49" t="s">
        <v>60</v>
      </c>
      <c r="I262" s="47" t="s">
        <v>27</v>
      </c>
      <c r="J262" s="43" t="s">
        <v>61</v>
      </c>
      <c r="K262" s="44" t="s">
        <v>712</v>
      </c>
      <c r="L262" s="45">
        <v>3.0</v>
      </c>
      <c r="M262" s="28">
        <f>IFERROR(__xludf.DUMMYFUNCTION("VLOOKUP(B262,IMPORTRANGE(""1CGZ0Bai7Upqd4o8ih3likiFIYVFcX2B2CZFasZGKRII"",""Refined according to Results!B:J""),9,FALSE)"),8.76)</f>
        <v>8.76</v>
      </c>
      <c r="Q262" s="45" t="s">
        <v>52</v>
      </c>
      <c r="R262" s="45" t="s">
        <v>48</v>
      </c>
      <c r="S262" s="45"/>
      <c r="T262" s="45"/>
    </row>
    <row r="263" ht="15.75" customHeight="1">
      <c r="A263" s="40">
        <v>262.0</v>
      </c>
      <c r="B263" s="30" t="s">
        <v>713</v>
      </c>
      <c r="C263" s="30" t="s">
        <v>17</v>
      </c>
      <c r="D263" s="30" t="s">
        <v>714</v>
      </c>
      <c r="E263" s="41">
        <v>8.42</v>
      </c>
      <c r="F263" s="33">
        <v>0.0</v>
      </c>
      <c r="G263" s="30" t="str">
        <f t="shared" si="1"/>
        <v>PASS</v>
      </c>
      <c r="H263" s="46" t="s">
        <v>46</v>
      </c>
      <c r="I263" s="47" t="s">
        <v>27</v>
      </c>
      <c r="J263" s="43">
        <v>0.0</v>
      </c>
      <c r="K263" s="48" t="s">
        <v>715</v>
      </c>
      <c r="L263" s="45">
        <v>1.0</v>
      </c>
      <c r="M263" s="28">
        <f>IFERROR(__xludf.DUMMYFUNCTION("VLOOKUP(B263,IMPORTRANGE(""1CGZ0Bai7Upqd4o8ih3likiFIYVFcX2B2CZFasZGKRII"",""Refined according to Results!B:J""),9,FALSE)"),8.44)</f>
        <v>8.44</v>
      </c>
      <c r="Q263" s="45">
        <v>0.0</v>
      </c>
      <c r="R263" s="45"/>
      <c r="S263" s="45"/>
      <c r="T263" s="45"/>
    </row>
    <row r="264" ht="15.75" customHeight="1">
      <c r="A264" s="40">
        <v>263.0</v>
      </c>
      <c r="B264" s="30" t="s">
        <v>716</v>
      </c>
      <c r="C264" s="30" t="s">
        <v>17</v>
      </c>
      <c r="D264" s="30" t="s">
        <v>717</v>
      </c>
      <c r="E264" s="41">
        <v>9.2</v>
      </c>
      <c r="F264" s="33">
        <v>0.0</v>
      </c>
      <c r="G264" s="30" t="str">
        <f t="shared" si="1"/>
        <v>PASS</v>
      </c>
      <c r="H264" s="49" t="s">
        <v>60</v>
      </c>
      <c r="I264" s="47" t="s">
        <v>27</v>
      </c>
      <c r="J264" s="43">
        <v>0.0</v>
      </c>
      <c r="K264" s="44" t="s">
        <v>718</v>
      </c>
      <c r="L264" s="45">
        <v>2.0</v>
      </c>
      <c r="M264" s="28">
        <f>IFERROR(__xludf.DUMMYFUNCTION("VLOOKUP(B264,IMPORTRANGE(""1CGZ0Bai7Upqd4o8ih3likiFIYVFcX2B2CZFasZGKRII"",""Refined according to Results!B:J""),9,FALSE)"),9.37)</f>
        <v>9.37</v>
      </c>
      <c r="Q264" s="45" t="s">
        <v>52</v>
      </c>
      <c r="R264" s="45"/>
      <c r="S264" s="45"/>
      <c r="T264" s="45"/>
    </row>
    <row r="265" ht="15.75" customHeight="1">
      <c r="A265" s="40">
        <v>264.0</v>
      </c>
      <c r="B265" s="30" t="s">
        <v>719</v>
      </c>
      <c r="C265" s="30" t="s">
        <v>17</v>
      </c>
      <c r="D265" s="30" t="s">
        <v>720</v>
      </c>
      <c r="E265" s="41">
        <v>8.78</v>
      </c>
      <c r="F265" s="33">
        <v>0.0</v>
      </c>
      <c r="G265" s="30" t="str">
        <f t="shared" si="1"/>
        <v>PASS</v>
      </c>
      <c r="H265" s="46" t="s">
        <v>46</v>
      </c>
      <c r="I265" s="47" t="s">
        <v>27</v>
      </c>
      <c r="J265" s="43">
        <v>0.0</v>
      </c>
      <c r="K265" s="48" t="s">
        <v>237</v>
      </c>
      <c r="L265" s="45">
        <v>2.0</v>
      </c>
      <c r="M265" s="28">
        <f>IFERROR(__xludf.DUMMYFUNCTION("VLOOKUP(B265,IMPORTRANGE(""1CGZ0Bai7Upqd4o8ih3likiFIYVFcX2B2CZFasZGKRII"",""Refined according to Results!B:J""),9,FALSE)"),8.55)</f>
        <v>8.55</v>
      </c>
      <c r="Q265" s="45">
        <v>0.0</v>
      </c>
      <c r="R265" s="45"/>
      <c r="S265" s="45"/>
      <c r="T265" s="45"/>
    </row>
    <row r="266" ht="15.75" customHeight="1">
      <c r="A266" s="40">
        <v>265.0</v>
      </c>
      <c r="B266" s="30" t="s">
        <v>721</v>
      </c>
      <c r="C266" s="30" t="s">
        <v>17</v>
      </c>
      <c r="D266" s="30" t="s">
        <v>722</v>
      </c>
      <c r="E266" s="50"/>
      <c r="F266" s="33">
        <v>1.0</v>
      </c>
      <c r="G266" s="30" t="str">
        <f t="shared" si="1"/>
        <v>FAIL</v>
      </c>
      <c r="H266" s="49" t="s">
        <v>46</v>
      </c>
      <c r="I266" s="47" t="s">
        <v>27</v>
      </c>
      <c r="J266" s="43" t="s">
        <v>365</v>
      </c>
      <c r="K266" s="44" t="s">
        <v>440</v>
      </c>
      <c r="L266" s="45">
        <v>1.0</v>
      </c>
      <c r="M266" s="28" t="str">
        <f>IFERROR(__xludf.DUMMYFUNCTION("VLOOKUP(B266,IMPORTRANGE(""1CGZ0Bai7Upqd4o8ih3likiFIYVFcX2B2CZFasZGKRII"",""Refined according to Results!B:J""),9,FALSE)"),"")</f>
        <v/>
      </c>
      <c r="Q266" s="45">
        <v>0.0</v>
      </c>
      <c r="R266" s="45"/>
      <c r="S266" s="45"/>
      <c r="T266" s="45"/>
    </row>
    <row r="267" ht="15.75" customHeight="1">
      <c r="A267" s="40">
        <v>266.0</v>
      </c>
      <c r="B267" s="30" t="s">
        <v>723</v>
      </c>
      <c r="C267" s="30" t="s">
        <v>17</v>
      </c>
      <c r="D267" s="30" t="s">
        <v>724</v>
      </c>
      <c r="E267" s="41">
        <v>7.62</v>
      </c>
      <c r="F267" s="33">
        <v>0.0</v>
      </c>
      <c r="G267" s="30" t="str">
        <f t="shared" si="1"/>
        <v>PASS</v>
      </c>
      <c r="H267" s="46" t="s">
        <v>46</v>
      </c>
      <c r="I267" s="47" t="s">
        <v>27</v>
      </c>
      <c r="J267" s="43">
        <v>0.0</v>
      </c>
      <c r="K267" s="48" t="s">
        <v>175</v>
      </c>
      <c r="L267" s="45">
        <v>1.0</v>
      </c>
      <c r="M267" s="28">
        <f>IFERROR(__xludf.DUMMYFUNCTION("VLOOKUP(B267,IMPORTRANGE(""1CGZ0Bai7Upqd4o8ih3likiFIYVFcX2B2CZFasZGKRII"",""Refined according to Results!B:J""),9,FALSE)"),7.78)</f>
        <v>7.78</v>
      </c>
      <c r="Q267" s="45">
        <v>0.0</v>
      </c>
      <c r="R267" s="45"/>
      <c r="S267" s="45"/>
      <c r="T267" s="45"/>
    </row>
    <row r="268" ht="15.75" customHeight="1">
      <c r="A268" s="40">
        <v>267.0</v>
      </c>
      <c r="B268" s="30" t="s">
        <v>725</v>
      </c>
      <c r="C268" s="30" t="s">
        <v>17</v>
      </c>
      <c r="D268" s="30" t="s">
        <v>726</v>
      </c>
      <c r="E268" s="41">
        <v>8.9</v>
      </c>
      <c r="F268" s="33">
        <v>0.0</v>
      </c>
      <c r="G268" s="30" t="str">
        <f t="shared" si="1"/>
        <v>PASS</v>
      </c>
      <c r="H268" s="49" t="s">
        <v>46</v>
      </c>
      <c r="I268" s="47" t="s">
        <v>27</v>
      </c>
      <c r="J268" s="43">
        <v>0.0</v>
      </c>
      <c r="K268" s="52"/>
      <c r="L268" s="28">
        <v>0.0</v>
      </c>
      <c r="M268" s="28">
        <f>IFERROR(__xludf.DUMMYFUNCTION("VLOOKUP(B268,IMPORTRANGE(""1CGZ0Bai7Upqd4o8ih3likiFIYVFcX2B2CZFasZGKRII"",""Refined according to Results!B:J""),9,FALSE)"),9.08)</f>
        <v>9.08</v>
      </c>
      <c r="Q268" s="45">
        <v>0.0</v>
      </c>
      <c r="R268" s="45"/>
      <c r="S268" s="45"/>
      <c r="T268" s="45"/>
    </row>
    <row r="269" ht="15.75" customHeight="1">
      <c r="A269" s="40">
        <v>268.0</v>
      </c>
      <c r="B269" s="30" t="s">
        <v>727</v>
      </c>
      <c r="C269" s="30" t="s">
        <v>17</v>
      </c>
      <c r="D269" s="30" t="s">
        <v>728</v>
      </c>
      <c r="E269" s="41">
        <v>8.05</v>
      </c>
      <c r="F269" s="33">
        <v>0.0</v>
      </c>
      <c r="G269" s="30" t="str">
        <f t="shared" si="1"/>
        <v>PASS</v>
      </c>
      <c r="H269" s="46" t="s">
        <v>46</v>
      </c>
      <c r="I269" s="47" t="s">
        <v>28</v>
      </c>
      <c r="J269" s="43">
        <v>0.0</v>
      </c>
      <c r="K269" s="48" t="s">
        <v>52</v>
      </c>
      <c r="L269" s="28">
        <v>1.0</v>
      </c>
      <c r="M269" s="28">
        <f>IFERROR(__xludf.DUMMYFUNCTION("VLOOKUP(B269,IMPORTRANGE(""1CGZ0Bai7Upqd4o8ih3likiFIYVFcX2B2CZFasZGKRII"",""Refined according to Results!B:J""),9,FALSE)"),8.23)</f>
        <v>8.23</v>
      </c>
      <c r="Q269" s="45" t="s">
        <v>52</v>
      </c>
      <c r="R269" s="45"/>
      <c r="S269" s="45"/>
      <c r="T269" s="45"/>
    </row>
    <row r="270" ht="15.75" customHeight="1">
      <c r="A270" s="40">
        <v>269.0</v>
      </c>
      <c r="B270" s="30" t="s">
        <v>729</v>
      </c>
      <c r="C270" s="30" t="s">
        <v>17</v>
      </c>
      <c r="D270" s="30" t="s">
        <v>730</v>
      </c>
      <c r="E270" s="41">
        <v>8.31</v>
      </c>
      <c r="F270" s="33">
        <v>0.0</v>
      </c>
      <c r="G270" s="30" t="str">
        <f t="shared" si="1"/>
        <v>PASS</v>
      </c>
      <c r="H270" s="49" t="s">
        <v>60</v>
      </c>
      <c r="I270" s="47" t="s">
        <v>27</v>
      </c>
      <c r="J270" s="43">
        <v>0.0</v>
      </c>
      <c r="K270" s="44" t="s">
        <v>48</v>
      </c>
      <c r="L270" s="28">
        <v>1.0</v>
      </c>
      <c r="M270" s="28">
        <f>IFERROR(__xludf.DUMMYFUNCTION("VLOOKUP(B270,IMPORTRANGE(""1CGZ0Bai7Upqd4o8ih3likiFIYVFcX2B2CZFasZGKRII"",""Refined according to Results!B:J""),9,FALSE)"),8.13)</f>
        <v>8.13</v>
      </c>
      <c r="Q270" s="45" t="s">
        <v>48</v>
      </c>
      <c r="R270" s="45"/>
      <c r="S270" s="45"/>
      <c r="T270" s="45"/>
    </row>
    <row r="271" ht="15.75" customHeight="1">
      <c r="A271" s="40">
        <v>270.0</v>
      </c>
      <c r="B271" s="30" t="s">
        <v>731</v>
      </c>
      <c r="C271" s="30" t="s">
        <v>17</v>
      </c>
      <c r="D271" s="30" t="s">
        <v>732</v>
      </c>
      <c r="E271" s="41">
        <v>8.84</v>
      </c>
      <c r="F271" s="33">
        <v>0.0</v>
      </c>
      <c r="G271" s="30" t="str">
        <f t="shared" si="1"/>
        <v>PASS</v>
      </c>
      <c r="H271" s="46" t="s">
        <v>60</v>
      </c>
      <c r="I271" s="47" t="s">
        <v>27</v>
      </c>
      <c r="J271" s="43">
        <v>0.0</v>
      </c>
      <c r="K271" s="48" t="s">
        <v>733</v>
      </c>
      <c r="L271" s="45">
        <v>3.0</v>
      </c>
      <c r="M271" s="28">
        <f>IFERROR(__xludf.DUMMYFUNCTION("VLOOKUP(B271,IMPORTRANGE(""1CGZ0Bai7Upqd4o8ih3likiFIYVFcX2B2CZFasZGKRII"",""Refined according to Results!B:J""),9,FALSE)"),8.82)</f>
        <v>8.82</v>
      </c>
      <c r="Q271" s="45" t="s">
        <v>48</v>
      </c>
      <c r="R271" s="45"/>
      <c r="S271" s="45"/>
      <c r="T271" s="45"/>
    </row>
    <row r="272" ht="15.75" customHeight="1">
      <c r="A272" s="40">
        <v>271.0</v>
      </c>
      <c r="B272" s="30" t="s">
        <v>734</v>
      </c>
      <c r="C272" s="30" t="s">
        <v>17</v>
      </c>
      <c r="D272" s="30" t="s">
        <v>735</v>
      </c>
      <c r="E272" s="41">
        <v>8.62</v>
      </c>
      <c r="F272" s="33">
        <v>0.0</v>
      </c>
      <c r="G272" s="30" t="str">
        <f t="shared" si="1"/>
        <v>PASS</v>
      </c>
      <c r="H272" s="49" t="s">
        <v>60</v>
      </c>
      <c r="I272" s="47" t="s">
        <v>28</v>
      </c>
      <c r="J272" s="43">
        <v>0.0</v>
      </c>
      <c r="K272" s="44" t="s">
        <v>79</v>
      </c>
      <c r="L272" s="45">
        <v>1.0</v>
      </c>
      <c r="M272" s="28">
        <f>IFERROR(__xludf.DUMMYFUNCTION("VLOOKUP(B272,IMPORTRANGE(""1CGZ0Bai7Upqd4o8ih3likiFIYVFcX2B2CZFasZGKRII"",""Refined according to Results!B:J""),9,FALSE)"),7.99)</f>
        <v>7.99</v>
      </c>
      <c r="Q272" s="45" t="s">
        <v>79</v>
      </c>
      <c r="R272" s="45"/>
      <c r="S272" s="45"/>
      <c r="T272" s="45"/>
    </row>
    <row r="273" ht="15.75" customHeight="1">
      <c r="A273" s="40">
        <v>272.0</v>
      </c>
      <c r="B273" s="30" t="s">
        <v>736</v>
      </c>
      <c r="C273" s="30" t="s">
        <v>17</v>
      </c>
      <c r="D273" s="30" t="s">
        <v>737</v>
      </c>
      <c r="E273" s="41">
        <v>8.59</v>
      </c>
      <c r="F273" s="33">
        <v>0.0</v>
      </c>
      <c r="G273" s="30" t="str">
        <f t="shared" si="1"/>
        <v>PASS</v>
      </c>
      <c r="H273" s="46" t="s">
        <v>60</v>
      </c>
      <c r="I273" s="47" t="s">
        <v>27</v>
      </c>
      <c r="J273" s="43">
        <v>0.0</v>
      </c>
      <c r="K273" s="51"/>
      <c r="L273" s="28">
        <v>0.0</v>
      </c>
      <c r="M273" s="28">
        <f>IFERROR(__xludf.DUMMYFUNCTION("VLOOKUP(B273,IMPORTRANGE(""1CGZ0Bai7Upqd4o8ih3likiFIYVFcX2B2CZFasZGKRII"",""Refined according to Results!B:J""),9,FALSE)"),8.74)</f>
        <v>8.74</v>
      </c>
      <c r="Q273" s="45">
        <v>0.0</v>
      </c>
      <c r="R273" s="45"/>
      <c r="S273" s="45"/>
      <c r="T273" s="45"/>
    </row>
    <row r="274" ht="15.75" customHeight="1">
      <c r="A274" s="40">
        <v>273.0</v>
      </c>
      <c r="B274" s="30" t="s">
        <v>738</v>
      </c>
      <c r="C274" s="30" t="s">
        <v>17</v>
      </c>
      <c r="D274" s="30" t="s">
        <v>739</v>
      </c>
      <c r="E274" s="41">
        <v>8.92</v>
      </c>
      <c r="F274" s="33">
        <v>0.0</v>
      </c>
      <c r="G274" s="30" t="str">
        <f t="shared" si="1"/>
        <v>PASS</v>
      </c>
      <c r="H274" s="49" t="s">
        <v>60</v>
      </c>
      <c r="I274" s="47" t="s">
        <v>27</v>
      </c>
      <c r="J274" s="43">
        <v>0.0</v>
      </c>
      <c r="K274" s="44" t="s">
        <v>740</v>
      </c>
      <c r="L274" s="45">
        <v>4.0</v>
      </c>
      <c r="M274" s="28">
        <f>IFERROR(__xludf.DUMMYFUNCTION("VLOOKUP(B274,IMPORTRANGE(""1CGZ0Bai7Upqd4o8ih3likiFIYVFcX2B2CZFasZGKRII"",""Refined according to Results!B:J""),9,FALSE)"),8.95)</f>
        <v>8.95</v>
      </c>
      <c r="Q274" s="45" t="s">
        <v>52</v>
      </c>
      <c r="R274" s="45" t="s">
        <v>48</v>
      </c>
      <c r="S274" s="45"/>
      <c r="T274" s="45"/>
    </row>
    <row r="275" ht="15.75" customHeight="1">
      <c r="A275" s="40">
        <v>274.0</v>
      </c>
      <c r="B275" s="30" t="s">
        <v>741</v>
      </c>
      <c r="C275" s="30" t="s">
        <v>17</v>
      </c>
      <c r="D275" s="30" t="s">
        <v>742</v>
      </c>
      <c r="E275" s="41">
        <v>8.99</v>
      </c>
      <c r="F275" s="33">
        <v>0.0</v>
      </c>
      <c r="G275" s="30" t="str">
        <f t="shared" si="1"/>
        <v>PASS</v>
      </c>
      <c r="H275" s="46" t="s">
        <v>60</v>
      </c>
      <c r="I275" s="47" t="s">
        <v>27</v>
      </c>
      <c r="J275" s="43">
        <v>0.0</v>
      </c>
      <c r="K275" s="48" t="s">
        <v>237</v>
      </c>
      <c r="L275" s="45">
        <v>1.0</v>
      </c>
      <c r="M275" s="28">
        <f>IFERROR(__xludf.DUMMYFUNCTION("VLOOKUP(B275,IMPORTRANGE(""1CGZ0Bai7Upqd4o8ih3likiFIYVFcX2B2CZFasZGKRII"",""Refined according to Results!B:J""),9,FALSE)"),9.1)</f>
        <v>9.1</v>
      </c>
      <c r="Q275" s="45">
        <v>0.0</v>
      </c>
      <c r="R275" s="45"/>
      <c r="S275" s="45"/>
      <c r="T275" s="45"/>
    </row>
    <row r="276" ht="15.75" customHeight="1">
      <c r="A276" s="40">
        <v>275.0</v>
      </c>
      <c r="B276" s="30" t="s">
        <v>743</v>
      </c>
      <c r="C276" s="30" t="s">
        <v>17</v>
      </c>
      <c r="D276" s="30" t="s">
        <v>744</v>
      </c>
      <c r="E276" s="41">
        <v>9.49</v>
      </c>
      <c r="F276" s="33">
        <v>0.0</v>
      </c>
      <c r="G276" s="30" t="str">
        <f t="shared" si="1"/>
        <v>PASS</v>
      </c>
      <c r="H276" s="49" t="s">
        <v>60</v>
      </c>
      <c r="I276" s="47" t="s">
        <v>27</v>
      </c>
      <c r="J276" s="43" t="s">
        <v>61</v>
      </c>
      <c r="K276" s="44" t="s">
        <v>406</v>
      </c>
      <c r="L276" s="45">
        <v>2.0</v>
      </c>
      <c r="M276" s="28">
        <f>IFERROR(__xludf.DUMMYFUNCTION("VLOOKUP(B276,IMPORTRANGE(""1CGZ0Bai7Upqd4o8ih3likiFIYVFcX2B2CZFasZGKRII"",""Refined according to Results!B:J""),9,FALSE)"),9.64)</f>
        <v>9.64</v>
      </c>
      <c r="Q276" s="45" t="s">
        <v>52</v>
      </c>
      <c r="R276" s="45" t="s">
        <v>63</v>
      </c>
      <c r="S276" s="45"/>
      <c r="T276" s="45"/>
    </row>
    <row r="277" ht="15.75" customHeight="1">
      <c r="A277" s="40">
        <v>276.0</v>
      </c>
      <c r="B277" s="30" t="s">
        <v>745</v>
      </c>
      <c r="C277" s="30" t="s">
        <v>17</v>
      </c>
      <c r="D277" s="30" t="s">
        <v>746</v>
      </c>
      <c r="E277" s="41">
        <v>8.56</v>
      </c>
      <c r="F277" s="33">
        <v>0.0</v>
      </c>
      <c r="G277" s="30" t="str">
        <f t="shared" si="1"/>
        <v>PASS</v>
      </c>
      <c r="H277" s="46" t="s">
        <v>46</v>
      </c>
      <c r="I277" s="47" t="s">
        <v>27</v>
      </c>
      <c r="J277" s="43" t="s">
        <v>747</v>
      </c>
      <c r="K277" s="48" t="s">
        <v>748</v>
      </c>
      <c r="L277" s="45">
        <v>2.0</v>
      </c>
      <c r="M277" s="28">
        <f>IFERROR(__xludf.DUMMYFUNCTION("VLOOKUP(B277,IMPORTRANGE(""1CGZ0Bai7Upqd4o8ih3likiFIYVFcX2B2CZFasZGKRII"",""Refined according to Results!B:J""),9,FALSE)"),8.88)</f>
        <v>8.88</v>
      </c>
      <c r="Q277" s="45" t="s">
        <v>63</v>
      </c>
      <c r="R277" s="45"/>
      <c r="S277" s="45"/>
      <c r="T277" s="45"/>
    </row>
    <row r="278" ht="15.75" customHeight="1">
      <c r="A278" s="40">
        <v>277.0</v>
      </c>
      <c r="B278" s="30" t="s">
        <v>749</v>
      </c>
      <c r="C278" s="30" t="s">
        <v>17</v>
      </c>
      <c r="D278" s="30" t="s">
        <v>750</v>
      </c>
      <c r="E278" s="41">
        <v>6.96</v>
      </c>
      <c r="F278" s="33">
        <v>0.0</v>
      </c>
      <c r="G278" s="30" t="str">
        <f t="shared" si="1"/>
        <v>PASS</v>
      </c>
      <c r="H278" s="49" t="s">
        <v>46</v>
      </c>
      <c r="I278" s="47" t="s">
        <v>27</v>
      </c>
      <c r="J278" s="43">
        <v>0.0</v>
      </c>
      <c r="K278" s="52"/>
      <c r="L278" s="28">
        <v>0.0</v>
      </c>
      <c r="M278" s="28">
        <f>IFERROR(__xludf.DUMMYFUNCTION("VLOOKUP(B278,IMPORTRANGE(""1CGZ0Bai7Upqd4o8ih3likiFIYVFcX2B2CZFasZGKRII"",""Refined according to Results!B:J""),9,FALSE)"),6.77)</f>
        <v>6.77</v>
      </c>
      <c r="Q278" s="45">
        <v>0.0</v>
      </c>
      <c r="R278" s="45"/>
      <c r="S278" s="45"/>
      <c r="T278" s="45"/>
    </row>
    <row r="279" ht="15.75" customHeight="1">
      <c r="A279" s="40">
        <v>278.0</v>
      </c>
      <c r="B279" s="30" t="s">
        <v>751</v>
      </c>
      <c r="C279" s="30" t="s">
        <v>17</v>
      </c>
      <c r="D279" s="30" t="s">
        <v>752</v>
      </c>
      <c r="E279" s="41">
        <v>8.25</v>
      </c>
      <c r="F279" s="33">
        <v>0.0</v>
      </c>
      <c r="G279" s="30" t="str">
        <f t="shared" si="1"/>
        <v>PASS</v>
      </c>
      <c r="H279" s="46" t="s">
        <v>46</v>
      </c>
      <c r="I279" s="55" t="s">
        <v>28</v>
      </c>
      <c r="J279" s="56">
        <v>0.0</v>
      </c>
      <c r="K279" s="51"/>
      <c r="L279" s="28">
        <v>0.0</v>
      </c>
      <c r="M279" s="28">
        <f>IFERROR(__xludf.DUMMYFUNCTION("VLOOKUP(B279,IMPORTRANGE(""1CGZ0Bai7Upqd4o8ih3likiFIYVFcX2B2CZFasZGKRII"",""Refined according to Results!B:J""),9,FALSE)"),8.44)</f>
        <v>8.44</v>
      </c>
      <c r="Q279" s="45">
        <v>0.0</v>
      </c>
      <c r="R279" s="45"/>
      <c r="S279" s="45"/>
      <c r="T279" s="45"/>
    </row>
    <row r="280" ht="15.75" customHeight="1">
      <c r="A280" s="40">
        <v>279.0</v>
      </c>
      <c r="B280" s="30" t="s">
        <v>753</v>
      </c>
      <c r="C280" s="30" t="s">
        <v>17</v>
      </c>
      <c r="D280" s="30" t="s">
        <v>754</v>
      </c>
      <c r="E280" s="41">
        <v>8.75</v>
      </c>
      <c r="F280" s="33">
        <v>0.0</v>
      </c>
      <c r="G280" s="30" t="str">
        <f t="shared" si="1"/>
        <v>PASS</v>
      </c>
      <c r="H280" s="49" t="s">
        <v>46</v>
      </c>
      <c r="I280" s="47" t="s">
        <v>27</v>
      </c>
      <c r="J280" s="43">
        <v>0.0</v>
      </c>
      <c r="K280" s="44" t="s">
        <v>755</v>
      </c>
      <c r="L280" s="45">
        <v>2.0</v>
      </c>
      <c r="M280" s="28">
        <f>IFERROR(__xludf.DUMMYFUNCTION("VLOOKUP(B280,IMPORTRANGE(""1CGZ0Bai7Upqd4o8ih3likiFIYVFcX2B2CZFasZGKRII"",""Refined according to Results!B:J""),9,FALSE)"),8.73)</f>
        <v>8.73</v>
      </c>
      <c r="Q280" s="45" t="s">
        <v>99</v>
      </c>
      <c r="R280" s="45"/>
      <c r="S280" s="45"/>
      <c r="T280" s="45"/>
    </row>
    <row r="281" ht="15.75" customHeight="1">
      <c r="A281" s="40">
        <v>280.0</v>
      </c>
      <c r="B281" s="30" t="s">
        <v>756</v>
      </c>
      <c r="C281" s="30" t="s">
        <v>17</v>
      </c>
      <c r="D281" s="30" t="s">
        <v>757</v>
      </c>
      <c r="E281" s="33">
        <v>7.85</v>
      </c>
      <c r="F281" s="33">
        <v>0.0</v>
      </c>
      <c r="G281" s="30" t="str">
        <f t="shared" si="1"/>
        <v>PASS</v>
      </c>
      <c r="H281" s="46" t="s">
        <v>60</v>
      </c>
      <c r="I281" s="47" t="s">
        <v>27</v>
      </c>
      <c r="J281" s="43">
        <v>0.0</v>
      </c>
      <c r="K281" s="51"/>
      <c r="L281" s="28">
        <v>0.0</v>
      </c>
      <c r="M281" s="28" t="str">
        <f>IFERROR(__xludf.DUMMYFUNCTION("VLOOKUP(B281,IMPORTRANGE(""1CGZ0Bai7Upqd4o8ih3likiFIYVFcX2B2CZFasZGKRII"",""Refined according to Results!B:J""),9,FALSE)"),"#N/A")</f>
        <v>#N/A</v>
      </c>
      <c r="Q281" s="45">
        <v>0.0</v>
      </c>
      <c r="R281" s="45"/>
      <c r="S281" s="45"/>
      <c r="T281" s="45"/>
    </row>
    <row r="282" ht="15.75" customHeight="1">
      <c r="A282" s="40">
        <v>281.0</v>
      </c>
      <c r="B282" s="30" t="s">
        <v>758</v>
      </c>
      <c r="C282" s="30" t="s">
        <v>17</v>
      </c>
      <c r="D282" s="30" t="s">
        <v>759</v>
      </c>
      <c r="E282" s="33"/>
      <c r="F282" s="33">
        <v>2.0</v>
      </c>
      <c r="G282" s="30" t="str">
        <f t="shared" si="1"/>
        <v>FAIL</v>
      </c>
      <c r="H282" s="49" t="s">
        <v>46</v>
      </c>
      <c r="I282" s="47" t="s">
        <v>27</v>
      </c>
      <c r="J282" s="43">
        <v>0.0</v>
      </c>
      <c r="K282" s="52"/>
      <c r="L282" s="28">
        <v>0.0</v>
      </c>
      <c r="M282" s="28" t="str">
        <f>IFERROR(__xludf.DUMMYFUNCTION("VLOOKUP(B282,IMPORTRANGE(""1CGZ0Bai7Upqd4o8ih3likiFIYVFcX2B2CZFasZGKRII"",""Refined according to Results!B:J""),9,FALSE)"),"#N/A")</f>
        <v>#N/A</v>
      </c>
      <c r="Q282" s="45">
        <v>0.0</v>
      </c>
      <c r="R282" s="45"/>
      <c r="S282" s="45"/>
      <c r="T282" s="45"/>
    </row>
    <row r="283" ht="15.75" customHeight="1">
      <c r="A283" s="40">
        <v>282.0</v>
      </c>
      <c r="B283" s="30" t="s">
        <v>760</v>
      </c>
      <c r="C283" s="30" t="s">
        <v>17</v>
      </c>
      <c r="D283" s="30" t="s">
        <v>761</v>
      </c>
      <c r="E283" s="33">
        <v>7.32</v>
      </c>
      <c r="F283" s="33">
        <v>0.0</v>
      </c>
      <c r="G283" s="30" t="str">
        <f t="shared" si="1"/>
        <v>PASS</v>
      </c>
      <c r="H283" s="46" t="s">
        <v>60</v>
      </c>
      <c r="I283" s="47" t="s">
        <v>28</v>
      </c>
      <c r="J283" s="43">
        <v>0.0</v>
      </c>
      <c r="K283" s="51"/>
      <c r="L283" s="28">
        <v>0.0</v>
      </c>
      <c r="M283" s="28" t="str">
        <f>IFERROR(__xludf.DUMMYFUNCTION("VLOOKUP(B283,IMPORTRANGE(""1CGZ0Bai7Upqd4o8ih3likiFIYVFcX2B2CZFasZGKRII"",""Refined according to Results!B:J""),9,FALSE)"),"#N/A")</f>
        <v>#N/A</v>
      </c>
      <c r="Q283" s="45">
        <v>0.0</v>
      </c>
      <c r="R283" s="45"/>
      <c r="S283" s="45"/>
      <c r="T283" s="45"/>
    </row>
    <row r="284" ht="15.75" customHeight="1">
      <c r="A284" s="40">
        <v>283.0</v>
      </c>
      <c r="B284" s="30" t="s">
        <v>762</v>
      </c>
      <c r="C284" s="30" t="s">
        <v>17</v>
      </c>
      <c r="D284" s="30" t="s">
        <v>763</v>
      </c>
      <c r="E284" s="33">
        <v>8.6</v>
      </c>
      <c r="F284" s="33">
        <v>0.0</v>
      </c>
      <c r="G284" s="30" t="str">
        <f t="shared" si="1"/>
        <v>PASS</v>
      </c>
      <c r="H284" s="49" t="s">
        <v>60</v>
      </c>
      <c r="I284" s="47" t="s">
        <v>28</v>
      </c>
      <c r="J284" s="43">
        <v>0.0</v>
      </c>
      <c r="K284" s="44" t="s">
        <v>210</v>
      </c>
      <c r="L284" s="45">
        <v>1.0</v>
      </c>
      <c r="M284" s="28" t="str">
        <f>IFERROR(__xludf.DUMMYFUNCTION("VLOOKUP(B284,IMPORTRANGE(""1CGZ0Bai7Upqd4o8ih3likiFIYVFcX2B2CZFasZGKRII"",""Refined according to Results!B:J""),9,FALSE)"),"#N/A")</f>
        <v>#N/A</v>
      </c>
      <c r="Q284" s="45" t="s">
        <v>63</v>
      </c>
      <c r="R284" s="45"/>
      <c r="S284" s="45"/>
      <c r="T284" s="45"/>
    </row>
    <row r="285" ht="15.75" customHeight="1">
      <c r="A285" s="40">
        <v>284.0</v>
      </c>
      <c r="B285" s="30" t="s">
        <v>764</v>
      </c>
      <c r="C285" s="30" t="s">
        <v>17</v>
      </c>
      <c r="D285" s="30" t="s">
        <v>765</v>
      </c>
      <c r="E285" s="33">
        <v>8.65</v>
      </c>
      <c r="F285" s="33">
        <v>0.0</v>
      </c>
      <c r="G285" s="30" t="str">
        <f t="shared" si="1"/>
        <v>PASS</v>
      </c>
      <c r="H285" s="46" t="s">
        <v>60</v>
      </c>
      <c r="I285" s="47" t="s">
        <v>27</v>
      </c>
      <c r="J285" s="43">
        <v>0.0</v>
      </c>
      <c r="K285" s="48" t="s">
        <v>766</v>
      </c>
      <c r="L285" s="45">
        <v>2.0</v>
      </c>
      <c r="M285" s="28" t="str">
        <f>IFERROR(__xludf.DUMMYFUNCTION("VLOOKUP(B285,IMPORTRANGE(""1CGZ0Bai7Upqd4o8ih3likiFIYVFcX2B2CZFasZGKRII"",""Refined according to Results!B:J""),9,FALSE)"),"#N/A")</f>
        <v>#N/A</v>
      </c>
      <c r="Q285" s="45" t="s">
        <v>66</v>
      </c>
      <c r="R285" s="45"/>
      <c r="S285" s="45"/>
      <c r="T285" s="45"/>
    </row>
    <row r="286" ht="15.75" customHeight="1">
      <c r="A286" s="40">
        <v>285.0</v>
      </c>
      <c r="B286" s="30" t="s">
        <v>767</v>
      </c>
      <c r="C286" s="30" t="s">
        <v>17</v>
      </c>
      <c r="D286" s="30" t="s">
        <v>768</v>
      </c>
      <c r="E286" s="33">
        <v>7.9</v>
      </c>
      <c r="F286" s="33">
        <v>0.0</v>
      </c>
      <c r="G286" s="30" t="str">
        <f t="shared" si="1"/>
        <v>PASS</v>
      </c>
      <c r="H286" s="49" t="s">
        <v>46</v>
      </c>
      <c r="I286" s="47" t="s">
        <v>27</v>
      </c>
      <c r="J286" s="43">
        <v>0.0</v>
      </c>
      <c r="K286" s="52"/>
      <c r="L286" s="28">
        <v>0.0</v>
      </c>
      <c r="M286" s="28" t="str">
        <f>IFERROR(__xludf.DUMMYFUNCTION("VLOOKUP(B286,IMPORTRANGE(""1CGZ0Bai7Upqd4o8ih3likiFIYVFcX2B2CZFasZGKRII"",""Refined according to Results!B:J""),9,FALSE)"),"#N/A")</f>
        <v>#N/A</v>
      </c>
      <c r="Q286" s="45">
        <v>0.0</v>
      </c>
      <c r="R286" s="45"/>
      <c r="S286" s="45"/>
      <c r="T286" s="45"/>
    </row>
    <row r="287" ht="15.75" customHeight="1">
      <c r="A287" s="40">
        <v>286.0</v>
      </c>
      <c r="B287" s="30" t="s">
        <v>769</v>
      </c>
      <c r="C287" s="30" t="s">
        <v>17</v>
      </c>
      <c r="D287" s="30" t="s">
        <v>770</v>
      </c>
      <c r="E287" s="64">
        <v>7.44</v>
      </c>
      <c r="F287" s="33">
        <v>0.0</v>
      </c>
      <c r="G287" s="30" t="str">
        <f t="shared" si="1"/>
        <v>PASS</v>
      </c>
      <c r="H287" s="46" t="s">
        <v>60</v>
      </c>
      <c r="I287" s="47" t="s">
        <v>28</v>
      </c>
      <c r="J287" s="43">
        <v>0.0</v>
      </c>
      <c r="K287" s="51"/>
      <c r="L287" s="28">
        <v>0.0</v>
      </c>
      <c r="M287" s="28" t="str">
        <f>IFERROR(__xludf.DUMMYFUNCTION("VLOOKUP(B287,IMPORTRANGE(""1CGZ0Bai7Upqd4o8ih3likiFIYVFcX2B2CZFasZGKRII"",""Refined according to Results!B:J""),9,FALSE)"),"#N/A")</f>
        <v>#N/A</v>
      </c>
      <c r="Q287" s="45">
        <v>0.0</v>
      </c>
      <c r="R287" s="45"/>
      <c r="S287" s="45"/>
      <c r="T287" s="45"/>
    </row>
    <row r="288" ht="15.75" customHeight="1">
      <c r="A288" s="40">
        <v>287.0</v>
      </c>
      <c r="B288" s="30" t="s">
        <v>771</v>
      </c>
      <c r="C288" s="30" t="s">
        <v>18</v>
      </c>
      <c r="D288" s="30" t="s">
        <v>772</v>
      </c>
      <c r="E288" s="41">
        <v>8.88</v>
      </c>
      <c r="F288" s="33">
        <v>0.0</v>
      </c>
      <c r="G288" s="30" t="str">
        <f t="shared" si="1"/>
        <v>PASS</v>
      </c>
      <c r="H288" s="49" t="s">
        <v>60</v>
      </c>
      <c r="I288" s="47" t="s">
        <v>28</v>
      </c>
      <c r="J288" s="43">
        <v>0.0</v>
      </c>
      <c r="K288" s="44" t="s">
        <v>773</v>
      </c>
      <c r="L288" s="45">
        <v>4.0</v>
      </c>
      <c r="M288" s="28">
        <f>IFERROR(__xludf.DUMMYFUNCTION("VLOOKUP(B288,IMPORTRANGE(""1CGZ0Bai7Upqd4o8ih3likiFIYVFcX2B2CZFasZGKRII"",""Refined according to Results!B:J""),9,FALSE)"),9.24)</f>
        <v>9.24</v>
      </c>
      <c r="Q288" s="45" t="s">
        <v>52</v>
      </c>
      <c r="R288" s="45" t="s">
        <v>48</v>
      </c>
      <c r="S288" s="45" t="s">
        <v>63</v>
      </c>
      <c r="T288" s="45"/>
    </row>
    <row r="289" ht="15.75" customHeight="1">
      <c r="A289" s="40">
        <v>288.0</v>
      </c>
      <c r="B289" s="30" t="s">
        <v>774</v>
      </c>
      <c r="C289" s="30" t="s">
        <v>18</v>
      </c>
      <c r="D289" s="30" t="s">
        <v>775</v>
      </c>
      <c r="E289" s="41">
        <v>9.12</v>
      </c>
      <c r="F289" s="33">
        <v>0.0</v>
      </c>
      <c r="G289" s="30" t="str">
        <f t="shared" si="1"/>
        <v>PASS</v>
      </c>
      <c r="H289" s="46" t="s">
        <v>60</v>
      </c>
      <c r="I289" s="47" t="s">
        <v>27</v>
      </c>
      <c r="J289" s="43" t="s">
        <v>115</v>
      </c>
      <c r="K289" s="48" t="s">
        <v>776</v>
      </c>
      <c r="L289" s="45">
        <v>4.0</v>
      </c>
      <c r="M289" s="28">
        <f>IFERROR(__xludf.DUMMYFUNCTION("VLOOKUP(B289,IMPORTRANGE(""1CGZ0Bai7Upqd4o8ih3likiFIYVFcX2B2CZFasZGKRII"",""Refined according to Results!B:J""),9,FALSE)"),9.37)</f>
        <v>9.37</v>
      </c>
      <c r="Q289" s="45" t="s">
        <v>57</v>
      </c>
      <c r="R289" s="45" t="s">
        <v>52</v>
      </c>
      <c r="S289" s="45" t="s">
        <v>115</v>
      </c>
      <c r="T289" s="45" t="s">
        <v>79</v>
      </c>
    </row>
    <row r="290" ht="15.75" customHeight="1">
      <c r="A290" s="40">
        <v>289.0</v>
      </c>
      <c r="B290" s="30" t="s">
        <v>777</v>
      </c>
      <c r="C290" s="30" t="s">
        <v>18</v>
      </c>
      <c r="D290" s="30" t="s">
        <v>778</v>
      </c>
      <c r="E290" s="41">
        <v>7.52</v>
      </c>
      <c r="F290" s="33">
        <v>0.0</v>
      </c>
      <c r="G290" s="30" t="str">
        <f t="shared" si="1"/>
        <v>PASS</v>
      </c>
      <c r="H290" s="49" t="s">
        <v>46</v>
      </c>
      <c r="I290" s="47" t="s">
        <v>28</v>
      </c>
      <c r="J290" s="43">
        <v>0.0</v>
      </c>
      <c r="K290" s="44" t="s">
        <v>154</v>
      </c>
      <c r="L290" s="45">
        <v>1.0</v>
      </c>
      <c r="M290" s="28">
        <f>IFERROR(__xludf.DUMMYFUNCTION("VLOOKUP(B290,IMPORTRANGE(""1CGZ0Bai7Upqd4o8ih3likiFIYVFcX2B2CZFasZGKRII"",""Refined according to Results!B:J""),9,FALSE)"),7.32)</f>
        <v>7.32</v>
      </c>
      <c r="Q290" s="45">
        <v>0.0</v>
      </c>
      <c r="R290" s="45"/>
      <c r="S290" s="45"/>
      <c r="T290" s="45"/>
    </row>
    <row r="291" ht="15.75" customHeight="1">
      <c r="A291" s="40">
        <v>290.0</v>
      </c>
      <c r="B291" s="30" t="s">
        <v>779</v>
      </c>
      <c r="C291" s="30" t="s">
        <v>18</v>
      </c>
      <c r="D291" s="30" t="s">
        <v>780</v>
      </c>
      <c r="E291" s="50"/>
      <c r="F291" s="33">
        <v>1.0</v>
      </c>
      <c r="G291" s="30" t="str">
        <f t="shared" si="1"/>
        <v>FAIL</v>
      </c>
      <c r="H291" s="46" t="s">
        <v>46</v>
      </c>
      <c r="I291" s="47" t="s">
        <v>28</v>
      </c>
      <c r="J291" s="43">
        <v>0.0</v>
      </c>
      <c r="K291" s="51"/>
      <c r="L291" s="28">
        <v>0.0</v>
      </c>
      <c r="M291" s="28">
        <f>IFERROR(__xludf.DUMMYFUNCTION("VLOOKUP(B291,IMPORTRANGE(""1CGZ0Bai7Upqd4o8ih3likiFIYVFcX2B2CZFasZGKRII"",""Refined according to Results!B:J""),9,FALSE)"),8.28)</f>
        <v>8.28</v>
      </c>
      <c r="Q291" s="45">
        <v>0.0</v>
      </c>
      <c r="R291" s="45"/>
      <c r="S291" s="45"/>
      <c r="T291" s="45"/>
    </row>
    <row r="292" ht="15.75" customHeight="1">
      <c r="A292" s="40">
        <v>291.0</v>
      </c>
      <c r="B292" s="30" t="s">
        <v>781</v>
      </c>
      <c r="C292" s="30" t="s">
        <v>18</v>
      </c>
      <c r="D292" s="30" t="s">
        <v>782</v>
      </c>
      <c r="E292" s="41">
        <v>8.27</v>
      </c>
      <c r="F292" s="33">
        <v>0.0</v>
      </c>
      <c r="G292" s="30" t="str">
        <f t="shared" si="1"/>
        <v>PASS</v>
      </c>
      <c r="H292" s="49" t="s">
        <v>60</v>
      </c>
      <c r="I292" s="47" t="s">
        <v>27</v>
      </c>
      <c r="J292" s="43">
        <v>0.0</v>
      </c>
      <c r="K292" s="44" t="s">
        <v>783</v>
      </c>
      <c r="L292" s="45">
        <v>3.0</v>
      </c>
      <c r="M292" s="28">
        <f>IFERROR(__xludf.DUMMYFUNCTION("VLOOKUP(B292,IMPORTRANGE(""1CGZ0Bai7Upqd4o8ih3likiFIYVFcX2B2CZFasZGKRII"",""Refined according to Results!B:J""),9,FALSE)"),8.24)</f>
        <v>8.24</v>
      </c>
      <c r="Q292" s="45" t="s">
        <v>66</v>
      </c>
      <c r="R292" s="45" t="s">
        <v>63</v>
      </c>
      <c r="S292" s="45"/>
      <c r="T292" s="45"/>
    </row>
    <row r="293" ht="15.75" customHeight="1">
      <c r="A293" s="40">
        <v>292.0</v>
      </c>
      <c r="B293" s="30" t="s">
        <v>784</v>
      </c>
      <c r="C293" s="30" t="s">
        <v>18</v>
      </c>
      <c r="D293" s="30" t="s">
        <v>785</v>
      </c>
      <c r="E293" s="41">
        <v>8.46</v>
      </c>
      <c r="F293" s="33">
        <v>0.0</v>
      </c>
      <c r="G293" s="30" t="str">
        <f t="shared" si="1"/>
        <v>PASS</v>
      </c>
      <c r="H293" s="46" t="s">
        <v>46</v>
      </c>
      <c r="I293" s="47" t="s">
        <v>27</v>
      </c>
      <c r="J293" s="43">
        <v>0.0</v>
      </c>
      <c r="K293" s="48" t="s">
        <v>57</v>
      </c>
      <c r="L293" s="28">
        <v>1.0</v>
      </c>
      <c r="M293" s="28">
        <f>IFERROR(__xludf.DUMMYFUNCTION("VLOOKUP(B293,IMPORTRANGE(""1CGZ0Bai7Upqd4o8ih3likiFIYVFcX2B2CZFasZGKRII"",""Refined according to Results!B:J""),9,FALSE)"),9.08)</f>
        <v>9.08</v>
      </c>
      <c r="Q293" s="45" t="s">
        <v>57</v>
      </c>
      <c r="R293" s="45"/>
      <c r="S293" s="45"/>
      <c r="T293" s="45"/>
    </row>
    <row r="294" ht="15.75" customHeight="1">
      <c r="A294" s="40">
        <v>293.0</v>
      </c>
      <c r="B294" s="30" t="s">
        <v>786</v>
      </c>
      <c r="C294" s="30" t="s">
        <v>18</v>
      </c>
      <c r="D294" s="30" t="s">
        <v>787</v>
      </c>
      <c r="E294" s="41">
        <v>7.83</v>
      </c>
      <c r="F294" s="33">
        <v>0.0</v>
      </c>
      <c r="G294" s="30" t="str">
        <f t="shared" si="1"/>
        <v>PASS</v>
      </c>
      <c r="H294" s="49" t="s">
        <v>46</v>
      </c>
      <c r="I294" s="47" t="s">
        <v>27</v>
      </c>
      <c r="J294" s="43">
        <v>0.0</v>
      </c>
      <c r="K294" s="44" t="s">
        <v>52</v>
      </c>
      <c r="L294" s="28">
        <v>1.0</v>
      </c>
      <c r="M294" s="28">
        <f>IFERROR(__xludf.DUMMYFUNCTION("VLOOKUP(B294,IMPORTRANGE(""1CGZ0Bai7Upqd4o8ih3likiFIYVFcX2B2CZFasZGKRII"",""Refined according to Results!B:J""),9,FALSE)"),7.99)</f>
        <v>7.99</v>
      </c>
      <c r="Q294" s="45" t="s">
        <v>52</v>
      </c>
      <c r="R294" s="45"/>
      <c r="S294" s="45"/>
      <c r="T294" s="45"/>
    </row>
    <row r="295" ht="15.75" customHeight="1">
      <c r="A295" s="40">
        <v>294.0</v>
      </c>
      <c r="B295" s="30" t="s">
        <v>788</v>
      </c>
      <c r="C295" s="30" t="s">
        <v>18</v>
      </c>
      <c r="D295" s="30" t="s">
        <v>789</v>
      </c>
      <c r="E295" s="41">
        <v>8.85</v>
      </c>
      <c r="F295" s="33">
        <v>0.0</v>
      </c>
      <c r="G295" s="30" t="str">
        <f t="shared" si="1"/>
        <v>PASS</v>
      </c>
      <c r="H295" s="46" t="s">
        <v>60</v>
      </c>
      <c r="I295" s="47" t="s">
        <v>27</v>
      </c>
      <c r="J295" s="43">
        <v>0.0</v>
      </c>
      <c r="K295" s="48" t="s">
        <v>62</v>
      </c>
      <c r="L295" s="28">
        <v>2.0</v>
      </c>
      <c r="M295" s="28">
        <f>IFERROR(__xludf.DUMMYFUNCTION("VLOOKUP(B295,IMPORTRANGE(""1CGZ0Bai7Upqd4o8ih3likiFIYVFcX2B2CZFasZGKRII"",""Refined according to Results!B:J""),9,FALSE)"),9.21)</f>
        <v>9.21</v>
      </c>
      <c r="Q295" s="45" t="s">
        <v>52</v>
      </c>
      <c r="R295" s="45" t="s">
        <v>48</v>
      </c>
      <c r="S295" s="45"/>
      <c r="T295" s="45"/>
    </row>
    <row r="296" ht="15.75" customHeight="1">
      <c r="A296" s="40">
        <v>295.0</v>
      </c>
      <c r="B296" s="30" t="s">
        <v>790</v>
      </c>
      <c r="C296" s="30" t="s">
        <v>18</v>
      </c>
      <c r="D296" s="30" t="s">
        <v>791</v>
      </c>
      <c r="E296" s="50"/>
      <c r="F296" s="33">
        <v>1.0</v>
      </c>
      <c r="G296" s="30" t="str">
        <f t="shared" si="1"/>
        <v>FAIL</v>
      </c>
      <c r="H296" s="49" t="s">
        <v>46</v>
      </c>
      <c r="I296" s="47" t="s">
        <v>28</v>
      </c>
      <c r="J296" s="43" t="s">
        <v>365</v>
      </c>
      <c r="K296" s="44" t="s">
        <v>792</v>
      </c>
      <c r="L296" s="45">
        <v>3.0</v>
      </c>
      <c r="M296" s="28" t="str">
        <f>IFERROR(__xludf.DUMMYFUNCTION("VLOOKUP(B296,IMPORTRANGE(""1CGZ0Bai7Upqd4o8ih3likiFIYVFcX2B2CZFasZGKRII"",""Refined according to Results!B:J""),9,FALSE)"),"")</f>
        <v/>
      </c>
      <c r="Q296" s="45">
        <v>0.0</v>
      </c>
      <c r="R296" s="45"/>
      <c r="S296" s="45"/>
      <c r="T296" s="45"/>
    </row>
    <row r="297" ht="15.75" customHeight="1">
      <c r="A297" s="40">
        <v>296.0</v>
      </c>
      <c r="B297" s="30" t="s">
        <v>793</v>
      </c>
      <c r="C297" s="30" t="s">
        <v>18</v>
      </c>
      <c r="D297" s="30" t="s">
        <v>794</v>
      </c>
      <c r="E297" s="41">
        <v>8.81</v>
      </c>
      <c r="F297" s="33">
        <v>0.0</v>
      </c>
      <c r="G297" s="30" t="str">
        <f t="shared" si="1"/>
        <v>PASS</v>
      </c>
      <c r="H297" s="46" t="s">
        <v>60</v>
      </c>
      <c r="I297" s="47" t="s">
        <v>27</v>
      </c>
      <c r="J297" s="43">
        <v>0.0</v>
      </c>
      <c r="K297" s="48" t="s">
        <v>52</v>
      </c>
      <c r="L297" s="28">
        <v>1.0</v>
      </c>
      <c r="M297" s="28">
        <f>IFERROR(__xludf.DUMMYFUNCTION("VLOOKUP(B297,IMPORTRANGE(""1CGZ0Bai7Upqd4o8ih3likiFIYVFcX2B2CZFasZGKRII"",""Refined according to Results!B:J""),9,FALSE)"),8.86)</f>
        <v>8.86</v>
      </c>
      <c r="Q297" s="45" t="s">
        <v>52</v>
      </c>
      <c r="R297" s="45"/>
      <c r="S297" s="45"/>
      <c r="T297" s="45"/>
    </row>
    <row r="298" ht="15.75" customHeight="1">
      <c r="A298" s="40">
        <v>297.0</v>
      </c>
      <c r="B298" s="30" t="s">
        <v>795</v>
      </c>
      <c r="C298" s="30" t="s">
        <v>18</v>
      </c>
      <c r="D298" s="30" t="s">
        <v>796</v>
      </c>
      <c r="E298" s="41">
        <v>7.54</v>
      </c>
      <c r="F298" s="33">
        <v>0.0</v>
      </c>
      <c r="G298" s="30" t="str">
        <f t="shared" si="1"/>
        <v>PASS</v>
      </c>
      <c r="H298" s="49" t="s">
        <v>46</v>
      </c>
      <c r="I298" s="47" t="s">
        <v>28</v>
      </c>
      <c r="J298" s="43">
        <v>0.0</v>
      </c>
      <c r="K298" s="44" t="s">
        <v>271</v>
      </c>
      <c r="L298" s="45">
        <v>1.0</v>
      </c>
      <c r="M298" s="28">
        <f>IFERROR(__xludf.DUMMYFUNCTION("VLOOKUP(B298,IMPORTRANGE(""1CGZ0Bai7Upqd4o8ih3likiFIYVFcX2B2CZFasZGKRII"",""Refined according to Results!B:J""),9,FALSE)"),7.53)</f>
        <v>7.53</v>
      </c>
      <c r="Q298" s="45">
        <v>0.0</v>
      </c>
      <c r="R298" s="45"/>
      <c r="S298" s="45"/>
      <c r="T298" s="45"/>
    </row>
    <row r="299" ht="15.75" customHeight="1">
      <c r="A299" s="40">
        <v>298.0</v>
      </c>
      <c r="B299" s="30" t="s">
        <v>797</v>
      </c>
      <c r="C299" s="30" t="s">
        <v>18</v>
      </c>
      <c r="D299" s="30" t="s">
        <v>798</v>
      </c>
      <c r="E299" s="41">
        <v>8.11</v>
      </c>
      <c r="F299" s="33">
        <v>0.0</v>
      </c>
      <c r="G299" s="30" t="str">
        <f t="shared" si="1"/>
        <v>PASS</v>
      </c>
      <c r="H299" s="46" t="s">
        <v>46</v>
      </c>
      <c r="I299" s="47" t="s">
        <v>27</v>
      </c>
      <c r="J299" s="43">
        <v>0.0</v>
      </c>
      <c r="K299" s="51"/>
      <c r="L299" s="28">
        <v>0.0</v>
      </c>
      <c r="M299" s="28">
        <f>IFERROR(__xludf.DUMMYFUNCTION("VLOOKUP(B299,IMPORTRANGE(""1CGZ0Bai7Upqd4o8ih3likiFIYVFcX2B2CZFasZGKRII"",""Refined according to Results!B:J""),9,FALSE)"),7.69)</f>
        <v>7.69</v>
      </c>
      <c r="Q299" s="45">
        <v>0.0</v>
      </c>
      <c r="R299" s="45"/>
      <c r="S299" s="45"/>
      <c r="T299" s="45"/>
    </row>
    <row r="300" ht="15.75" customHeight="1">
      <c r="A300" s="40">
        <v>299.0</v>
      </c>
      <c r="B300" s="30" t="s">
        <v>799</v>
      </c>
      <c r="C300" s="30" t="s">
        <v>18</v>
      </c>
      <c r="D300" s="30" t="s">
        <v>800</v>
      </c>
      <c r="E300" s="41">
        <v>8.72</v>
      </c>
      <c r="F300" s="33">
        <v>0.0</v>
      </c>
      <c r="G300" s="30" t="str">
        <f t="shared" si="1"/>
        <v>PASS</v>
      </c>
      <c r="H300" s="49" t="s">
        <v>46</v>
      </c>
      <c r="I300" s="47" t="s">
        <v>27</v>
      </c>
      <c r="J300" s="43">
        <v>0.0</v>
      </c>
      <c r="K300" s="44" t="s">
        <v>801</v>
      </c>
      <c r="L300" s="45">
        <v>3.0</v>
      </c>
      <c r="M300" s="28">
        <f>IFERROR(__xludf.DUMMYFUNCTION("VLOOKUP(B300,IMPORTRANGE(""1CGZ0Bai7Upqd4o8ih3likiFIYVFcX2B2CZFasZGKRII"",""Refined according to Results!B:J""),9,FALSE)"),8.92)</f>
        <v>8.92</v>
      </c>
      <c r="Q300" s="45" t="s">
        <v>57</v>
      </c>
      <c r="R300" s="45" t="s">
        <v>52</v>
      </c>
      <c r="S300" s="45" t="s">
        <v>119</v>
      </c>
      <c r="T300" s="45"/>
    </row>
    <row r="301" ht="15.75" customHeight="1">
      <c r="A301" s="40">
        <v>300.0</v>
      </c>
      <c r="B301" s="30" t="s">
        <v>802</v>
      </c>
      <c r="C301" s="30" t="s">
        <v>18</v>
      </c>
      <c r="D301" s="30" t="s">
        <v>803</v>
      </c>
      <c r="E301" s="41">
        <v>8.4</v>
      </c>
      <c r="F301" s="33">
        <v>0.0</v>
      </c>
      <c r="G301" s="30" t="str">
        <f t="shared" si="1"/>
        <v>PASS</v>
      </c>
      <c r="H301" s="46" t="s">
        <v>46</v>
      </c>
      <c r="I301" s="47" t="s">
        <v>27</v>
      </c>
      <c r="J301" s="43" t="s">
        <v>306</v>
      </c>
      <c r="K301" s="48" t="s">
        <v>733</v>
      </c>
      <c r="L301" s="45">
        <v>3.0</v>
      </c>
      <c r="M301" s="28">
        <f>IFERROR(__xludf.DUMMYFUNCTION("VLOOKUP(B301,IMPORTRANGE(""1CGZ0Bai7Upqd4o8ih3likiFIYVFcX2B2CZFasZGKRII"",""Refined according to Results!B:J""),9,FALSE)"),8.42)</f>
        <v>8.42</v>
      </c>
      <c r="Q301" s="45" t="s">
        <v>48</v>
      </c>
      <c r="R301" s="45" t="s">
        <v>63</v>
      </c>
      <c r="S301" s="45"/>
      <c r="T301" s="45"/>
    </row>
    <row r="302" ht="15.75" customHeight="1">
      <c r="A302" s="40">
        <v>301.0</v>
      </c>
      <c r="B302" s="30" t="s">
        <v>804</v>
      </c>
      <c r="C302" s="30" t="s">
        <v>18</v>
      </c>
      <c r="D302" s="30" t="s">
        <v>805</v>
      </c>
      <c r="E302" s="41">
        <v>9.29</v>
      </c>
      <c r="F302" s="33">
        <v>0.0</v>
      </c>
      <c r="G302" s="30" t="str">
        <f t="shared" si="1"/>
        <v>PASS</v>
      </c>
      <c r="H302" s="49" t="s">
        <v>46</v>
      </c>
      <c r="I302" s="47" t="s">
        <v>28</v>
      </c>
      <c r="J302" s="43">
        <v>0.0</v>
      </c>
      <c r="K302" s="44" t="s">
        <v>684</v>
      </c>
      <c r="L302" s="45">
        <v>3.0</v>
      </c>
      <c r="M302" s="28">
        <f>IFERROR(__xludf.DUMMYFUNCTION("VLOOKUP(B302,IMPORTRANGE(""1CGZ0Bai7Upqd4o8ih3likiFIYVFcX2B2CZFasZGKRII"",""Refined according to Results!B:J""),9,FALSE)"),9.45)</f>
        <v>9.45</v>
      </c>
      <c r="Q302" s="45" t="s">
        <v>52</v>
      </c>
      <c r="R302" s="45" t="s">
        <v>48</v>
      </c>
      <c r="S302" s="45" t="s">
        <v>79</v>
      </c>
      <c r="T302" s="45"/>
    </row>
    <row r="303" ht="15.75" customHeight="1">
      <c r="A303" s="40">
        <v>302.0</v>
      </c>
      <c r="B303" s="30" t="s">
        <v>806</v>
      </c>
      <c r="C303" s="30" t="s">
        <v>18</v>
      </c>
      <c r="D303" s="30" t="s">
        <v>807</v>
      </c>
      <c r="E303" s="41">
        <v>8.18</v>
      </c>
      <c r="F303" s="33">
        <v>0.0</v>
      </c>
      <c r="G303" s="30" t="str">
        <f t="shared" si="1"/>
        <v>PASS</v>
      </c>
      <c r="H303" s="46" t="s">
        <v>46</v>
      </c>
      <c r="I303" s="47" t="s">
        <v>27</v>
      </c>
      <c r="J303" s="43">
        <v>0.0</v>
      </c>
      <c r="K303" s="48" t="s">
        <v>52</v>
      </c>
      <c r="L303" s="28">
        <v>1.0</v>
      </c>
      <c r="M303" s="28">
        <f>IFERROR(__xludf.DUMMYFUNCTION("VLOOKUP(B303,IMPORTRANGE(""1CGZ0Bai7Upqd4o8ih3likiFIYVFcX2B2CZFasZGKRII"",""Refined according to Results!B:J""),9,FALSE)"),8.29)</f>
        <v>8.29</v>
      </c>
      <c r="Q303" s="45" t="s">
        <v>52</v>
      </c>
      <c r="R303" s="45"/>
      <c r="S303" s="45"/>
      <c r="T303" s="45"/>
    </row>
    <row r="304" ht="15.75" customHeight="1">
      <c r="A304" s="40">
        <v>303.0</v>
      </c>
      <c r="B304" s="30" t="s">
        <v>808</v>
      </c>
      <c r="C304" s="30" t="s">
        <v>18</v>
      </c>
      <c r="D304" s="30" t="s">
        <v>809</v>
      </c>
      <c r="E304" s="41">
        <v>9.09</v>
      </c>
      <c r="F304" s="33">
        <v>0.0</v>
      </c>
      <c r="G304" s="30" t="str">
        <f t="shared" si="1"/>
        <v>PASS</v>
      </c>
      <c r="H304" s="49" t="s">
        <v>60</v>
      </c>
      <c r="I304" s="47" t="s">
        <v>27</v>
      </c>
      <c r="J304" s="43">
        <v>0.0</v>
      </c>
      <c r="K304" s="44" t="s">
        <v>810</v>
      </c>
      <c r="L304" s="45">
        <v>3.0</v>
      </c>
      <c r="M304" s="28">
        <f>IFERROR(__xludf.DUMMYFUNCTION("VLOOKUP(B304,IMPORTRANGE(""1CGZ0Bai7Upqd4o8ih3likiFIYVFcX2B2CZFasZGKRII"",""Refined according to Results!B:J""),9,FALSE)"),9.38)</f>
        <v>9.38</v>
      </c>
      <c r="Q304" s="45" t="s">
        <v>103</v>
      </c>
      <c r="R304" s="45" t="s">
        <v>63</v>
      </c>
      <c r="S304" s="45"/>
      <c r="T304" s="45"/>
    </row>
    <row r="305" ht="15.75" customHeight="1">
      <c r="A305" s="40">
        <v>304.0</v>
      </c>
      <c r="B305" s="30" t="s">
        <v>811</v>
      </c>
      <c r="C305" s="30" t="s">
        <v>18</v>
      </c>
      <c r="D305" s="30" t="s">
        <v>812</v>
      </c>
      <c r="E305" s="41">
        <v>8.77</v>
      </c>
      <c r="F305" s="33">
        <v>0.0</v>
      </c>
      <c r="G305" s="30" t="str">
        <f t="shared" si="1"/>
        <v>PASS</v>
      </c>
      <c r="H305" s="46" t="s">
        <v>60</v>
      </c>
      <c r="I305" s="47" t="s">
        <v>27</v>
      </c>
      <c r="J305" s="43" t="s">
        <v>813</v>
      </c>
      <c r="K305" s="48" t="s">
        <v>62</v>
      </c>
      <c r="L305" s="28">
        <v>2.0</v>
      </c>
      <c r="M305" s="28">
        <f>IFERROR(__xludf.DUMMYFUNCTION("VLOOKUP(B305,IMPORTRANGE(""1CGZ0Bai7Upqd4o8ih3likiFIYVFcX2B2CZFasZGKRII"",""Refined according to Results!B:J""),9,FALSE)"),8.72)</f>
        <v>8.72</v>
      </c>
      <c r="Q305" s="45" t="s">
        <v>52</v>
      </c>
      <c r="R305" s="45" t="s">
        <v>48</v>
      </c>
      <c r="S305" s="45"/>
      <c r="T305" s="45"/>
    </row>
    <row r="306" ht="15.75" customHeight="1">
      <c r="A306" s="40">
        <v>305.0</v>
      </c>
      <c r="B306" s="30" t="s">
        <v>814</v>
      </c>
      <c r="C306" s="30" t="s">
        <v>18</v>
      </c>
      <c r="D306" s="30" t="s">
        <v>815</v>
      </c>
      <c r="E306" s="41">
        <v>8.11</v>
      </c>
      <c r="F306" s="33">
        <v>0.0</v>
      </c>
      <c r="G306" s="30" t="str">
        <f t="shared" si="1"/>
        <v>PASS</v>
      </c>
      <c r="H306" s="49" t="s">
        <v>46</v>
      </c>
      <c r="I306" s="47" t="s">
        <v>27</v>
      </c>
      <c r="J306" s="43">
        <v>0.0</v>
      </c>
      <c r="K306" s="44" t="s">
        <v>816</v>
      </c>
      <c r="L306" s="45">
        <v>2.0</v>
      </c>
      <c r="M306" s="28">
        <f>IFERROR(__xludf.DUMMYFUNCTION("VLOOKUP(B306,IMPORTRANGE(""1CGZ0Bai7Upqd4o8ih3likiFIYVFcX2B2CZFasZGKRII"",""Refined according to Results!B:J""),9,FALSE)"),7.59)</f>
        <v>7.59</v>
      </c>
      <c r="Q306" s="45">
        <v>0.0</v>
      </c>
      <c r="R306" s="45"/>
      <c r="S306" s="45"/>
      <c r="T306" s="45"/>
    </row>
    <row r="307" ht="15.75" customHeight="1">
      <c r="A307" s="40">
        <v>306.0</v>
      </c>
      <c r="B307" s="30" t="s">
        <v>817</v>
      </c>
      <c r="C307" s="30" t="s">
        <v>18</v>
      </c>
      <c r="D307" s="30" t="s">
        <v>818</v>
      </c>
      <c r="E307" s="41">
        <v>8.32</v>
      </c>
      <c r="F307" s="33">
        <v>0.0</v>
      </c>
      <c r="G307" s="30" t="str">
        <f t="shared" si="1"/>
        <v>PASS</v>
      </c>
      <c r="H307" s="46" t="s">
        <v>46</v>
      </c>
      <c r="I307" s="47" t="s">
        <v>27</v>
      </c>
      <c r="J307" s="43">
        <v>0.0</v>
      </c>
      <c r="K307" s="48" t="s">
        <v>237</v>
      </c>
      <c r="L307" s="45">
        <v>1.0</v>
      </c>
      <c r="M307" s="28">
        <f>IFERROR(__xludf.DUMMYFUNCTION("VLOOKUP(B307,IMPORTRANGE(""1CGZ0Bai7Upqd4o8ih3likiFIYVFcX2B2CZFasZGKRII"",""Refined according to Results!B:J""),9,FALSE)"),8.18)</f>
        <v>8.18</v>
      </c>
      <c r="Q307" s="45">
        <v>0.0</v>
      </c>
      <c r="R307" s="45"/>
      <c r="S307" s="45"/>
      <c r="T307" s="45"/>
    </row>
    <row r="308" ht="15.75" customHeight="1">
      <c r="A308" s="40">
        <v>307.0</v>
      </c>
      <c r="B308" s="30" t="s">
        <v>819</v>
      </c>
      <c r="C308" s="30" t="s">
        <v>18</v>
      </c>
      <c r="D308" s="30" t="s">
        <v>820</v>
      </c>
      <c r="E308" s="41">
        <v>8.3</v>
      </c>
      <c r="F308" s="33">
        <v>0.0</v>
      </c>
      <c r="G308" s="30" t="str">
        <f t="shared" si="1"/>
        <v>PASS</v>
      </c>
      <c r="H308" s="49" t="s">
        <v>46</v>
      </c>
      <c r="I308" s="47" t="s">
        <v>28</v>
      </c>
      <c r="J308" s="43">
        <v>0.0</v>
      </c>
      <c r="K308" s="44" t="s">
        <v>518</v>
      </c>
      <c r="L308" s="45">
        <v>2.0</v>
      </c>
      <c r="M308" s="28">
        <f>IFERROR(__xludf.DUMMYFUNCTION("VLOOKUP(B308,IMPORTRANGE(""1CGZ0Bai7Upqd4o8ih3likiFIYVFcX2B2CZFasZGKRII"",""Refined according to Results!B:J""),9,FALSE)"),8.76)</f>
        <v>8.76</v>
      </c>
      <c r="Q308" s="45" t="s">
        <v>48</v>
      </c>
      <c r="R308" s="45" t="s">
        <v>63</v>
      </c>
      <c r="S308" s="45"/>
      <c r="T308" s="45"/>
    </row>
    <row r="309" ht="15.75" customHeight="1">
      <c r="A309" s="40">
        <v>308.0</v>
      </c>
      <c r="B309" s="30" t="s">
        <v>821</v>
      </c>
      <c r="C309" s="30" t="s">
        <v>18</v>
      </c>
      <c r="D309" s="30" t="s">
        <v>822</v>
      </c>
      <c r="E309" s="41">
        <v>8.27</v>
      </c>
      <c r="F309" s="33">
        <v>0.0</v>
      </c>
      <c r="G309" s="30" t="str">
        <f t="shared" si="1"/>
        <v>PASS</v>
      </c>
      <c r="H309" s="46" t="s">
        <v>46</v>
      </c>
      <c r="I309" s="47" t="s">
        <v>27</v>
      </c>
      <c r="J309" s="43">
        <v>0.0</v>
      </c>
      <c r="K309" s="48" t="s">
        <v>48</v>
      </c>
      <c r="L309" s="28">
        <v>1.0</v>
      </c>
      <c r="M309" s="28">
        <f>IFERROR(__xludf.DUMMYFUNCTION("VLOOKUP(B309,IMPORTRANGE(""1CGZ0Bai7Upqd4o8ih3likiFIYVFcX2B2CZFasZGKRII"",""Refined according to Results!B:J""),9,FALSE)"),8.31)</f>
        <v>8.31</v>
      </c>
      <c r="Q309" s="45" t="s">
        <v>48</v>
      </c>
      <c r="R309" s="45"/>
      <c r="S309" s="45"/>
      <c r="T309" s="45"/>
    </row>
    <row r="310" ht="15.75" customHeight="1">
      <c r="A310" s="40">
        <v>309.0</v>
      </c>
      <c r="B310" s="30" t="s">
        <v>823</v>
      </c>
      <c r="C310" s="30" t="s">
        <v>18</v>
      </c>
      <c r="D310" s="30" t="s">
        <v>824</v>
      </c>
      <c r="E310" s="41">
        <v>7.52</v>
      </c>
      <c r="F310" s="33">
        <v>0.0</v>
      </c>
      <c r="G310" s="30" t="str">
        <f t="shared" si="1"/>
        <v>PASS</v>
      </c>
      <c r="H310" s="49" t="s">
        <v>60</v>
      </c>
      <c r="I310" s="47" t="s">
        <v>27</v>
      </c>
      <c r="J310" s="43">
        <v>0.0</v>
      </c>
      <c r="K310" s="52"/>
      <c r="L310" s="28">
        <v>0.0</v>
      </c>
      <c r="M310" s="28">
        <f>IFERROR(__xludf.DUMMYFUNCTION("VLOOKUP(B310,IMPORTRANGE(""1CGZ0Bai7Upqd4o8ih3likiFIYVFcX2B2CZFasZGKRII"",""Refined according to Results!B:J""),9,FALSE)"),7.35)</f>
        <v>7.35</v>
      </c>
      <c r="Q310" s="45">
        <v>0.0</v>
      </c>
      <c r="R310" s="45"/>
      <c r="S310" s="45"/>
      <c r="T310" s="45"/>
    </row>
    <row r="311" ht="15.75" customHeight="1">
      <c r="A311" s="40">
        <v>310.0</v>
      </c>
      <c r="B311" s="30" t="s">
        <v>825</v>
      </c>
      <c r="C311" s="30" t="s">
        <v>18</v>
      </c>
      <c r="D311" s="30" t="s">
        <v>826</v>
      </c>
      <c r="E311" s="41">
        <v>7.45</v>
      </c>
      <c r="F311" s="33">
        <v>0.0</v>
      </c>
      <c r="G311" s="30" t="str">
        <f t="shared" si="1"/>
        <v>PASS</v>
      </c>
      <c r="H311" s="46" t="s">
        <v>46</v>
      </c>
      <c r="I311" s="47" t="s">
        <v>28</v>
      </c>
      <c r="J311" s="43">
        <v>0.0</v>
      </c>
      <c r="K311" s="51"/>
      <c r="L311" s="28">
        <v>0.0</v>
      </c>
      <c r="M311" s="28">
        <f>IFERROR(__xludf.DUMMYFUNCTION("VLOOKUP(B311,IMPORTRANGE(""1CGZ0Bai7Upqd4o8ih3likiFIYVFcX2B2CZFasZGKRII"",""Refined according to Results!B:J""),9,FALSE)"),7.19)</f>
        <v>7.19</v>
      </c>
      <c r="Q311" s="45">
        <v>0.0</v>
      </c>
      <c r="R311" s="45"/>
      <c r="S311" s="45"/>
      <c r="T311" s="45"/>
    </row>
    <row r="312" ht="15.75" customHeight="1">
      <c r="A312" s="40">
        <v>311.0</v>
      </c>
      <c r="B312" s="30" t="s">
        <v>827</v>
      </c>
      <c r="C312" s="30" t="s">
        <v>18</v>
      </c>
      <c r="D312" s="30" t="s">
        <v>828</v>
      </c>
      <c r="E312" s="41">
        <v>7.99</v>
      </c>
      <c r="F312" s="33">
        <v>0.0</v>
      </c>
      <c r="G312" s="30" t="str">
        <f t="shared" si="1"/>
        <v>PASS</v>
      </c>
      <c r="H312" s="49" t="s">
        <v>46</v>
      </c>
      <c r="I312" s="47" t="s">
        <v>28</v>
      </c>
      <c r="J312" s="43">
        <v>0.0</v>
      </c>
      <c r="K312" s="44" t="s">
        <v>303</v>
      </c>
      <c r="L312" s="45">
        <v>2.0</v>
      </c>
      <c r="M312" s="28">
        <f>IFERROR(__xludf.DUMMYFUNCTION("VLOOKUP(B312,IMPORTRANGE(""1CGZ0Bai7Upqd4o8ih3likiFIYVFcX2B2CZFasZGKRII"",""Refined according to Results!B:J""),9,FALSE)"),7.72)</f>
        <v>7.72</v>
      </c>
      <c r="Q312" s="45">
        <v>0.0</v>
      </c>
      <c r="R312" s="45"/>
      <c r="S312" s="45"/>
      <c r="T312" s="45"/>
    </row>
    <row r="313" ht="15.75" customHeight="1">
      <c r="A313" s="40">
        <v>312.0</v>
      </c>
      <c r="B313" s="30" t="s">
        <v>829</v>
      </c>
      <c r="C313" s="30" t="s">
        <v>18</v>
      </c>
      <c r="D313" s="30" t="s">
        <v>830</v>
      </c>
      <c r="E313" s="41">
        <v>8.29</v>
      </c>
      <c r="F313" s="33">
        <v>0.0</v>
      </c>
      <c r="G313" s="30" t="str">
        <f t="shared" si="1"/>
        <v>PASS</v>
      </c>
      <c r="H313" s="46" t="s">
        <v>46</v>
      </c>
      <c r="I313" s="47" t="s">
        <v>27</v>
      </c>
      <c r="J313" s="43" t="s">
        <v>365</v>
      </c>
      <c r="K313" s="48" t="s">
        <v>831</v>
      </c>
      <c r="L313" s="45">
        <v>6.0</v>
      </c>
      <c r="M313" s="28">
        <f>IFERROR(__xludf.DUMMYFUNCTION("VLOOKUP(B313,IMPORTRANGE(""1CGZ0Bai7Upqd4o8ih3likiFIYVFcX2B2CZFasZGKRII"",""Refined according to Results!B:J""),9,FALSE)"),8.49)</f>
        <v>8.49</v>
      </c>
      <c r="Q313" s="45" t="s">
        <v>52</v>
      </c>
      <c r="R313" s="45" t="s">
        <v>48</v>
      </c>
      <c r="S313" s="45" t="s">
        <v>63</v>
      </c>
      <c r="T313" s="45"/>
    </row>
    <row r="314" ht="15.75" customHeight="1">
      <c r="A314" s="40">
        <v>313.0</v>
      </c>
      <c r="B314" s="30" t="s">
        <v>832</v>
      </c>
      <c r="C314" s="30" t="s">
        <v>18</v>
      </c>
      <c r="D314" s="30" t="s">
        <v>833</v>
      </c>
      <c r="E314" s="41">
        <v>7.22</v>
      </c>
      <c r="F314" s="33">
        <v>0.0</v>
      </c>
      <c r="G314" s="30" t="str">
        <f t="shared" si="1"/>
        <v>PASS</v>
      </c>
      <c r="H314" s="49" t="s">
        <v>46</v>
      </c>
      <c r="I314" s="47" t="s">
        <v>27</v>
      </c>
      <c r="J314" s="43" t="s">
        <v>365</v>
      </c>
      <c r="K314" s="44" t="s">
        <v>440</v>
      </c>
      <c r="L314" s="45">
        <v>1.0</v>
      </c>
      <c r="M314" s="28">
        <f>IFERROR(__xludf.DUMMYFUNCTION("VLOOKUP(B314,IMPORTRANGE(""1CGZ0Bai7Upqd4o8ih3likiFIYVFcX2B2CZFasZGKRII"",""Refined according to Results!B:J""),9,FALSE)"),6.68)</f>
        <v>6.68</v>
      </c>
      <c r="Q314" s="45">
        <v>0.0</v>
      </c>
      <c r="R314" s="45"/>
      <c r="S314" s="45"/>
      <c r="T314" s="45"/>
    </row>
    <row r="315" ht="15.75" customHeight="1">
      <c r="A315" s="40">
        <v>314.0</v>
      </c>
      <c r="B315" s="30" t="s">
        <v>834</v>
      </c>
      <c r="C315" s="30" t="s">
        <v>18</v>
      </c>
      <c r="D315" s="30" t="s">
        <v>835</v>
      </c>
      <c r="E315" s="41">
        <v>8.08</v>
      </c>
      <c r="F315" s="33">
        <v>0.0</v>
      </c>
      <c r="G315" s="30" t="str">
        <f t="shared" si="1"/>
        <v>PASS</v>
      </c>
      <c r="H315" s="46" t="s">
        <v>46</v>
      </c>
      <c r="I315" s="47" t="s">
        <v>28</v>
      </c>
      <c r="J315" s="43">
        <v>0.0</v>
      </c>
      <c r="K315" s="48" t="s">
        <v>52</v>
      </c>
      <c r="L315" s="28">
        <v>1.0</v>
      </c>
      <c r="M315" s="28">
        <f>IFERROR(__xludf.DUMMYFUNCTION("VLOOKUP(B315,IMPORTRANGE(""1CGZ0Bai7Upqd4o8ih3likiFIYVFcX2B2CZFasZGKRII"",""Refined according to Results!B:J""),9,FALSE)"),7.55)</f>
        <v>7.55</v>
      </c>
      <c r="Q315" s="45" t="s">
        <v>52</v>
      </c>
      <c r="R315" s="45"/>
      <c r="S315" s="45"/>
      <c r="T315" s="45"/>
    </row>
    <row r="316" ht="15.75" customHeight="1">
      <c r="A316" s="40">
        <v>315.0</v>
      </c>
      <c r="B316" s="30" t="s">
        <v>836</v>
      </c>
      <c r="C316" s="30" t="s">
        <v>18</v>
      </c>
      <c r="D316" s="30" t="s">
        <v>837</v>
      </c>
      <c r="E316" s="50"/>
      <c r="F316" s="33">
        <v>7.0</v>
      </c>
      <c r="G316" s="30" t="str">
        <f t="shared" si="1"/>
        <v>FAIL</v>
      </c>
      <c r="H316" s="49" t="s">
        <v>46</v>
      </c>
      <c r="I316" s="47" t="s">
        <v>27</v>
      </c>
      <c r="J316" s="43">
        <v>0.0</v>
      </c>
      <c r="K316" s="52"/>
      <c r="L316" s="28">
        <v>0.0</v>
      </c>
      <c r="M316" s="28" t="str">
        <f>IFERROR(__xludf.DUMMYFUNCTION("VLOOKUP(B316,IMPORTRANGE(""1CGZ0Bai7Upqd4o8ih3likiFIYVFcX2B2CZFasZGKRII"",""Refined according to Results!B:J""),9,FALSE)"),"")</f>
        <v/>
      </c>
      <c r="Q316" s="45">
        <v>0.0</v>
      </c>
      <c r="R316" s="45"/>
      <c r="S316" s="45"/>
      <c r="T316" s="45"/>
    </row>
    <row r="317" ht="15.75" customHeight="1">
      <c r="A317" s="40">
        <v>316.0</v>
      </c>
      <c r="B317" s="30" t="s">
        <v>838</v>
      </c>
      <c r="C317" s="30" t="s">
        <v>18</v>
      </c>
      <c r="D317" s="30" t="s">
        <v>839</v>
      </c>
      <c r="E317" s="50"/>
      <c r="F317" s="33">
        <v>4.0</v>
      </c>
      <c r="G317" s="30" t="str">
        <f t="shared" si="1"/>
        <v>FAIL</v>
      </c>
      <c r="H317" s="46" t="s">
        <v>46</v>
      </c>
      <c r="I317" s="47" t="s">
        <v>28</v>
      </c>
      <c r="J317" s="43">
        <v>0.0</v>
      </c>
      <c r="K317" s="51"/>
      <c r="L317" s="28">
        <v>0.0</v>
      </c>
      <c r="M317" s="28" t="str">
        <f>IFERROR(__xludf.DUMMYFUNCTION("VLOOKUP(B317,IMPORTRANGE(""1CGZ0Bai7Upqd4o8ih3likiFIYVFcX2B2CZFasZGKRII"",""Refined according to Results!B:J""),9,FALSE)"),"")</f>
        <v/>
      </c>
      <c r="Q317" s="45">
        <v>0.0</v>
      </c>
      <c r="R317" s="45"/>
      <c r="S317" s="45"/>
      <c r="T317" s="45"/>
    </row>
    <row r="318" ht="15.75" customHeight="1">
      <c r="A318" s="40">
        <v>317.0</v>
      </c>
      <c r="B318" s="30" t="s">
        <v>840</v>
      </c>
      <c r="C318" s="30" t="s">
        <v>18</v>
      </c>
      <c r="D318" s="30" t="s">
        <v>841</v>
      </c>
      <c r="E318" s="41">
        <v>9.36</v>
      </c>
      <c r="F318" s="33">
        <v>0.0</v>
      </c>
      <c r="G318" s="30" t="str">
        <f t="shared" si="1"/>
        <v>PASS</v>
      </c>
      <c r="H318" s="49" t="s">
        <v>60</v>
      </c>
      <c r="I318" s="47" t="s">
        <v>28</v>
      </c>
      <c r="J318" s="43">
        <v>0.0</v>
      </c>
      <c r="K318" s="44" t="s">
        <v>842</v>
      </c>
      <c r="L318" s="45">
        <v>2.0</v>
      </c>
      <c r="M318" s="28">
        <f>IFERROR(__xludf.DUMMYFUNCTION("VLOOKUP(B318,IMPORTRANGE(""1CGZ0Bai7Upqd4o8ih3likiFIYVFcX2B2CZFasZGKRII"",""Refined according to Results!B:J""),9,FALSE)"),9.56)</f>
        <v>9.56</v>
      </c>
      <c r="Q318" s="45" t="s">
        <v>79</v>
      </c>
      <c r="R318" s="45" t="s">
        <v>63</v>
      </c>
      <c r="S318" s="45"/>
      <c r="T318" s="45"/>
    </row>
    <row r="319" ht="15.75" customHeight="1">
      <c r="A319" s="40">
        <v>318.0</v>
      </c>
      <c r="B319" s="30" t="s">
        <v>843</v>
      </c>
      <c r="C319" s="30" t="s">
        <v>18</v>
      </c>
      <c r="D319" s="30" t="s">
        <v>844</v>
      </c>
      <c r="E319" s="41">
        <v>8.69</v>
      </c>
      <c r="F319" s="33">
        <v>0.0</v>
      </c>
      <c r="G319" s="30" t="str">
        <f t="shared" si="1"/>
        <v>PASS</v>
      </c>
      <c r="H319" s="46" t="s">
        <v>46</v>
      </c>
      <c r="I319" s="47" t="s">
        <v>28</v>
      </c>
      <c r="J319" s="43" t="s">
        <v>222</v>
      </c>
      <c r="K319" s="48" t="s">
        <v>845</v>
      </c>
      <c r="L319" s="45">
        <v>5.0</v>
      </c>
      <c r="M319" s="28">
        <f>IFERROR(__xludf.DUMMYFUNCTION("VLOOKUP(B319,IMPORTRANGE(""1CGZ0Bai7Upqd4o8ih3likiFIYVFcX2B2CZFasZGKRII"",""Refined according to Results!B:J""),9,FALSE)"),8.77)</f>
        <v>8.77</v>
      </c>
      <c r="Q319" s="45" t="s">
        <v>52</v>
      </c>
      <c r="R319" s="45" t="s">
        <v>48</v>
      </c>
      <c r="S319" s="45" t="s">
        <v>63</v>
      </c>
      <c r="T319" s="45"/>
    </row>
    <row r="320" ht="15.75" customHeight="1">
      <c r="A320" s="40">
        <v>319.0</v>
      </c>
      <c r="B320" s="30" t="s">
        <v>846</v>
      </c>
      <c r="C320" s="30" t="s">
        <v>18</v>
      </c>
      <c r="D320" s="30" t="s">
        <v>847</v>
      </c>
      <c r="E320" s="41">
        <v>8.7</v>
      </c>
      <c r="F320" s="33">
        <v>0.0</v>
      </c>
      <c r="G320" s="30" t="str">
        <f t="shared" si="1"/>
        <v>PASS</v>
      </c>
      <c r="H320" s="49" t="s">
        <v>60</v>
      </c>
      <c r="I320" s="47" t="s">
        <v>27</v>
      </c>
      <c r="J320" s="43">
        <v>0.0</v>
      </c>
      <c r="K320" s="44" t="s">
        <v>848</v>
      </c>
      <c r="L320" s="45">
        <v>5.0</v>
      </c>
      <c r="M320" s="28">
        <f>IFERROR(__xludf.DUMMYFUNCTION("VLOOKUP(B320,IMPORTRANGE(""1CGZ0Bai7Upqd4o8ih3likiFIYVFcX2B2CZFasZGKRII"",""Refined according to Results!B:J""),9,FALSE)"),8.77)</f>
        <v>8.77</v>
      </c>
      <c r="Q320" s="45" t="s">
        <v>52</v>
      </c>
      <c r="R320" s="45" t="s">
        <v>48</v>
      </c>
      <c r="S320" s="45" t="s">
        <v>63</v>
      </c>
      <c r="T320" s="45"/>
    </row>
    <row r="321" ht="15.75" customHeight="1">
      <c r="A321" s="40">
        <v>320.0</v>
      </c>
      <c r="B321" s="30" t="s">
        <v>849</v>
      </c>
      <c r="C321" s="30" t="s">
        <v>18</v>
      </c>
      <c r="D321" s="30" t="s">
        <v>850</v>
      </c>
      <c r="E321" s="41">
        <v>8.15</v>
      </c>
      <c r="F321" s="33">
        <v>0.0</v>
      </c>
      <c r="G321" s="30" t="str">
        <f t="shared" si="1"/>
        <v>PASS</v>
      </c>
      <c r="H321" s="46" t="s">
        <v>60</v>
      </c>
      <c r="I321" s="47" t="s">
        <v>28</v>
      </c>
      <c r="J321" s="43" t="s">
        <v>359</v>
      </c>
      <c r="K321" s="48" t="s">
        <v>851</v>
      </c>
      <c r="L321" s="45">
        <v>2.0</v>
      </c>
      <c r="M321" s="28">
        <f>IFERROR(__xludf.DUMMYFUNCTION("VLOOKUP(B321,IMPORTRANGE(""1CGZ0Bai7Upqd4o8ih3likiFIYVFcX2B2CZFasZGKRII"",""Refined according to Results!B:J""),9,FALSE)"),8.17)</f>
        <v>8.17</v>
      </c>
      <c r="Q321" s="45">
        <v>0.0</v>
      </c>
      <c r="R321" s="45"/>
      <c r="S321" s="45"/>
      <c r="T321" s="45"/>
    </row>
    <row r="322" ht="15.75" customHeight="1">
      <c r="A322" s="40">
        <v>321.0</v>
      </c>
      <c r="B322" s="30" t="s">
        <v>852</v>
      </c>
      <c r="C322" s="30" t="s">
        <v>18</v>
      </c>
      <c r="D322" s="30" t="s">
        <v>853</v>
      </c>
      <c r="E322" s="50"/>
      <c r="F322" s="33">
        <v>5.0</v>
      </c>
      <c r="G322" s="30" t="str">
        <f t="shared" si="1"/>
        <v>FAIL</v>
      </c>
      <c r="H322" s="49" t="s">
        <v>60</v>
      </c>
      <c r="I322" s="47" t="s">
        <v>27</v>
      </c>
      <c r="J322" s="43">
        <v>0.0</v>
      </c>
      <c r="K322" s="52"/>
      <c r="L322" s="28">
        <v>0.0</v>
      </c>
      <c r="M322" s="28" t="str">
        <f>IFERROR(__xludf.DUMMYFUNCTION("VLOOKUP(B322,IMPORTRANGE(""1CGZ0Bai7Upqd4o8ih3likiFIYVFcX2B2CZFasZGKRII"",""Refined according to Results!B:J""),9,FALSE)"),"")</f>
        <v/>
      </c>
      <c r="Q322" s="45">
        <v>0.0</v>
      </c>
      <c r="R322" s="45"/>
      <c r="S322" s="45"/>
      <c r="T322" s="45"/>
    </row>
    <row r="323" ht="15.75" customHeight="1">
      <c r="A323" s="40">
        <v>322.0</v>
      </c>
      <c r="B323" s="30" t="s">
        <v>854</v>
      </c>
      <c r="C323" s="30" t="s">
        <v>18</v>
      </c>
      <c r="D323" s="30" t="s">
        <v>855</v>
      </c>
      <c r="E323" s="50"/>
      <c r="F323" s="33">
        <v>8.0</v>
      </c>
      <c r="G323" s="30" t="str">
        <f t="shared" si="1"/>
        <v>FAIL</v>
      </c>
      <c r="H323" s="46" t="s">
        <v>46</v>
      </c>
      <c r="I323" s="47" t="s">
        <v>27</v>
      </c>
      <c r="J323" s="43">
        <v>0.0</v>
      </c>
      <c r="K323" s="51"/>
      <c r="L323" s="28">
        <v>0.0</v>
      </c>
      <c r="M323" s="28" t="str">
        <f>IFERROR(__xludf.DUMMYFUNCTION("VLOOKUP(B323,IMPORTRANGE(""1CGZ0Bai7Upqd4o8ih3likiFIYVFcX2B2CZFasZGKRII"",""Refined according to Results!B:J""),9,FALSE)"),"")</f>
        <v/>
      </c>
      <c r="Q323" s="45">
        <v>0.0</v>
      </c>
      <c r="R323" s="45"/>
      <c r="S323" s="45"/>
      <c r="T323" s="45"/>
    </row>
    <row r="324" ht="15.75" customHeight="1">
      <c r="A324" s="40">
        <v>323.0</v>
      </c>
      <c r="B324" s="30" t="s">
        <v>856</v>
      </c>
      <c r="C324" s="30" t="s">
        <v>18</v>
      </c>
      <c r="D324" s="30" t="s">
        <v>857</v>
      </c>
      <c r="E324" s="41">
        <v>8.07</v>
      </c>
      <c r="F324" s="33">
        <v>0.0</v>
      </c>
      <c r="G324" s="30" t="str">
        <f t="shared" si="1"/>
        <v>PASS</v>
      </c>
      <c r="H324" s="49" t="s">
        <v>46</v>
      </c>
      <c r="I324" s="47" t="s">
        <v>28</v>
      </c>
      <c r="J324" s="43">
        <v>0.0</v>
      </c>
      <c r="K324" s="44" t="s">
        <v>518</v>
      </c>
      <c r="L324" s="45">
        <v>2.0</v>
      </c>
      <c r="M324" s="28">
        <f>IFERROR(__xludf.DUMMYFUNCTION("VLOOKUP(B324,IMPORTRANGE(""1CGZ0Bai7Upqd4o8ih3likiFIYVFcX2B2CZFasZGKRII"",""Refined according to Results!B:J""),9,FALSE)"),7.99)</f>
        <v>7.99</v>
      </c>
      <c r="Q324" s="45" t="s">
        <v>48</v>
      </c>
      <c r="R324" s="45" t="s">
        <v>63</v>
      </c>
      <c r="S324" s="45"/>
      <c r="T324" s="45"/>
    </row>
    <row r="325" ht="15.75" customHeight="1">
      <c r="A325" s="40">
        <v>324.0</v>
      </c>
      <c r="B325" s="30" t="s">
        <v>858</v>
      </c>
      <c r="C325" s="30" t="s">
        <v>18</v>
      </c>
      <c r="D325" s="30" t="s">
        <v>859</v>
      </c>
      <c r="E325" s="41">
        <v>7.28</v>
      </c>
      <c r="F325" s="33">
        <v>0.0</v>
      </c>
      <c r="G325" s="30" t="str">
        <f t="shared" si="1"/>
        <v>PASS</v>
      </c>
      <c r="H325" s="46" t="s">
        <v>46</v>
      </c>
      <c r="I325" s="55" t="s">
        <v>27</v>
      </c>
      <c r="J325" s="56">
        <v>0.0</v>
      </c>
      <c r="K325" s="51"/>
      <c r="L325" s="28">
        <v>0.0</v>
      </c>
      <c r="M325" s="28">
        <f>IFERROR(__xludf.DUMMYFUNCTION("VLOOKUP(B325,IMPORTRANGE(""1CGZ0Bai7Upqd4o8ih3likiFIYVFcX2B2CZFasZGKRII"",""Refined according to Results!B:J""),9,FALSE)"),7.13)</f>
        <v>7.13</v>
      </c>
      <c r="Q325" s="45">
        <v>0.0</v>
      </c>
      <c r="R325" s="45"/>
      <c r="S325" s="45"/>
      <c r="T325" s="45"/>
    </row>
    <row r="326" ht="15.75" customHeight="1">
      <c r="A326" s="40">
        <v>325.0</v>
      </c>
      <c r="B326" s="33">
        <v>1.0</v>
      </c>
      <c r="C326" s="30" t="s">
        <v>18</v>
      </c>
      <c r="D326" s="30" t="s">
        <v>860</v>
      </c>
      <c r="E326" s="41">
        <v>8.02</v>
      </c>
      <c r="F326" s="33">
        <v>0.0</v>
      </c>
      <c r="G326" s="30" t="str">
        <f t="shared" si="1"/>
        <v>PASS</v>
      </c>
      <c r="H326" s="49" t="s">
        <v>46</v>
      </c>
      <c r="I326" s="47" t="s">
        <v>27</v>
      </c>
      <c r="J326" s="43">
        <v>0.0</v>
      </c>
      <c r="K326" s="52"/>
      <c r="L326" s="45">
        <v>0.0</v>
      </c>
      <c r="M326" s="28" t="str">
        <f>IFERROR(__xludf.DUMMYFUNCTION("VLOOKUP(B326,IMPORTRANGE(""1CGZ0Bai7Upqd4o8ih3likiFIYVFcX2B2CZFasZGKRII"",""Refined according to Results!B:J""),9,FALSE)"),"#N/A")</f>
        <v>#N/A</v>
      </c>
      <c r="Q326" s="45">
        <v>0.0</v>
      </c>
      <c r="R326" s="45"/>
      <c r="S326" s="45"/>
      <c r="T326" s="45"/>
    </row>
    <row r="327" ht="15.75" customHeight="1">
      <c r="A327" s="40">
        <v>326.0</v>
      </c>
      <c r="B327" s="30" t="s">
        <v>861</v>
      </c>
      <c r="C327" s="30" t="s">
        <v>18</v>
      </c>
      <c r="D327" s="30" t="s">
        <v>862</v>
      </c>
      <c r="E327" s="41">
        <v>8.36</v>
      </c>
      <c r="F327" s="33">
        <v>0.0</v>
      </c>
      <c r="G327" s="30" t="str">
        <f t="shared" si="1"/>
        <v>PASS</v>
      </c>
      <c r="H327" s="46" t="s">
        <v>46</v>
      </c>
      <c r="I327" s="47" t="s">
        <v>27</v>
      </c>
      <c r="J327" s="43">
        <v>0.0</v>
      </c>
      <c r="K327" s="48" t="s">
        <v>518</v>
      </c>
      <c r="L327" s="45">
        <v>2.0</v>
      </c>
      <c r="M327" s="28">
        <f>IFERROR(__xludf.DUMMYFUNCTION("VLOOKUP(B327,IMPORTRANGE(""1CGZ0Bai7Upqd4o8ih3likiFIYVFcX2B2CZFasZGKRII"",""Refined according to Results!B:J""),9,FALSE)"),8.29)</f>
        <v>8.29</v>
      </c>
      <c r="Q327" s="45" t="s">
        <v>48</v>
      </c>
      <c r="R327" s="45" t="s">
        <v>63</v>
      </c>
      <c r="S327" s="45"/>
      <c r="T327" s="45"/>
    </row>
    <row r="328" ht="15.75" customHeight="1">
      <c r="A328" s="40">
        <v>327.0</v>
      </c>
      <c r="B328" s="30" t="s">
        <v>863</v>
      </c>
      <c r="C328" s="30" t="s">
        <v>18</v>
      </c>
      <c r="D328" s="30" t="s">
        <v>864</v>
      </c>
      <c r="E328" s="41">
        <v>8.97</v>
      </c>
      <c r="F328" s="33">
        <v>0.0</v>
      </c>
      <c r="G328" s="30" t="str">
        <f t="shared" si="1"/>
        <v>PASS</v>
      </c>
      <c r="H328" s="49" t="s">
        <v>60</v>
      </c>
      <c r="I328" s="47" t="s">
        <v>27</v>
      </c>
      <c r="J328" s="43">
        <v>0.0</v>
      </c>
      <c r="K328" s="44" t="s">
        <v>865</v>
      </c>
      <c r="L328" s="45">
        <v>2.0</v>
      </c>
      <c r="M328" s="28">
        <f>IFERROR(__xludf.DUMMYFUNCTION("VLOOKUP(B328,IMPORTRANGE(""1CGZ0Bai7Upqd4o8ih3likiFIYVFcX2B2CZFasZGKRII"",""Refined according to Results!B:J""),9,FALSE)"),8.9)</f>
        <v>8.9</v>
      </c>
      <c r="Q328" s="45">
        <v>0.0</v>
      </c>
      <c r="R328" s="45"/>
      <c r="S328" s="45"/>
      <c r="T328" s="45"/>
    </row>
    <row r="329" ht="15.75" customHeight="1">
      <c r="A329" s="40">
        <v>328.0</v>
      </c>
      <c r="B329" s="30" t="s">
        <v>866</v>
      </c>
      <c r="C329" s="30" t="s">
        <v>18</v>
      </c>
      <c r="D329" s="30" t="s">
        <v>867</v>
      </c>
      <c r="E329" s="50"/>
      <c r="F329" s="33">
        <v>1.0</v>
      </c>
      <c r="G329" s="30" t="str">
        <f t="shared" si="1"/>
        <v>FAIL</v>
      </c>
      <c r="H329" s="46" t="s">
        <v>46</v>
      </c>
      <c r="I329" s="47" t="s">
        <v>27</v>
      </c>
      <c r="J329" s="43">
        <v>0.0</v>
      </c>
      <c r="K329" s="51"/>
      <c r="L329" s="28">
        <v>0.0</v>
      </c>
      <c r="M329" s="28" t="str">
        <f>IFERROR(__xludf.DUMMYFUNCTION("VLOOKUP(B329,IMPORTRANGE(""1CGZ0Bai7Upqd4o8ih3likiFIYVFcX2B2CZFasZGKRII"",""Refined according to Results!B:J""),9,FALSE)"),"")</f>
        <v/>
      </c>
      <c r="Q329" s="45">
        <v>0.0</v>
      </c>
      <c r="R329" s="45"/>
      <c r="S329" s="45"/>
      <c r="T329" s="45"/>
    </row>
    <row r="330" ht="15.75" customHeight="1">
      <c r="A330" s="40">
        <v>329.0</v>
      </c>
      <c r="B330" s="30" t="s">
        <v>868</v>
      </c>
      <c r="C330" s="30" t="s">
        <v>18</v>
      </c>
      <c r="D330" s="30" t="s">
        <v>869</v>
      </c>
      <c r="E330" s="41">
        <v>8.69</v>
      </c>
      <c r="F330" s="33">
        <v>0.0</v>
      </c>
      <c r="G330" s="30" t="str">
        <f t="shared" si="1"/>
        <v>PASS</v>
      </c>
      <c r="H330" s="49" t="s">
        <v>46</v>
      </c>
      <c r="I330" s="47" t="s">
        <v>27</v>
      </c>
      <c r="J330" s="43">
        <v>0.0</v>
      </c>
      <c r="K330" s="44" t="s">
        <v>870</v>
      </c>
      <c r="L330" s="45">
        <v>2.0</v>
      </c>
      <c r="M330" s="28">
        <f>IFERROR(__xludf.DUMMYFUNCTION("VLOOKUP(B330,IMPORTRANGE(""1CGZ0Bai7Upqd4o8ih3likiFIYVFcX2B2CZFasZGKRII"",""Refined according to Results!B:J""),9,FALSE)"),8.76)</f>
        <v>8.76</v>
      </c>
      <c r="Q330" s="45" t="s">
        <v>57</v>
      </c>
      <c r="R330" s="45"/>
      <c r="S330" s="45"/>
      <c r="T330" s="45"/>
    </row>
    <row r="331" ht="15.75" customHeight="1">
      <c r="A331" s="40">
        <v>330.0</v>
      </c>
      <c r="B331" s="30" t="s">
        <v>871</v>
      </c>
      <c r="C331" s="30" t="s">
        <v>18</v>
      </c>
      <c r="D331" s="30" t="s">
        <v>872</v>
      </c>
      <c r="E331" s="41">
        <v>8.59</v>
      </c>
      <c r="F331" s="33">
        <v>0.0</v>
      </c>
      <c r="G331" s="30" t="str">
        <f t="shared" si="1"/>
        <v>PASS</v>
      </c>
      <c r="H331" s="46" t="s">
        <v>60</v>
      </c>
      <c r="I331" s="47" t="s">
        <v>27</v>
      </c>
      <c r="J331" s="43" t="s">
        <v>873</v>
      </c>
      <c r="K331" s="48" t="s">
        <v>873</v>
      </c>
      <c r="L331" s="45">
        <v>1.0</v>
      </c>
      <c r="M331" s="28">
        <f>IFERROR(__xludf.DUMMYFUNCTION("VLOOKUP(B331,IMPORTRANGE(""1CGZ0Bai7Upqd4o8ih3likiFIYVFcX2B2CZFasZGKRII"",""Refined according to Results!B:J""),9,FALSE)"),8.94)</f>
        <v>8.94</v>
      </c>
      <c r="Q331" s="45">
        <v>0.0</v>
      </c>
      <c r="R331" s="45"/>
      <c r="S331" s="45"/>
      <c r="T331" s="45"/>
    </row>
    <row r="332" ht="15.75" customHeight="1">
      <c r="A332" s="40">
        <v>331.0</v>
      </c>
      <c r="B332" s="30" t="s">
        <v>874</v>
      </c>
      <c r="C332" s="30" t="s">
        <v>18</v>
      </c>
      <c r="D332" s="30" t="s">
        <v>875</v>
      </c>
      <c r="E332" s="41">
        <v>9.31</v>
      </c>
      <c r="F332" s="33">
        <v>0.0</v>
      </c>
      <c r="G332" s="30" t="str">
        <f t="shared" si="1"/>
        <v>PASS</v>
      </c>
      <c r="H332" s="49" t="s">
        <v>60</v>
      </c>
      <c r="I332" s="47" t="s">
        <v>27</v>
      </c>
      <c r="J332" s="43" t="s">
        <v>876</v>
      </c>
      <c r="K332" s="44" t="s">
        <v>877</v>
      </c>
      <c r="L332" s="45">
        <v>3.0</v>
      </c>
      <c r="M332" s="28">
        <f>IFERROR(__xludf.DUMMYFUNCTION("VLOOKUP(B332,IMPORTRANGE(""1CGZ0Bai7Upqd4o8ih3likiFIYVFcX2B2CZFasZGKRII"",""Refined according to Results!B:J""),9,FALSE)"),9.45)</f>
        <v>9.45</v>
      </c>
      <c r="Q332" s="45" t="s">
        <v>48</v>
      </c>
      <c r="R332" s="45" t="s">
        <v>111</v>
      </c>
      <c r="S332" s="45" t="s">
        <v>103</v>
      </c>
      <c r="T332" s="45"/>
    </row>
    <row r="333" ht="15.75" customHeight="1">
      <c r="A333" s="40">
        <v>332.0</v>
      </c>
      <c r="B333" s="30" t="s">
        <v>878</v>
      </c>
      <c r="C333" s="30" t="s">
        <v>18</v>
      </c>
      <c r="D333" s="30" t="s">
        <v>879</v>
      </c>
      <c r="E333" s="41">
        <v>9.37</v>
      </c>
      <c r="F333" s="33">
        <v>0.0</v>
      </c>
      <c r="G333" s="30" t="str">
        <f t="shared" si="1"/>
        <v>PASS</v>
      </c>
      <c r="H333" s="46" t="s">
        <v>60</v>
      </c>
      <c r="I333" s="47" t="s">
        <v>27</v>
      </c>
      <c r="J333" s="43" t="s">
        <v>111</v>
      </c>
      <c r="K333" s="48" t="s">
        <v>880</v>
      </c>
      <c r="L333" s="45">
        <v>2.0</v>
      </c>
      <c r="M333" s="28">
        <f>IFERROR(__xludf.DUMMYFUNCTION("VLOOKUP(B333,IMPORTRANGE(""1CGZ0Bai7Upqd4o8ih3likiFIYVFcX2B2CZFasZGKRII"",""Refined according to Results!B:J""),9,FALSE)"),9.6)</f>
        <v>9.6</v>
      </c>
      <c r="Q333" s="45" t="s">
        <v>87</v>
      </c>
      <c r="R333" s="45" t="s">
        <v>111</v>
      </c>
      <c r="S333" s="45"/>
      <c r="T333" s="45"/>
    </row>
    <row r="334" ht="15.75" customHeight="1">
      <c r="A334" s="40">
        <v>333.0</v>
      </c>
      <c r="B334" s="30" t="s">
        <v>881</v>
      </c>
      <c r="C334" s="30" t="s">
        <v>18</v>
      </c>
      <c r="D334" s="30" t="s">
        <v>882</v>
      </c>
      <c r="E334" s="41">
        <v>8.98</v>
      </c>
      <c r="F334" s="33">
        <v>0.0</v>
      </c>
      <c r="G334" s="30" t="str">
        <f t="shared" si="1"/>
        <v>PASS</v>
      </c>
      <c r="H334" s="49" t="s">
        <v>60</v>
      </c>
      <c r="I334" s="67" t="s">
        <v>27</v>
      </c>
      <c r="J334" s="68" t="s">
        <v>883</v>
      </c>
      <c r="K334" s="44" t="s">
        <v>884</v>
      </c>
      <c r="L334" s="45">
        <v>4.0</v>
      </c>
      <c r="M334" s="28">
        <f>IFERROR(__xludf.DUMMYFUNCTION("VLOOKUP(B334,IMPORTRANGE(""1CGZ0Bai7Upqd4o8ih3likiFIYVFcX2B2CZFasZGKRII"",""Refined according to Results!B:J""),9,FALSE)"),9.33)</f>
        <v>9.33</v>
      </c>
      <c r="Q334" s="45" t="s">
        <v>106</v>
      </c>
      <c r="R334" s="45"/>
      <c r="S334" s="45"/>
      <c r="T334" s="45"/>
    </row>
    <row r="335" ht="15.75" customHeight="1">
      <c r="A335" s="40">
        <v>334.0</v>
      </c>
      <c r="B335" s="30" t="s">
        <v>885</v>
      </c>
      <c r="C335" s="30" t="s">
        <v>18</v>
      </c>
      <c r="D335" s="30" t="s">
        <v>886</v>
      </c>
      <c r="E335" s="41">
        <v>8.38</v>
      </c>
      <c r="F335" s="33">
        <v>0.0</v>
      </c>
      <c r="G335" s="30" t="str">
        <f t="shared" si="1"/>
        <v>PASS</v>
      </c>
      <c r="H335" s="46" t="s">
        <v>60</v>
      </c>
      <c r="I335" s="47" t="s">
        <v>27</v>
      </c>
      <c r="J335" s="43">
        <v>0.0</v>
      </c>
      <c r="K335" s="51"/>
      <c r="L335" s="28">
        <v>0.0</v>
      </c>
      <c r="M335" s="28">
        <f>IFERROR(__xludf.DUMMYFUNCTION("VLOOKUP(B335,IMPORTRANGE(""1CGZ0Bai7Upqd4o8ih3likiFIYVFcX2B2CZFasZGKRII"",""Refined according to Results!B:J""),9,FALSE)"),8.13)</f>
        <v>8.13</v>
      </c>
      <c r="Q335" s="45">
        <v>0.0</v>
      </c>
      <c r="R335" s="45"/>
      <c r="S335" s="45"/>
      <c r="T335" s="45"/>
    </row>
    <row r="336" ht="15.75" customHeight="1">
      <c r="A336" s="40">
        <v>335.0</v>
      </c>
      <c r="B336" s="30" t="s">
        <v>887</v>
      </c>
      <c r="C336" s="30" t="s">
        <v>18</v>
      </c>
      <c r="D336" s="30" t="s">
        <v>888</v>
      </c>
      <c r="E336" s="41">
        <v>8.18</v>
      </c>
      <c r="F336" s="33">
        <v>0.0</v>
      </c>
      <c r="G336" s="30" t="str">
        <f t="shared" si="1"/>
        <v>PASS</v>
      </c>
      <c r="H336" s="49" t="s">
        <v>46</v>
      </c>
      <c r="I336" s="47" t="s">
        <v>27</v>
      </c>
      <c r="J336" s="43">
        <v>0.0</v>
      </c>
      <c r="K336" s="44" t="s">
        <v>237</v>
      </c>
      <c r="L336" s="45">
        <v>1.0</v>
      </c>
      <c r="M336" s="28">
        <f>IFERROR(__xludf.DUMMYFUNCTION("VLOOKUP(B336,IMPORTRANGE(""1CGZ0Bai7Upqd4o8ih3likiFIYVFcX2B2CZFasZGKRII"",""Refined according to Results!B:J""),9,FALSE)"),8.19)</f>
        <v>8.19</v>
      </c>
      <c r="Q336" s="45">
        <v>0.0</v>
      </c>
      <c r="R336" s="45"/>
      <c r="S336" s="45"/>
      <c r="T336" s="45"/>
    </row>
    <row r="337" ht="15.75" customHeight="1">
      <c r="A337" s="40">
        <v>336.0</v>
      </c>
      <c r="B337" s="30" t="s">
        <v>889</v>
      </c>
      <c r="C337" s="30" t="s">
        <v>18</v>
      </c>
      <c r="D337" s="30" t="s">
        <v>890</v>
      </c>
      <c r="E337" s="41">
        <v>8.6</v>
      </c>
      <c r="F337" s="33">
        <v>0.0</v>
      </c>
      <c r="G337" s="30" t="str">
        <f t="shared" si="1"/>
        <v>PASS</v>
      </c>
      <c r="H337" s="46" t="s">
        <v>46</v>
      </c>
      <c r="I337" s="47" t="s">
        <v>27</v>
      </c>
      <c r="J337" s="43">
        <v>0.0</v>
      </c>
      <c r="K337" s="48" t="s">
        <v>331</v>
      </c>
      <c r="L337" s="45">
        <v>2.0</v>
      </c>
      <c r="M337" s="28">
        <f>IFERROR(__xludf.DUMMYFUNCTION("VLOOKUP(B337,IMPORTRANGE(""1CGZ0Bai7Upqd4o8ih3likiFIYVFcX2B2CZFasZGKRII"",""Refined according to Results!B:J""),9,FALSE)"),8.97)</f>
        <v>8.97</v>
      </c>
      <c r="Q337" s="45" t="s">
        <v>48</v>
      </c>
      <c r="R337" s="45"/>
      <c r="S337" s="45"/>
      <c r="T337" s="45"/>
    </row>
    <row r="338" ht="15.75" customHeight="1">
      <c r="A338" s="40">
        <v>337.0</v>
      </c>
      <c r="B338" s="30" t="s">
        <v>891</v>
      </c>
      <c r="C338" s="30" t="s">
        <v>18</v>
      </c>
      <c r="D338" s="30" t="s">
        <v>892</v>
      </c>
      <c r="E338" s="41">
        <v>8.56</v>
      </c>
      <c r="F338" s="33">
        <v>0.0</v>
      </c>
      <c r="G338" s="30" t="str">
        <f t="shared" si="1"/>
        <v>PASS</v>
      </c>
      <c r="H338" s="49" t="s">
        <v>46</v>
      </c>
      <c r="I338" s="47" t="s">
        <v>27</v>
      </c>
      <c r="J338" s="43">
        <v>0.0</v>
      </c>
      <c r="K338" s="44" t="s">
        <v>52</v>
      </c>
      <c r="L338" s="28">
        <v>1.0</v>
      </c>
      <c r="M338" s="28">
        <f>IFERROR(__xludf.DUMMYFUNCTION("VLOOKUP(B338,IMPORTRANGE(""1CGZ0Bai7Upqd4o8ih3likiFIYVFcX2B2CZFasZGKRII"",""Refined according to Results!B:J""),9,FALSE)"),8.63)</f>
        <v>8.63</v>
      </c>
      <c r="Q338" s="45" t="s">
        <v>52</v>
      </c>
      <c r="R338" s="45"/>
      <c r="S338" s="45"/>
      <c r="T338" s="45"/>
    </row>
    <row r="339" ht="15.75" customHeight="1">
      <c r="A339" s="40">
        <v>338.0</v>
      </c>
      <c r="B339" s="30" t="s">
        <v>893</v>
      </c>
      <c r="C339" s="30" t="s">
        <v>18</v>
      </c>
      <c r="D339" s="30" t="s">
        <v>894</v>
      </c>
      <c r="E339" s="41">
        <v>8.47</v>
      </c>
      <c r="F339" s="33">
        <v>0.0</v>
      </c>
      <c r="G339" s="30" t="str">
        <f t="shared" si="1"/>
        <v>PASS</v>
      </c>
      <c r="H339" s="46" t="s">
        <v>46</v>
      </c>
      <c r="I339" s="47" t="s">
        <v>27</v>
      </c>
      <c r="J339" s="43">
        <v>0.0</v>
      </c>
      <c r="K339" s="48" t="s">
        <v>237</v>
      </c>
      <c r="L339" s="45">
        <v>1.0</v>
      </c>
      <c r="M339" s="28">
        <f>IFERROR(__xludf.DUMMYFUNCTION("VLOOKUP(B339,IMPORTRANGE(""1CGZ0Bai7Upqd4o8ih3likiFIYVFcX2B2CZFasZGKRII"",""Refined according to Results!B:J""),9,FALSE)"),8.36)</f>
        <v>8.36</v>
      </c>
      <c r="Q339" s="45">
        <v>0.0</v>
      </c>
      <c r="R339" s="45"/>
      <c r="S339" s="45"/>
      <c r="T339" s="45"/>
    </row>
    <row r="340" ht="15.75" customHeight="1">
      <c r="A340" s="40">
        <v>339.0</v>
      </c>
      <c r="B340" s="30" t="s">
        <v>895</v>
      </c>
      <c r="C340" s="30" t="s">
        <v>18</v>
      </c>
      <c r="D340" s="30" t="s">
        <v>896</v>
      </c>
      <c r="E340" s="41">
        <v>8.57</v>
      </c>
      <c r="F340" s="33">
        <v>0.0</v>
      </c>
      <c r="G340" s="30" t="str">
        <f t="shared" si="1"/>
        <v>PASS</v>
      </c>
      <c r="H340" s="49" t="s">
        <v>60</v>
      </c>
      <c r="I340" s="47" t="s">
        <v>27</v>
      </c>
      <c r="J340" s="43">
        <v>0.0</v>
      </c>
      <c r="K340" s="44" t="s">
        <v>237</v>
      </c>
      <c r="L340" s="45">
        <v>1.0</v>
      </c>
      <c r="M340" s="28">
        <f>IFERROR(__xludf.DUMMYFUNCTION("VLOOKUP(B340,IMPORTRANGE(""1CGZ0Bai7Upqd4o8ih3likiFIYVFcX2B2CZFasZGKRII"",""Refined according to Results!B:J""),9,FALSE)"),8.42)</f>
        <v>8.42</v>
      </c>
      <c r="Q340" s="45">
        <v>0.0</v>
      </c>
      <c r="R340" s="45"/>
      <c r="S340" s="45"/>
      <c r="T340" s="45"/>
    </row>
    <row r="341" ht="15.75" customHeight="1">
      <c r="A341" s="40">
        <v>340.0</v>
      </c>
      <c r="B341" s="30" t="s">
        <v>897</v>
      </c>
      <c r="C341" s="30" t="s">
        <v>18</v>
      </c>
      <c r="D341" s="30" t="s">
        <v>898</v>
      </c>
      <c r="E341" s="41">
        <v>8.97</v>
      </c>
      <c r="F341" s="33">
        <v>0.0</v>
      </c>
      <c r="G341" s="30" t="str">
        <f t="shared" si="1"/>
        <v>PASS</v>
      </c>
      <c r="H341" s="46" t="s">
        <v>46</v>
      </c>
      <c r="I341" s="47" t="s">
        <v>27</v>
      </c>
      <c r="J341" s="43" t="s">
        <v>813</v>
      </c>
      <c r="K341" s="48" t="s">
        <v>62</v>
      </c>
      <c r="L341" s="28">
        <v>2.0</v>
      </c>
      <c r="M341" s="28">
        <f>IFERROR(__xludf.DUMMYFUNCTION("VLOOKUP(B341,IMPORTRANGE(""1CGZ0Bai7Upqd4o8ih3likiFIYVFcX2B2CZFasZGKRII"",""Refined according to Results!B:J""),9,FALSE)"),8.76)</f>
        <v>8.76</v>
      </c>
      <c r="Q341" s="45" t="s">
        <v>52</v>
      </c>
      <c r="R341" s="45" t="s">
        <v>48</v>
      </c>
      <c r="S341" s="45"/>
      <c r="T341" s="45"/>
    </row>
    <row r="342" ht="15.75" customHeight="1">
      <c r="A342" s="40">
        <v>341.0</v>
      </c>
      <c r="B342" s="30" t="s">
        <v>899</v>
      </c>
      <c r="C342" s="30" t="s">
        <v>18</v>
      </c>
      <c r="D342" s="30" t="s">
        <v>900</v>
      </c>
      <c r="E342" s="50"/>
      <c r="F342" s="33">
        <v>7.0</v>
      </c>
      <c r="G342" s="30" t="str">
        <f t="shared" si="1"/>
        <v>FAIL</v>
      </c>
      <c r="H342" s="49" t="s">
        <v>46</v>
      </c>
      <c r="I342" s="47" t="s">
        <v>27</v>
      </c>
      <c r="J342" s="43">
        <v>0.0</v>
      </c>
      <c r="K342" s="52"/>
      <c r="L342" s="28">
        <v>0.0</v>
      </c>
      <c r="M342" s="28" t="str">
        <f>IFERROR(__xludf.DUMMYFUNCTION("VLOOKUP(B342,IMPORTRANGE(""1CGZ0Bai7Upqd4o8ih3likiFIYVFcX2B2CZFasZGKRII"",""Refined according to Results!B:J""),9,FALSE)"),"")</f>
        <v/>
      </c>
      <c r="Q342" s="45">
        <v>0.0</v>
      </c>
      <c r="R342" s="45"/>
      <c r="S342" s="45"/>
      <c r="T342" s="45"/>
    </row>
    <row r="343" ht="15.75" customHeight="1">
      <c r="A343" s="40">
        <v>342.0</v>
      </c>
      <c r="B343" s="30" t="s">
        <v>901</v>
      </c>
      <c r="C343" s="30" t="s">
        <v>18</v>
      </c>
      <c r="D343" s="30" t="s">
        <v>902</v>
      </c>
      <c r="E343" s="41">
        <v>8.95</v>
      </c>
      <c r="F343" s="33">
        <v>0.0</v>
      </c>
      <c r="G343" s="30" t="str">
        <f t="shared" si="1"/>
        <v>PASS</v>
      </c>
      <c r="H343" s="46" t="s">
        <v>60</v>
      </c>
      <c r="I343" s="47" t="s">
        <v>27</v>
      </c>
      <c r="J343" s="43">
        <v>0.0</v>
      </c>
      <c r="K343" s="48" t="s">
        <v>296</v>
      </c>
      <c r="L343" s="45">
        <v>3.0</v>
      </c>
      <c r="M343" s="28">
        <f>IFERROR(__xludf.DUMMYFUNCTION("VLOOKUP(B343,IMPORTRANGE(""1CGZ0Bai7Upqd4o8ih3likiFIYVFcX2B2CZFasZGKRII"",""Refined according to Results!B:J""),9,FALSE)"),8.88)</f>
        <v>8.88</v>
      </c>
      <c r="Q343" s="45" t="s">
        <v>52</v>
      </c>
      <c r="R343" s="45" t="s">
        <v>63</v>
      </c>
      <c r="S343" s="45"/>
      <c r="T343" s="45"/>
    </row>
    <row r="344" ht="15.75" customHeight="1">
      <c r="A344" s="40">
        <v>343.0</v>
      </c>
      <c r="B344" s="30" t="s">
        <v>903</v>
      </c>
      <c r="C344" s="30" t="s">
        <v>18</v>
      </c>
      <c r="D344" s="30" t="s">
        <v>904</v>
      </c>
      <c r="E344" s="41">
        <v>8.22</v>
      </c>
      <c r="F344" s="33">
        <v>0.0</v>
      </c>
      <c r="G344" s="30" t="str">
        <f t="shared" si="1"/>
        <v>PASS</v>
      </c>
      <c r="H344" s="49" t="s">
        <v>46</v>
      </c>
      <c r="I344" s="47" t="s">
        <v>27</v>
      </c>
      <c r="J344" s="43">
        <v>0.0</v>
      </c>
      <c r="K344" s="44" t="s">
        <v>255</v>
      </c>
      <c r="L344" s="45">
        <v>1.0</v>
      </c>
      <c r="M344" s="28">
        <f>IFERROR(__xludf.DUMMYFUNCTION("VLOOKUP(B344,IMPORTRANGE(""1CGZ0Bai7Upqd4o8ih3likiFIYVFcX2B2CZFasZGKRII"",""Refined according to Results!B:J""),9,FALSE)"),7.51)</f>
        <v>7.51</v>
      </c>
      <c r="Q344" s="45">
        <v>0.0</v>
      </c>
      <c r="R344" s="45"/>
      <c r="S344" s="45"/>
      <c r="T344" s="45"/>
    </row>
    <row r="345" ht="15.75" customHeight="1">
      <c r="A345" s="40">
        <v>344.0</v>
      </c>
      <c r="B345" s="30" t="s">
        <v>905</v>
      </c>
      <c r="C345" s="30" t="s">
        <v>18</v>
      </c>
      <c r="D345" s="30" t="s">
        <v>906</v>
      </c>
      <c r="E345" s="41">
        <v>8.49</v>
      </c>
      <c r="F345" s="33">
        <v>0.0</v>
      </c>
      <c r="G345" s="30" t="str">
        <f t="shared" si="1"/>
        <v>PASS</v>
      </c>
      <c r="H345" s="46" t="s">
        <v>46</v>
      </c>
      <c r="I345" s="47" t="s">
        <v>27</v>
      </c>
      <c r="J345" s="43">
        <v>0.0</v>
      </c>
      <c r="K345" s="51"/>
      <c r="L345" s="28">
        <v>0.0</v>
      </c>
      <c r="M345" s="28">
        <f>IFERROR(__xludf.DUMMYFUNCTION("VLOOKUP(B345,IMPORTRANGE(""1CGZ0Bai7Upqd4o8ih3likiFIYVFcX2B2CZFasZGKRII"",""Refined according to Results!B:J""),9,FALSE)"),8.0)</f>
        <v>8</v>
      </c>
      <c r="Q345" s="45">
        <v>0.0</v>
      </c>
      <c r="R345" s="45"/>
      <c r="S345" s="45"/>
      <c r="T345" s="45"/>
    </row>
    <row r="346" ht="15.75" customHeight="1">
      <c r="A346" s="40">
        <v>345.0</v>
      </c>
      <c r="B346" s="30" t="s">
        <v>907</v>
      </c>
      <c r="C346" s="30" t="s">
        <v>18</v>
      </c>
      <c r="D346" s="30" t="s">
        <v>908</v>
      </c>
      <c r="E346" s="41">
        <v>8.53</v>
      </c>
      <c r="F346" s="33">
        <v>0.0</v>
      </c>
      <c r="G346" s="30" t="str">
        <f t="shared" si="1"/>
        <v>PASS</v>
      </c>
      <c r="H346" s="49" t="s">
        <v>60</v>
      </c>
      <c r="I346" s="47" t="s">
        <v>27</v>
      </c>
      <c r="J346" s="43">
        <v>0.0</v>
      </c>
      <c r="K346" s="44" t="s">
        <v>546</v>
      </c>
      <c r="L346" s="45">
        <v>2.0</v>
      </c>
      <c r="M346" s="28">
        <f>IFERROR(__xludf.DUMMYFUNCTION("VLOOKUP(B346,IMPORTRANGE(""1CGZ0Bai7Upqd4o8ih3likiFIYVFcX2B2CZFasZGKRII"",""Refined according to Results!B:J""),9,FALSE)"),8.17)</f>
        <v>8.17</v>
      </c>
      <c r="Q346" s="45" t="s">
        <v>52</v>
      </c>
      <c r="R346" s="45" t="s">
        <v>79</v>
      </c>
      <c r="S346" s="45"/>
      <c r="T346" s="45"/>
    </row>
    <row r="347" ht="15.75" customHeight="1">
      <c r="A347" s="40">
        <v>346.0</v>
      </c>
      <c r="B347" s="30" t="s">
        <v>909</v>
      </c>
      <c r="C347" s="30" t="s">
        <v>18</v>
      </c>
      <c r="D347" s="30" t="s">
        <v>910</v>
      </c>
      <c r="E347" s="41">
        <v>9.3</v>
      </c>
      <c r="F347" s="33">
        <v>0.0</v>
      </c>
      <c r="G347" s="30" t="str">
        <f t="shared" si="1"/>
        <v>PASS</v>
      </c>
      <c r="H347" s="46" t="s">
        <v>60</v>
      </c>
      <c r="I347" s="47" t="s">
        <v>27</v>
      </c>
      <c r="J347" s="43">
        <v>0.0</v>
      </c>
      <c r="K347" s="48" t="s">
        <v>57</v>
      </c>
      <c r="L347" s="28">
        <v>1.0</v>
      </c>
      <c r="M347" s="28">
        <f>IFERROR(__xludf.DUMMYFUNCTION("VLOOKUP(B347,IMPORTRANGE(""1CGZ0Bai7Upqd4o8ih3likiFIYVFcX2B2CZFasZGKRII"",""Refined according to Results!B:J""),9,FALSE)"),9.59)</f>
        <v>9.59</v>
      </c>
      <c r="Q347" s="45" t="s">
        <v>57</v>
      </c>
      <c r="R347" s="45"/>
      <c r="S347" s="45"/>
      <c r="T347" s="45"/>
    </row>
    <row r="348" ht="15.75" customHeight="1">
      <c r="A348" s="40">
        <v>347.0</v>
      </c>
      <c r="B348" s="30" t="s">
        <v>911</v>
      </c>
      <c r="C348" s="30" t="s">
        <v>18</v>
      </c>
      <c r="D348" s="30" t="s">
        <v>912</v>
      </c>
      <c r="E348" s="41">
        <v>7.51</v>
      </c>
      <c r="F348" s="33">
        <v>0.0</v>
      </c>
      <c r="G348" s="30" t="str">
        <f t="shared" si="1"/>
        <v>PASS</v>
      </c>
      <c r="H348" s="49" t="s">
        <v>46</v>
      </c>
      <c r="I348" s="47" t="s">
        <v>27</v>
      </c>
      <c r="J348" s="43" t="s">
        <v>365</v>
      </c>
      <c r="K348" s="44" t="s">
        <v>440</v>
      </c>
      <c r="L348" s="45">
        <v>1.0</v>
      </c>
      <c r="M348" s="28">
        <f>IFERROR(__xludf.DUMMYFUNCTION("VLOOKUP(B348,IMPORTRANGE(""1CGZ0Bai7Upqd4o8ih3likiFIYVFcX2B2CZFasZGKRII"",""Refined according to Results!B:J""),9,FALSE)"),6.96)</f>
        <v>6.96</v>
      </c>
      <c r="Q348" s="45">
        <v>0.0</v>
      </c>
      <c r="R348" s="45"/>
      <c r="S348" s="45"/>
      <c r="T348" s="45"/>
    </row>
    <row r="349" ht="15.75" customHeight="1">
      <c r="A349" s="40">
        <v>348.0</v>
      </c>
      <c r="B349" s="30" t="s">
        <v>913</v>
      </c>
      <c r="C349" s="30" t="s">
        <v>18</v>
      </c>
      <c r="D349" s="30" t="s">
        <v>914</v>
      </c>
      <c r="E349" s="41">
        <v>8.1</v>
      </c>
      <c r="F349" s="33">
        <v>0.0</v>
      </c>
      <c r="G349" s="30" t="str">
        <f t="shared" si="1"/>
        <v>PASS</v>
      </c>
      <c r="H349" s="46" t="s">
        <v>60</v>
      </c>
      <c r="I349" s="47" t="s">
        <v>27</v>
      </c>
      <c r="J349" s="43">
        <v>0.0</v>
      </c>
      <c r="K349" s="48" t="s">
        <v>915</v>
      </c>
      <c r="L349" s="45">
        <v>2.0</v>
      </c>
      <c r="M349" s="28">
        <f>IFERROR(__xludf.DUMMYFUNCTION("VLOOKUP(B349,IMPORTRANGE(""1CGZ0Bai7Upqd4o8ih3likiFIYVFcX2B2CZFasZGKRII"",""Refined according to Results!B:J""),9,FALSE)"),8.01)</f>
        <v>8.01</v>
      </c>
      <c r="Q349" s="45" t="s">
        <v>52</v>
      </c>
      <c r="R349" s="45"/>
      <c r="S349" s="45"/>
      <c r="T349" s="45"/>
    </row>
    <row r="350" ht="15.75" customHeight="1">
      <c r="A350" s="40">
        <v>349.0</v>
      </c>
      <c r="B350" s="30" t="s">
        <v>916</v>
      </c>
      <c r="C350" s="30" t="s">
        <v>18</v>
      </c>
      <c r="D350" s="30" t="s">
        <v>917</v>
      </c>
      <c r="E350" s="41">
        <v>8.04</v>
      </c>
      <c r="F350" s="33">
        <v>0.0</v>
      </c>
      <c r="G350" s="30" t="str">
        <f t="shared" si="1"/>
        <v>PASS</v>
      </c>
      <c r="H350" s="49" t="s">
        <v>60</v>
      </c>
      <c r="I350" s="47" t="s">
        <v>27</v>
      </c>
      <c r="J350" s="43">
        <v>0.0</v>
      </c>
      <c r="K350" s="44" t="s">
        <v>918</v>
      </c>
      <c r="L350" s="45">
        <v>1.0</v>
      </c>
      <c r="M350" s="28">
        <f>IFERROR(__xludf.DUMMYFUNCTION("VLOOKUP(B350,IMPORTRANGE(""1CGZ0Bai7Upqd4o8ih3likiFIYVFcX2B2CZFasZGKRII"",""Refined according to Results!B:J""),9,FALSE)"),7.64)</f>
        <v>7.64</v>
      </c>
      <c r="Q350" s="45">
        <v>0.0</v>
      </c>
      <c r="R350" s="45"/>
      <c r="S350" s="45"/>
      <c r="T350" s="45"/>
    </row>
    <row r="351" ht="15.75" customHeight="1">
      <c r="A351" s="40">
        <v>350.0</v>
      </c>
      <c r="B351" s="30" t="s">
        <v>919</v>
      </c>
      <c r="C351" s="30" t="s">
        <v>18</v>
      </c>
      <c r="D351" s="30" t="s">
        <v>920</v>
      </c>
      <c r="E351" s="50"/>
      <c r="F351" s="33">
        <v>1.0</v>
      </c>
      <c r="G351" s="30" t="str">
        <f t="shared" si="1"/>
        <v>FAIL</v>
      </c>
      <c r="H351" s="46" t="s">
        <v>46</v>
      </c>
      <c r="I351" s="47" t="s">
        <v>27</v>
      </c>
      <c r="J351" s="43">
        <v>0.0</v>
      </c>
      <c r="K351" s="51"/>
      <c r="L351" s="28">
        <v>0.0</v>
      </c>
      <c r="M351" s="28" t="str">
        <f>IFERROR(__xludf.DUMMYFUNCTION("VLOOKUP(B351,IMPORTRANGE(""1CGZ0Bai7Upqd4o8ih3likiFIYVFcX2B2CZFasZGKRII"",""Refined according to Results!B:J""),9,FALSE)"),"")</f>
        <v/>
      </c>
      <c r="Q351" s="45">
        <v>0.0</v>
      </c>
      <c r="R351" s="45"/>
      <c r="S351" s="45"/>
      <c r="T351" s="45"/>
    </row>
    <row r="352" ht="15.75" customHeight="1">
      <c r="A352" s="40">
        <v>351.0</v>
      </c>
      <c r="B352" s="30" t="s">
        <v>921</v>
      </c>
      <c r="C352" s="30" t="s">
        <v>18</v>
      </c>
      <c r="D352" s="30" t="s">
        <v>922</v>
      </c>
      <c r="E352" s="41">
        <v>7.55</v>
      </c>
      <c r="F352" s="33">
        <v>0.0</v>
      </c>
      <c r="G352" s="30" t="str">
        <f t="shared" si="1"/>
        <v>PASS</v>
      </c>
      <c r="H352" s="49" t="s">
        <v>46</v>
      </c>
      <c r="I352" s="47" t="s">
        <v>27</v>
      </c>
      <c r="J352" s="43">
        <v>0.0</v>
      </c>
      <c r="K352" s="52"/>
      <c r="L352" s="28">
        <v>0.0</v>
      </c>
      <c r="M352" s="28" t="str">
        <f>IFERROR(__xludf.DUMMYFUNCTION("VLOOKUP(B352,IMPORTRANGE(""1CGZ0Bai7Upqd4o8ih3likiFIYVFcX2B2CZFasZGKRII"",""Refined according to Results!B:J""),9,FALSE)"),"#N/A")</f>
        <v>#N/A</v>
      </c>
      <c r="Q352" s="45">
        <v>0.0</v>
      </c>
      <c r="R352" s="45"/>
      <c r="S352" s="45"/>
      <c r="T352" s="45"/>
    </row>
    <row r="353" ht="15.75" customHeight="1">
      <c r="A353" s="40">
        <v>352.0</v>
      </c>
      <c r="B353" s="30" t="s">
        <v>923</v>
      </c>
      <c r="C353" s="30" t="s">
        <v>18</v>
      </c>
      <c r="D353" s="30" t="s">
        <v>924</v>
      </c>
      <c r="E353" s="41">
        <v>7.92</v>
      </c>
      <c r="F353" s="33">
        <v>0.0</v>
      </c>
      <c r="G353" s="30" t="str">
        <f t="shared" si="1"/>
        <v>PASS</v>
      </c>
      <c r="H353" s="46" t="s">
        <v>46</v>
      </c>
      <c r="I353" s="47" t="s">
        <v>27</v>
      </c>
      <c r="J353" s="43">
        <v>0.0</v>
      </c>
      <c r="K353" s="48" t="s">
        <v>90</v>
      </c>
      <c r="L353" s="45">
        <v>1.0</v>
      </c>
      <c r="M353" s="28" t="str">
        <f>IFERROR(__xludf.DUMMYFUNCTION("VLOOKUP(B353,IMPORTRANGE(""1CGZ0Bai7Upqd4o8ih3likiFIYVFcX2B2CZFasZGKRII"",""Refined according to Results!B:J""),9,FALSE)"),"#N/A")</f>
        <v>#N/A</v>
      </c>
      <c r="Q353" s="45">
        <v>0.0</v>
      </c>
      <c r="R353" s="45"/>
      <c r="S353" s="45"/>
      <c r="T353" s="45"/>
    </row>
    <row r="354" ht="15.75" customHeight="1">
      <c r="A354" s="40">
        <v>353.0</v>
      </c>
      <c r="B354" s="30" t="s">
        <v>925</v>
      </c>
      <c r="C354" s="30" t="s">
        <v>18</v>
      </c>
      <c r="D354" s="30" t="s">
        <v>926</v>
      </c>
      <c r="E354" s="41">
        <v>7.6</v>
      </c>
      <c r="F354" s="33">
        <v>0.0</v>
      </c>
      <c r="G354" s="30" t="str">
        <f t="shared" si="1"/>
        <v>PASS</v>
      </c>
      <c r="H354" s="49" t="s">
        <v>60</v>
      </c>
      <c r="I354" s="47" t="s">
        <v>27</v>
      </c>
      <c r="J354" s="43">
        <v>0.0</v>
      </c>
      <c r="K354" s="52"/>
      <c r="L354" s="28">
        <v>0.0</v>
      </c>
      <c r="M354" s="28" t="str">
        <f>IFERROR(__xludf.DUMMYFUNCTION("VLOOKUP(B354,IMPORTRANGE(""1CGZ0Bai7Upqd4o8ih3likiFIYVFcX2B2CZFasZGKRII"",""Refined according to Results!B:J""),9,FALSE)"),"#N/A")</f>
        <v>#N/A</v>
      </c>
      <c r="Q354" s="45">
        <v>0.0</v>
      </c>
      <c r="R354" s="45"/>
      <c r="S354" s="45"/>
      <c r="T354" s="45"/>
    </row>
    <row r="355" ht="15.75" customHeight="1">
      <c r="A355" s="40">
        <v>354.0</v>
      </c>
      <c r="B355" s="30" t="s">
        <v>927</v>
      </c>
      <c r="C355" s="30" t="s">
        <v>18</v>
      </c>
      <c r="D355" s="30" t="s">
        <v>928</v>
      </c>
      <c r="E355" s="41">
        <v>7.52</v>
      </c>
      <c r="F355" s="33">
        <v>0.0</v>
      </c>
      <c r="G355" s="30" t="str">
        <f t="shared" si="1"/>
        <v>PASS</v>
      </c>
      <c r="H355" s="46" t="s">
        <v>60</v>
      </c>
      <c r="I355" s="47" t="s">
        <v>27</v>
      </c>
      <c r="J355" s="43">
        <v>0.0</v>
      </c>
      <c r="K355" s="48" t="s">
        <v>929</v>
      </c>
      <c r="L355" s="45">
        <v>1.0</v>
      </c>
      <c r="M355" s="28" t="str">
        <f>IFERROR(__xludf.DUMMYFUNCTION("VLOOKUP(B355,IMPORTRANGE(""1CGZ0Bai7Upqd4o8ih3likiFIYVFcX2B2CZFasZGKRII"",""Refined according to Results!B:J""),9,FALSE)"),"#N/A")</f>
        <v>#N/A</v>
      </c>
      <c r="Q355" s="45">
        <v>0.0</v>
      </c>
      <c r="R355" s="45"/>
      <c r="S355" s="45"/>
      <c r="T355" s="45"/>
    </row>
    <row r="356" ht="15.75" customHeight="1">
      <c r="A356" s="40">
        <v>355.0</v>
      </c>
      <c r="B356" s="30" t="s">
        <v>930</v>
      </c>
      <c r="C356" s="30" t="s">
        <v>18</v>
      </c>
      <c r="D356" s="30" t="s">
        <v>931</v>
      </c>
      <c r="E356" s="41">
        <v>8.49</v>
      </c>
      <c r="F356" s="33">
        <v>0.0</v>
      </c>
      <c r="G356" s="30" t="str">
        <f t="shared" si="1"/>
        <v>PASS</v>
      </c>
      <c r="H356" s="49" t="s">
        <v>60</v>
      </c>
      <c r="I356" s="47" t="s">
        <v>27</v>
      </c>
      <c r="J356" s="43">
        <v>0.0</v>
      </c>
      <c r="K356" s="52"/>
      <c r="L356" s="28">
        <v>0.0</v>
      </c>
      <c r="M356" s="28" t="str">
        <f>IFERROR(__xludf.DUMMYFUNCTION("VLOOKUP(B356,IMPORTRANGE(""1CGZ0Bai7Upqd4o8ih3likiFIYVFcX2B2CZFasZGKRII"",""Refined according to Results!B:J""),9,FALSE)"),"#N/A")</f>
        <v>#N/A</v>
      </c>
      <c r="Q356" s="45">
        <v>0.0</v>
      </c>
      <c r="R356" s="45"/>
      <c r="S356" s="45"/>
      <c r="T356" s="45"/>
    </row>
    <row r="357" ht="15.75" customHeight="1">
      <c r="A357" s="40">
        <v>356.0</v>
      </c>
      <c r="B357" s="30" t="s">
        <v>932</v>
      </c>
      <c r="C357" s="30" t="s">
        <v>18</v>
      </c>
      <c r="D357" s="30" t="s">
        <v>933</v>
      </c>
      <c r="E357" s="41">
        <v>8.26</v>
      </c>
      <c r="F357" s="33">
        <v>0.0</v>
      </c>
      <c r="G357" s="30" t="str">
        <f t="shared" si="1"/>
        <v>PASS</v>
      </c>
      <c r="H357" s="46" t="s">
        <v>46</v>
      </c>
      <c r="I357" s="47" t="s">
        <v>27</v>
      </c>
      <c r="J357" s="43">
        <v>0.0</v>
      </c>
      <c r="K357" s="48" t="s">
        <v>125</v>
      </c>
      <c r="L357" s="45">
        <v>2.0</v>
      </c>
      <c r="M357" s="28" t="str">
        <f>IFERROR(__xludf.DUMMYFUNCTION("VLOOKUP(B357,IMPORTRANGE(""1CGZ0Bai7Upqd4o8ih3likiFIYVFcX2B2CZFasZGKRII"",""Refined according to Results!B:J""),9,FALSE)"),"#N/A")</f>
        <v>#N/A</v>
      </c>
      <c r="Q357" s="45" t="s">
        <v>52</v>
      </c>
      <c r="R357" s="45"/>
      <c r="S357" s="45"/>
      <c r="T357" s="45"/>
    </row>
    <row r="358" ht="15.75" customHeight="1">
      <c r="A358" s="40">
        <v>357.0</v>
      </c>
      <c r="B358" s="30" t="s">
        <v>934</v>
      </c>
      <c r="C358" s="30" t="s">
        <v>18</v>
      </c>
      <c r="D358" s="30" t="s">
        <v>935</v>
      </c>
      <c r="E358" s="41">
        <v>8.52</v>
      </c>
      <c r="F358" s="33">
        <v>0.0</v>
      </c>
      <c r="G358" s="30" t="str">
        <f t="shared" si="1"/>
        <v>PASS</v>
      </c>
      <c r="H358" s="49" t="s">
        <v>46</v>
      </c>
      <c r="I358" s="47" t="s">
        <v>936</v>
      </c>
      <c r="J358" s="43">
        <v>0.0</v>
      </c>
      <c r="K358" s="44" t="s">
        <v>937</v>
      </c>
      <c r="L358" s="45">
        <v>4.0</v>
      </c>
      <c r="M358" s="28" t="str">
        <f>IFERROR(__xludf.DUMMYFUNCTION("VLOOKUP(B358,IMPORTRANGE(""1CGZ0Bai7Upqd4o8ih3likiFIYVFcX2B2CZFasZGKRII"",""Refined according to Results!B:J""),9,FALSE)"),"#N/A")</f>
        <v>#N/A</v>
      </c>
      <c r="Q358" s="45" t="s">
        <v>52</v>
      </c>
      <c r="R358" s="45" t="s">
        <v>63</v>
      </c>
      <c r="S358" s="45"/>
      <c r="T358" s="45"/>
    </row>
    <row r="359" ht="15.75" customHeight="1">
      <c r="B359" s="37"/>
      <c r="C359" s="37"/>
      <c r="D359" s="37"/>
      <c r="L359" s="69">
        <f>SUM(L2:L358)</f>
        <v>504</v>
      </c>
    </row>
    <row r="360" ht="15.75" customHeight="1">
      <c r="B360" s="37"/>
      <c r="C360" s="37"/>
      <c r="D360" s="37"/>
    </row>
    <row r="361" ht="15.75" customHeight="1">
      <c r="B361" s="37"/>
      <c r="C361" s="37"/>
      <c r="D361" s="37"/>
    </row>
    <row r="362" ht="15.75" customHeight="1">
      <c r="B362" s="37"/>
      <c r="C362" s="37"/>
      <c r="D362" s="37"/>
    </row>
    <row r="363" ht="15.75" customHeight="1">
      <c r="B363" s="37"/>
      <c r="C363" s="37"/>
      <c r="D363" s="37"/>
    </row>
    <row r="364" ht="15.75" customHeight="1">
      <c r="B364" s="37"/>
      <c r="C364" s="37"/>
      <c r="D364" s="37"/>
    </row>
    <row r="365" ht="15.75" customHeight="1">
      <c r="B365" s="37"/>
      <c r="C365" s="37"/>
      <c r="D365" s="37"/>
    </row>
    <row r="366" ht="15.75" customHeight="1">
      <c r="B366" s="37"/>
      <c r="C366" s="37"/>
      <c r="D366" s="37"/>
    </row>
    <row r="367" ht="15.75" customHeight="1">
      <c r="B367" s="37"/>
      <c r="C367" s="37"/>
      <c r="D367" s="37"/>
    </row>
    <row r="368" ht="15.75" customHeight="1">
      <c r="B368" s="37"/>
      <c r="C368" s="37"/>
      <c r="D368" s="37"/>
    </row>
    <row r="369" ht="15.75" customHeight="1">
      <c r="B369" s="37"/>
      <c r="C369" s="37"/>
      <c r="D369" s="37"/>
    </row>
    <row r="370" ht="15.75" customHeight="1">
      <c r="B370" s="37"/>
      <c r="C370" s="37"/>
      <c r="D370" s="37"/>
    </row>
    <row r="371" ht="15.75" customHeight="1">
      <c r="B371" s="37"/>
      <c r="C371" s="37"/>
      <c r="D371" s="37"/>
    </row>
    <row r="372" ht="15.75" customHeight="1">
      <c r="B372" s="37"/>
      <c r="C372" s="37"/>
      <c r="D372" s="37"/>
    </row>
    <row r="373" ht="15.75" customHeight="1">
      <c r="B373" s="37"/>
      <c r="C373" s="37"/>
      <c r="D373" s="37"/>
    </row>
    <row r="374" ht="15.75" customHeight="1">
      <c r="B374" s="37"/>
      <c r="C374" s="37"/>
      <c r="D374" s="37"/>
    </row>
    <row r="375" ht="15.75" customHeight="1">
      <c r="B375" s="37"/>
      <c r="C375" s="37"/>
      <c r="D375" s="37"/>
    </row>
    <row r="376" ht="15.75" customHeight="1">
      <c r="B376" s="37"/>
      <c r="C376" s="37"/>
      <c r="D376" s="37"/>
    </row>
    <row r="377" ht="15.75" customHeight="1">
      <c r="B377" s="37"/>
      <c r="C377" s="37"/>
      <c r="D377" s="37"/>
    </row>
    <row r="378" ht="15.75" customHeight="1">
      <c r="B378" s="37"/>
      <c r="C378" s="37"/>
      <c r="D378" s="37"/>
    </row>
    <row r="379" ht="15.75" customHeight="1">
      <c r="B379" s="37"/>
      <c r="C379" s="37"/>
      <c r="D379" s="37"/>
    </row>
    <row r="380" ht="15.75" customHeight="1">
      <c r="B380" s="37"/>
      <c r="C380" s="37"/>
      <c r="D380" s="37"/>
    </row>
    <row r="381" ht="15.75" customHeight="1">
      <c r="B381" s="37"/>
      <c r="C381" s="37"/>
      <c r="D381" s="37"/>
    </row>
    <row r="382" ht="15.75" customHeight="1">
      <c r="B382" s="37"/>
      <c r="C382" s="37"/>
      <c r="D382" s="37"/>
    </row>
    <row r="383" ht="15.75" customHeight="1">
      <c r="B383" s="37"/>
      <c r="C383" s="37"/>
      <c r="D383" s="37"/>
    </row>
    <row r="384" ht="15.75" customHeight="1">
      <c r="B384" s="37"/>
      <c r="C384" s="37"/>
      <c r="D384" s="37"/>
    </row>
    <row r="385" ht="15.75" customHeight="1">
      <c r="B385" s="37"/>
      <c r="C385" s="37"/>
      <c r="D385" s="37"/>
    </row>
    <row r="386" ht="15.75" customHeight="1">
      <c r="B386" s="37"/>
      <c r="C386" s="37"/>
      <c r="D386" s="37"/>
    </row>
    <row r="387" ht="15.75" customHeight="1">
      <c r="B387" s="37"/>
      <c r="C387" s="37"/>
      <c r="D387" s="37"/>
    </row>
    <row r="388" ht="15.75" customHeight="1">
      <c r="B388" s="37"/>
      <c r="C388" s="37"/>
      <c r="D388" s="37"/>
    </row>
    <row r="389" ht="15.75" customHeight="1">
      <c r="B389" s="37"/>
      <c r="C389" s="37"/>
      <c r="D389" s="37"/>
    </row>
    <row r="390" ht="15.75" customHeight="1">
      <c r="B390" s="37"/>
      <c r="C390" s="37"/>
      <c r="D390" s="37"/>
    </row>
    <row r="391" ht="15.75" customHeight="1">
      <c r="B391" s="37"/>
      <c r="C391" s="37"/>
      <c r="D391" s="37"/>
    </row>
    <row r="392" ht="15.75" customHeight="1">
      <c r="B392" s="37"/>
      <c r="C392" s="37"/>
      <c r="D392" s="37"/>
    </row>
    <row r="393" ht="15.75" customHeight="1">
      <c r="B393" s="37"/>
      <c r="C393" s="37"/>
      <c r="D393" s="37"/>
    </row>
    <row r="394" ht="15.75" customHeight="1">
      <c r="B394" s="37"/>
      <c r="C394" s="37"/>
      <c r="D394" s="37"/>
    </row>
    <row r="395" ht="15.75" customHeight="1">
      <c r="B395" s="37"/>
      <c r="C395" s="37"/>
      <c r="D395" s="37"/>
    </row>
    <row r="396" ht="15.75" customHeight="1">
      <c r="B396" s="37"/>
      <c r="C396" s="37"/>
      <c r="D396" s="37"/>
    </row>
    <row r="397" ht="15.75" customHeight="1">
      <c r="B397" s="37"/>
      <c r="C397" s="37"/>
      <c r="D397" s="37"/>
    </row>
    <row r="398" ht="15.75" customHeight="1">
      <c r="B398" s="37"/>
      <c r="C398" s="37"/>
      <c r="D398" s="37"/>
    </row>
    <row r="399" ht="15.75" customHeight="1">
      <c r="B399" s="37"/>
      <c r="C399" s="37"/>
      <c r="D399" s="37"/>
    </row>
    <row r="400" ht="15.75" customHeight="1">
      <c r="B400" s="37"/>
      <c r="C400" s="37"/>
      <c r="D400" s="37"/>
    </row>
    <row r="401" ht="15.75" customHeight="1">
      <c r="B401" s="37"/>
      <c r="C401" s="37"/>
      <c r="D401" s="37"/>
    </row>
    <row r="402" ht="15.75" customHeight="1">
      <c r="B402" s="37"/>
      <c r="C402" s="37"/>
      <c r="D402" s="37"/>
    </row>
    <row r="403" ht="15.75" customHeight="1">
      <c r="B403" s="37"/>
      <c r="C403" s="37"/>
      <c r="D403" s="37"/>
    </row>
    <row r="404" ht="15.75" customHeight="1">
      <c r="B404" s="37"/>
      <c r="C404" s="37"/>
      <c r="D404" s="37"/>
    </row>
    <row r="405" ht="15.75" customHeight="1">
      <c r="B405" s="37"/>
      <c r="C405" s="37"/>
      <c r="D405" s="37"/>
    </row>
    <row r="406" ht="15.75" customHeight="1">
      <c r="B406" s="37"/>
      <c r="C406" s="37"/>
      <c r="D406" s="37"/>
    </row>
    <row r="407" ht="15.75" customHeight="1">
      <c r="B407" s="37"/>
      <c r="C407" s="37"/>
      <c r="D407" s="37"/>
    </row>
    <row r="408" ht="15.75" customHeight="1">
      <c r="B408" s="37"/>
      <c r="C408" s="37"/>
      <c r="D408" s="37"/>
    </row>
    <row r="409" ht="15.75" customHeight="1">
      <c r="B409" s="37"/>
      <c r="C409" s="37"/>
      <c r="D409" s="37"/>
    </row>
    <row r="410" ht="15.75" customHeight="1">
      <c r="B410" s="37"/>
      <c r="C410" s="37"/>
      <c r="D410" s="37"/>
    </row>
    <row r="411" ht="15.75" customHeight="1">
      <c r="B411" s="37"/>
      <c r="C411" s="37"/>
      <c r="D411" s="37"/>
    </row>
    <row r="412" ht="15.75" customHeight="1">
      <c r="B412" s="37"/>
      <c r="C412" s="37"/>
      <c r="D412" s="37"/>
    </row>
    <row r="413" ht="15.75" customHeight="1">
      <c r="B413" s="37"/>
      <c r="C413" s="37"/>
      <c r="D413" s="37"/>
    </row>
    <row r="414" ht="15.75" customHeight="1">
      <c r="B414" s="37"/>
      <c r="C414" s="37"/>
      <c r="D414" s="37"/>
    </row>
    <row r="415" ht="15.75" customHeight="1">
      <c r="B415" s="37"/>
      <c r="C415" s="37"/>
      <c r="D415" s="37"/>
    </row>
    <row r="416" ht="15.75" customHeight="1">
      <c r="B416" s="37"/>
      <c r="C416" s="37"/>
      <c r="D416" s="37"/>
    </row>
    <row r="417" ht="15.75" customHeight="1">
      <c r="B417" s="37"/>
      <c r="C417" s="37"/>
      <c r="D417" s="37"/>
    </row>
    <row r="418" ht="15.75" customHeight="1">
      <c r="B418" s="37"/>
      <c r="C418" s="37"/>
      <c r="D418" s="37"/>
    </row>
    <row r="419" ht="15.75" customHeight="1">
      <c r="B419" s="37"/>
      <c r="C419" s="37"/>
      <c r="D419" s="37"/>
    </row>
    <row r="420" ht="15.75" customHeight="1">
      <c r="B420" s="37"/>
      <c r="C420" s="37"/>
      <c r="D420" s="37"/>
    </row>
    <row r="421" ht="15.75" customHeight="1">
      <c r="B421" s="37"/>
      <c r="C421" s="37"/>
      <c r="D421" s="37"/>
    </row>
    <row r="422" ht="15.75" customHeight="1">
      <c r="B422" s="37"/>
      <c r="C422" s="37"/>
      <c r="D422" s="37"/>
    </row>
    <row r="423" ht="15.75" customHeight="1">
      <c r="B423" s="37"/>
      <c r="C423" s="37"/>
      <c r="D423" s="37"/>
    </row>
    <row r="424" ht="15.75" customHeight="1">
      <c r="B424" s="37"/>
      <c r="C424" s="37"/>
      <c r="D424" s="37"/>
    </row>
    <row r="425" ht="15.75" customHeight="1">
      <c r="B425" s="37"/>
      <c r="C425" s="37"/>
      <c r="D425" s="37"/>
    </row>
    <row r="426" ht="15.75" customHeight="1">
      <c r="B426" s="37"/>
      <c r="C426" s="37"/>
      <c r="D426" s="37"/>
    </row>
    <row r="427" ht="15.75" customHeight="1">
      <c r="B427" s="37"/>
      <c r="C427" s="37"/>
      <c r="D427" s="37"/>
    </row>
    <row r="428" ht="15.75" customHeight="1">
      <c r="B428" s="37"/>
      <c r="C428" s="37"/>
      <c r="D428" s="37"/>
    </row>
    <row r="429" ht="15.75" customHeight="1">
      <c r="B429" s="37"/>
      <c r="C429" s="37"/>
      <c r="D429" s="37"/>
    </row>
    <row r="430" ht="15.75" customHeight="1">
      <c r="B430" s="37"/>
      <c r="C430" s="37"/>
      <c r="D430" s="37"/>
    </row>
    <row r="431" ht="15.75" customHeight="1">
      <c r="B431" s="37"/>
      <c r="C431" s="37"/>
      <c r="D431" s="37"/>
    </row>
    <row r="432" ht="15.75" customHeight="1">
      <c r="B432" s="37"/>
      <c r="C432" s="37"/>
      <c r="D432" s="37"/>
    </row>
    <row r="433" ht="15.75" customHeight="1">
      <c r="B433" s="37"/>
      <c r="C433" s="37"/>
      <c r="D433" s="37"/>
    </row>
    <row r="434" ht="15.75" customHeight="1">
      <c r="B434" s="37"/>
      <c r="C434" s="37"/>
      <c r="D434" s="37"/>
    </row>
    <row r="435" ht="15.75" customHeight="1">
      <c r="B435" s="37"/>
      <c r="C435" s="37"/>
      <c r="D435" s="37"/>
    </row>
    <row r="436" ht="15.75" customHeight="1">
      <c r="B436" s="37"/>
      <c r="C436" s="37"/>
      <c r="D436" s="37"/>
    </row>
    <row r="437" ht="15.75" customHeight="1">
      <c r="B437" s="37"/>
      <c r="C437" s="37"/>
      <c r="D437" s="37"/>
    </row>
    <row r="438" ht="15.75" customHeight="1">
      <c r="B438" s="37"/>
      <c r="C438" s="37"/>
      <c r="D438" s="37"/>
    </row>
    <row r="439" ht="15.75" customHeight="1">
      <c r="B439" s="37"/>
      <c r="C439" s="37"/>
      <c r="D439" s="37"/>
    </row>
    <row r="440" ht="15.75" customHeight="1">
      <c r="B440" s="37"/>
      <c r="C440" s="37"/>
      <c r="D440" s="37"/>
    </row>
    <row r="441" ht="15.75" customHeight="1">
      <c r="B441" s="37"/>
      <c r="C441" s="37"/>
      <c r="D441" s="37"/>
    </row>
    <row r="442" ht="15.75" customHeight="1">
      <c r="B442" s="37"/>
      <c r="C442" s="37"/>
      <c r="D442" s="37"/>
    </row>
    <row r="443" ht="15.75" customHeight="1">
      <c r="B443" s="37"/>
      <c r="C443" s="37"/>
      <c r="D443" s="37"/>
    </row>
    <row r="444" ht="15.75" customHeight="1">
      <c r="B444" s="37"/>
      <c r="C444" s="37"/>
      <c r="D444" s="37"/>
    </row>
    <row r="445" ht="15.75" customHeight="1">
      <c r="B445" s="37"/>
      <c r="C445" s="37"/>
      <c r="D445" s="37"/>
    </row>
    <row r="446" ht="15.75" customHeight="1">
      <c r="B446" s="37"/>
      <c r="C446" s="37"/>
      <c r="D446" s="37"/>
    </row>
    <row r="447" ht="15.75" customHeight="1">
      <c r="B447" s="37"/>
      <c r="C447" s="37"/>
      <c r="D447" s="37"/>
    </row>
    <row r="448" ht="15.75" customHeight="1">
      <c r="B448" s="37"/>
      <c r="C448" s="37"/>
      <c r="D448" s="37"/>
    </row>
    <row r="449" ht="15.75" customHeight="1">
      <c r="B449" s="37"/>
      <c r="C449" s="37"/>
      <c r="D449" s="37"/>
    </row>
    <row r="450" ht="15.75" customHeight="1">
      <c r="B450" s="37"/>
      <c r="C450" s="37"/>
      <c r="D450" s="37"/>
    </row>
    <row r="451" ht="15.75" customHeight="1">
      <c r="B451" s="37"/>
      <c r="C451" s="37"/>
      <c r="D451" s="37"/>
    </row>
    <row r="452" ht="15.75" customHeight="1">
      <c r="B452" s="37"/>
      <c r="C452" s="37"/>
      <c r="D452" s="37"/>
    </row>
    <row r="453" ht="15.75" customHeight="1">
      <c r="B453" s="37"/>
      <c r="C453" s="37"/>
      <c r="D453" s="37"/>
    </row>
    <row r="454" ht="15.75" customHeight="1">
      <c r="B454" s="37"/>
      <c r="C454" s="37"/>
      <c r="D454" s="37"/>
    </row>
    <row r="455" ht="15.75" customHeight="1">
      <c r="B455" s="37"/>
      <c r="C455" s="37"/>
      <c r="D455" s="37"/>
    </row>
    <row r="456" ht="15.75" customHeight="1">
      <c r="B456" s="37"/>
      <c r="C456" s="37"/>
      <c r="D456" s="37"/>
    </row>
    <row r="457" ht="15.75" customHeight="1">
      <c r="B457" s="37"/>
      <c r="C457" s="37"/>
      <c r="D457" s="37"/>
    </row>
    <row r="458" ht="15.75" customHeight="1">
      <c r="B458" s="37"/>
      <c r="C458" s="37"/>
      <c r="D458" s="37"/>
    </row>
    <row r="459" ht="15.75" customHeight="1">
      <c r="B459" s="37"/>
      <c r="C459" s="37"/>
      <c r="D459" s="37"/>
    </row>
    <row r="460" ht="15.75" customHeight="1">
      <c r="B460" s="37"/>
      <c r="C460" s="37"/>
      <c r="D460" s="37"/>
    </row>
    <row r="461" ht="15.75" customHeight="1">
      <c r="B461" s="37"/>
      <c r="C461" s="37"/>
      <c r="D461" s="37"/>
    </row>
    <row r="462" ht="15.75" customHeight="1">
      <c r="B462" s="37"/>
      <c r="C462" s="37"/>
      <c r="D462" s="37"/>
    </row>
    <row r="463" ht="15.75" customHeight="1">
      <c r="B463" s="37"/>
      <c r="C463" s="37"/>
      <c r="D463" s="37"/>
    </row>
    <row r="464" ht="15.75" customHeight="1">
      <c r="B464" s="37"/>
      <c r="C464" s="37"/>
      <c r="D464" s="37"/>
    </row>
    <row r="465" ht="15.75" customHeight="1">
      <c r="B465" s="37"/>
      <c r="C465" s="37"/>
      <c r="D465" s="37"/>
    </row>
    <row r="466" ht="15.75" customHeight="1">
      <c r="B466" s="37"/>
      <c r="C466" s="37"/>
      <c r="D466" s="37"/>
    </row>
    <row r="467" ht="15.75" customHeight="1">
      <c r="B467" s="37"/>
      <c r="C467" s="37"/>
      <c r="D467" s="37"/>
    </row>
    <row r="468" ht="15.75" customHeight="1">
      <c r="B468" s="37"/>
      <c r="C468" s="37"/>
      <c r="D468" s="37"/>
    </row>
    <row r="469" ht="15.75" customHeight="1">
      <c r="B469" s="37"/>
      <c r="C469" s="37"/>
      <c r="D469" s="37"/>
    </row>
    <row r="470" ht="15.75" customHeight="1">
      <c r="B470" s="37"/>
      <c r="C470" s="37"/>
      <c r="D470" s="37"/>
    </row>
    <row r="471" ht="15.75" customHeight="1">
      <c r="B471" s="37"/>
      <c r="C471" s="37"/>
      <c r="D471" s="37"/>
    </row>
    <row r="472" ht="15.75" customHeight="1">
      <c r="B472" s="37"/>
      <c r="C472" s="37"/>
      <c r="D472" s="37"/>
    </row>
    <row r="473" ht="15.75" customHeight="1">
      <c r="B473" s="37"/>
      <c r="C473" s="37"/>
      <c r="D473" s="37"/>
    </row>
    <row r="474" ht="15.75" customHeight="1">
      <c r="B474" s="37"/>
      <c r="C474" s="37"/>
      <c r="D474" s="37"/>
    </row>
    <row r="475" ht="15.75" customHeight="1">
      <c r="B475" s="37"/>
      <c r="C475" s="37"/>
      <c r="D475" s="37"/>
    </row>
    <row r="476" ht="15.75" customHeight="1">
      <c r="B476" s="37"/>
      <c r="C476" s="37"/>
      <c r="D476" s="37"/>
    </row>
    <row r="477" ht="15.75" customHeight="1">
      <c r="B477" s="37"/>
      <c r="C477" s="37"/>
      <c r="D477" s="37"/>
    </row>
    <row r="478" ht="15.75" customHeight="1">
      <c r="B478" s="37"/>
      <c r="C478" s="37"/>
      <c r="D478" s="37"/>
    </row>
    <row r="479" ht="15.75" customHeight="1">
      <c r="B479" s="37"/>
      <c r="C479" s="37"/>
      <c r="D479" s="37"/>
    </row>
    <row r="480" ht="15.75" customHeight="1">
      <c r="B480" s="37"/>
      <c r="C480" s="37"/>
      <c r="D480" s="37"/>
    </row>
    <row r="481" ht="15.75" customHeight="1">
      <c r="B481" s="37"/>
      <c r="C481" s="37"/>
      <c r="D481" s="37"/>
    </row>
    <row r="482" ht="15.75" customHeight="1">
      <c r="B482" s="37"/>
      <c r="C482" s="37"/>
      <c r="D482" s="37"/>
    </row>
    <row r="483" ht="15.75" customHeight="1">
      <c r="B483" s="37"/>
      <c r="C483" s="37"/>
      <c r="D483" s="37"/>
    </row>
    <row r="484" ht="15.75" customHeight="1">
      <c r="B484" s="37"/>
      <c r="C484" s="37"/>
      <c r="D484" s="37"/>
    </row>
    <row r="485" ht="15.75" customHeight="1">
      <c r="B485" s="37"/>
      <c r="C485" s="37"/>
      <c r="D485" s="37"/>
    </row>
    <row r="486" ht="15.75" customHeight="1">
      <c r="B486" s="37"/>
      <c r="C486" s="37"/>
      <c r="D486" s="37"/>
    </row>
    <row r="487" ht="15.75" customHeight="1">
      <c r="B487" s="37"/>
      <c r="C487" s="37"/>
      <c r="D487" s="37"/>
    </row>
    <row r="488" ht="15.75" customHeight="1">
      <c r="B488" s="37"/>
      <c r="C488" s="37"/>
      <c r="D488" s="37"/>
    </row>
    <row r="489" ht="15.75" customHeight="1">
      <c r="B489" s="37"/>
      <c r="C489" s="37"/>
      <c r="D489" s="37"/>
    </row>
    <row r="490" ht="15.75" customHeight="1">
      <c r="B490" s="37"/>
      <c r="C490" s="37"/>
      <c r="D490" s="37"/>
    </row>
    <row r="491" ht="15.75" customHeight="1">
      <c r="B491" s="37"/>
      <c r="C491" s="37"/>
      <c r="D491" s="37"/>
    </row>
    <row r="492" ht="15.75" customHeight="1">
      <c r="B492" s="37"/>
      <c r="C492" s="37"/>
      <c r="D492" s="37"/>
    </row>
    <row r="493" ht="15.75" customHeight="1">
      <c r="B493" s="37"/>
      <c r="C493" s="37"/>
      <c r="D493" s="37"/>
    </row>
    <row r="494" ht="15.75" customHeight="1">
      <c r="B494" s="37"/>
      <c r="C494" s="37"/>
      <c r="D494" s="37"/>
    </row>
    <row r="495" ht="15.75" customHeight="1">
      <c r="B495" s="37"/>
      <c r="C495" s="37"/>
      <c r="D495" s="37"/>
    </row>
    <row r="496" ht="15.75" customHeight="1">
      <c r="B496" s="37"/>
      <c r="C496" s="37"/>
      <c r="D496" s="37"/>
    </row>
    <row r="497" ht="15.75" customHeight="1">
      <c r="B497" s="37"/>
      <c r="C497" s="37"/>
      <c r="D497" s="37"/>
    </row>
    <row r="498" ht="15.75" customHeight="1">
      <c r="B498" s="37"/>
      <c r="C498" s="37"/>
      <c r="D498" s="37"/>
    </row>
    <row r="499" ht="15.75" customHeight="1">
      <c r="B499" s="37"/>
      <c r="C499" s="37"/>
      <c r="D499" s="37"/>
    </row>
    <row r="500" ht="15.75" customHeight="1">
      <c r="B500" s="37"/>
      <c r="C500" s="37"/>
      <c r="D500" s="37"/>
    </row>
    <row r="501" ht="15.75" customHeight="1">
      <c r="B501" s="37"/>
      <c r="C501" s="37"/>
      <c r="D501" s="37"/>
    </row>
    <row r="502" ht="15.75" customHeight="1">
      <c r="B502" s="37"/>
      <c r="C502" s="37"/>
      <c r="D502" s="37"/>
    </row>
    <row r="503" ht="15.75" customHeight="1">
      <c r="B503" s="37"/>
      <c r="C503" s="37"/>
      <c r="D503" s="37"/>
    </row>
    <row r="504" ht="15.75" customHeight="1">
      <c r="B504" s="37"/>
      <c r="C504" s="37"/>
      <c r="D504" s="37"/>
    </row>
    <row r="505" ht="15.75" customHeight="1">
      <c r="B505" s="37"/>
      <c r="C505" s="37"/>
      <c r="D505" s="37"/>
    </row>
    <row r="506" ht="15.75" customHeight="1">
      <c r="B506" s="37"/>
      <c r="C506" s="37"/>
      <c r="D506" s="37"/>
    </row>
    <row r="507" ht="15.75" customHeight="1">
      <c r="B507" s="37"/>
      <c r="C507" s="37"/>
      <c r="D507" s="37"/>
    </row>
    <row r="508" ht="15.75" customHeight="1">
      <c r="B508" s="37"/>
      <c r="C508" s="37"/>
      <c r="D508" s="37"/>
    </row>
    <row r="509" ht="15.75" customHeight="1">
      <c r="B509" s="37"/>
      <c r="C509" s="37"/>
      <c r="D509" s="37"/>
    </row>
    <row r="510" ht="15.75" customHeight="1">
      <c r="B510" s="37"/>
      <c r="C510" s="37"/>
      <c r="D510" s="37"/>
    </row>
    <row r="511" ht="15.75" customHeight="1">
      <c r="B511" s="37"/>
      <c r="C511" s="37"/>
      <c r="D511" s="37"/>
    </row>
    <row r="512" ht="15.75" customHeight="1">
      <c r="B512" s="37"/>
      <c r="C512" s="37"/>
      <c r="D512" s="37"/>
    </row>
    <row r="513" ht="15.75" customHeight="1">
      <c r="B513" s="37"/>
      <c r="C513" s="37"/>
      <c r="D513" s="37"/>
    </row>
    <row r="514" ht="15.75" customHeight="1">
      <c r="B514" s="37"/>
      <c r="C514" s="37"/>
      <c r="D514" s="37"/>
    </row>
    <row r="515" ht="15.75" customHeight="1">
      <c r="B515" s="37"/>
      <c r="C515" s="37"/>
      <c r="D515" s="37"/>
    </row>
    <row r="516" ht="15.75" customHeight="1">
      <c r="B516" s="37"/>
      <c r="C516" s="37"/>
      <c r="D516" s="37"/>
    </row>
    <row r="517" ht="15.75" customHeight="1">
      <c r="B517" s="37"/>
      <c r="C517" s="37"/>
      <c r="D517" s="37"/>
    </row>
    <row r="518" ht="15.75" customHeight="1">
      <c r="B518" s="37"/>
      <c r="C518" s="37"/>
      <c r="D518" s="37"/>
    </row>
    <row r="519" ht="15.75" customHeight="1">
      <c r="B519" s="37"/>
      <c r="C519" s="37"/>
      <c r="D519" s="37"/>
    </row>
    <row r="520" ht="15.75" customHeight="1">
      <c r="B520" s="37"/>
      <c r="C520" s="37"/>
      <c r="D520" s="37"/>
    </row>
    <row r="521" ht="15.75" customHeight="1">
      <c r="B521" s="37"/>
      <c r="C521" s="37"/>
      <c r="D521" s="37"/>
    </row>
    <row r="522" ht="15.75" customHeight="1">
      <c r="B522" s="37"/>
      <c r="C522" s="37"/>
      <c r="D522" s="37"/>
    </row>
    <row r="523" ht="15.75" customHeight="1">
      <c r="B523" s="37"/>
      <c r="C523" s="37"/>
      <c r="D523" s="37"/>
    </row>
    <row r="524" ht="15.75" customHeight="1">
      <c r="B524" s="37"/>
      <c r="C524" s="37"/>
      <c r="D524" s="37"/>
    </row>
    <row r="525" ht="15.75" customHeight="1">
      <c r="B525" s="37"/>
      <c r="C525" s="37"/>
      <c r="D525" s="37"/>
    </row>
    <row r="526" ht="15.75" customHeight="1">
      <c r="B526" s="37"/>
      <c r="C526" s="37"/>
      <c r="D526" s="37"/>
    </row>
    <row r="527" ht="15.75" customHeight="1">
      <c r="B527" s="37"/>
      <c r="C527" s="37"/>
      <c r="D527" s="37"/>
    </row>
    <row r="528" ht="15.75" customHeight="1">
      <c r="B528" s="37"/>
      <c r="C528" s="37"/>
      <c r="D528" s="37"/>
    </row>
    <row r="529" ht="15.75" customHeight="1">
      <c r="B529" s="37"/>
      <c r="C529" s="37"/>
      <c r="D529" s="37"/>
    </row>
    <row r="530" ht="15.75" customHeight="1">
      <c r="B530" s="37"/>
      <c r="C530" s="37"/>
      <c r="D530" s="37"/>
    </row>
    <row r="531" ht="15.75" customHeight="1">
      <c r="B531" s="37"/>
      <c r="C531" s="37"/>
      <c r="D531" s="37"/>
    </row>
    <row r="532" ht="15.75" customHeight="1">
      <c r="B532" s="37"/>
      <c r="C532" s="37"/>
      <c r="D532" s="37"/>
    </row>
    <row r="533" ht="15.75" customHeight="1">
      <c r="B533" s="37"/>
      <c r="C533" s="37"/>
      <c r="D533" s="37"/>
    </row>
    <row r="534" ht="15.75" customHeight="1">
      <c r="B534" s="37"/>
      <c r="C534" s="37"/>
      <c r="D534" s="37"/>
    </row>
    <row r="535" ht="15.75" customHeight="1">
      <c r="B535" s="37"/>
      <c r="C535" s="37"/>
      <c r="D535" s="37"/>
    </row>
    <row r="536" ht="15.75" customHeight="1">
      <c r="B536" s="37"/>
      <c r="C536" s="37"/>
      <c r="D536" s="37"/>
    </row>
    <row r="537" ht="15.75" customHeight="1">
      <c r="B537" s="37"/>
      <c r="C537" s="37"/>
      <c r="D537" s="37"/>
    </row>
    <row r="538" ht="15.75" customHeight="1">
      <c r="B538" s="37"/>
      <c r="C538" s="37"/>
      <c r="D538" s="37"/>
    </row>
    <row r="539" ht="15.75" customHeight="1">
      <c r="B539" s="37"/>
      <c r="C539" s="37"/>
      <c r="D539" s="37"/>
    </row>
    <row r="540" ht="15.75" customHeight="1">
      <c r="B540" s="37"/>
      <c r="C540" s="37"/>
      <c r="D540" s="37"/>
    </row>
    <row r="541" ht="15.75" customHeight="1">
      <c r="B541" s="37"/>
      <c r="C541" s="37"/>
      <c r="D541" s="37"/>
    </row>
    <row r="542" ht="15.75" customHeight="1">
      <c r="B542" s="37"/>
      <c r="C542" s="37"/>
      <c r="D542" s="37"/>
    </row>
    <row r="543" ht="15.75" customHeight="1">
      <c r="B543" s="37"/>
      <c r="C543" s="37"/>
      <c r="D543" s="37"/>
    </row>
    <row r="544" ht="15.75" customHeight="1">
      <c r="B544" s="37"/>
      <c r="C544" s="37"/>
      <c r="D544" s="37"/>
    </row>
    <row r="545" ht="15.75" customHeight="1">
      <c r="B545" s="37"/>
      <c r="C545" s="37"/>
      <c r="D545" s="37"/>
    </row>
    <row r="546" ht="15.75" customHeight="1">
      <c r="B546" s="37"/>
      <c r="C546" s="37"/>
      <c r="D546" s="37"/>
    </row>
    <row r="547" ht="15.75" customHeight="1">
      <c r="B547" s="37"/>
      <c r="C547" s="37"/>
      <c r="D547" s="37"/>
    </row>
    <row r="548" ht="15.75" customHeight="1">
      <c r="B548" s="37"/>
      <c r="C548" s="37"/>
      <c r="D548" s="37"/>
    </row>
    <row r="549" ht="15.75" customHeight="1">
      <c r="B549" s="37"/>
      <c r="C549" s="37"/>
      <c r="D549" s="37"/>
    </row>
    <row r="550" ht="15.75" customHeight="1">
      <c r="B550" s="37"/>
      <c r="C550" s="37"/>
      <c r="D550" s="37"/>
    </row>
    <row r="551" ht="15.75" customHeight="1">
      <c r="B551" s="37"/>
      <c r="C551" s="37"/>
      <c r="D551" s="37"/>
    </row>
    <row r="552" ht="15.75" customHeight="1">
      <c r="B552" s="37"/>
      <c r="C552" s="37"/>
      <c r="D552" s="37"/>
    </row>
    <row r="553" ht="15.75" customHeight="1">
      <c r="B553" s="37"/>
      <c r="C553" s="37"/>
      <c r="D553" s="37"/>
    </row>
    <row r="554" ht="15.75" customHeight="1">
      <c r="B554" s="37"/>
      <c r="C554" s="37"/>
      <c r="D554" s="37"/>
    </row>
    <row r="555" ht="15.75" customHeight="1">
      <c r="B555" s="37"/>
      <c r="C555" s="37"/>
      <c r="D555" s="37"/>
    </row>
    <row r="556" ht="15.75" customHeight="1">
      <c r="B556" s="37"/>
      <c r="C556" s="37"/>
      <c r="D556" s="37"/>
    </row>
    <row r="557" ht="15.75" customHeight="1">
      <c r="B557" s="37"/>
      <c r="C557" s="37"/>
      <c r="D557" s="37"/>
    </row>
    <row r="558" ht="15.75" customHeight="1">
      <c r="B558" s="37"/>
      <c r="C558" s="37"/>
      <c r="D558" s="37"/>
    </row>
    <row r="559" ht="15.75" customHeight="1">
      <c r="B559" s="37"/>
      <c r="C559" s="37"/>
      <c r="D559" s="37"/>
    </row>
    <row r="560" ht="15.75" customHeight="1">
      <c r="B560" s="37"/>
      <c r="C560" s="37"/>
      <c r="D560" s="37"/>
    </row>
    <row r="561" ht="15.75" customHeight="1">
      <c r="B561" s="37"/>
      <c r="C561" s="37"/>
      <c r="D561" s="37"/>
    </row>
    <row r="562" ht="15.75" customHeight="1">
      <c r="B562" s="37"/>
      <c r="C562" s="37"/>
      <c r="D562" s="37"/>
    </row>
    <row r="563" ht="15.75" customHeight="1">
      <c r="B563" s="37"/>
      <c r="C563" s="37"/>
      <c r="D563" s="37"/>
    </row>
    <row r="564" ht="15.75" customHeight="1">
      <c r="B564" s="37"/>
      <c r="C564" s="37"/>
      <c r="D564" s="37"/>
    </row>
    <row r="565" ht="15.75" customHeight="1">
      <c r="B565" s="37"/>
      <c r="C565" s="37"/>
      <c r="D565" s="37"/>
    </row>
    <row r="566" ht="15.75" customHeight="1">
      <c r="B566" s="37"/>
      <c r="C566" s="37"/>
      <c r="D566" s="37"/>
    </row>
    <row r="567" ht="15.75" customHeight="1">
      <c r="B567" s="37"/>
      <c r="C567" s="37"/>
      <c r="D567" s="37"/>
    </row>
    <row r="568" ht="15.75" customHeight="1">
      <c r="B568" s="37"/>
      <c r="C568" s="37"/>
      <c r="D568" s="37"/>
    </row>
    <row r="569" ht="15.75" customHeight="1">
      <c r="B569" s="37"/>
      <c r="C569" s="37"/>
      <c r="D569" s="37"/>
    </row>
    <row r="570" ht="15.75" customHeight="1">
      <c r="B570" s="37"/>
      <c r="C570" s="37"/>
      <c r="D570" s="37"/>
    </row>
    <row r="571" ht="15.75" customHeight="1">
      <c r="B571" s="37"/>
      <c r="C571" s="37"/>
      <c r="D571" s="37"/>
    </row>
    <row r="572" ht="15.75" customHeight="1">
      <c r="B572" s="37"/>
      <c r="C572" s="37"/>
      <c r="D572" s="37"/>
    </row>
    <row r="573" ht="15.75" customHeight="1">
      <c r="B573" s="37"/>
      <c r="C573" s="37"/>
      <c r="D573" s="37"/>
    </row>
    <row r="574" ht="15.75" customHeight="1">
      <c r="B574" s="37"/>
      <c r="C574" s="37"/>
      <c r="D574" s="37"/>
    </row>
    <row r="575" ht="15.75" customHeight="1">
      <c r="B575" s="37"/>
      <c r="C575" s="37"/>
      <c r="D575" s="37"/>
    </row>
    <row r="576" ht="15.75" customHeight="1">
      <c r="B576" s="37"/>
      <c r="C576" s="37"/>
      <c r="D576" s="37"/>
    </row>
    <row r="577" ht="15.75" customHeight="1">
      <c r="B577" s="37"/>
      <c r="C577" s="37"/>
      <c r="D577" s="37"/>
    </row>
    <row r="578" ht="15.75" customHeight="1">
      <c r="B578" s="37"/>
      <c r="C578" s="37"/>
      <c r="D578" s="37"/>
    </row>
    <row r="579" ht="15.75" customHeight="1">
      <c r="B579" s="37"/>
      <c r="C579" s="37"/>
      <c r="D579" s="37"/>
    </row>
    <row r="580" ht="15.75" customHeight="1">
      <c r="B580" s="37"/>
      <c r="C580" s="37"/>
      <c r="D580" s="37"/>
    </row>
    <row r="581" ht="15.75" customHeight="1">
      <c r="B581" s="37"/>
      <c r="C581" s="37"/>
      <c r="D581" s="37"/>
    </row>
    <row r="582" ht="15.75" customHeight="1">
      <c r="B582" s="37"/>
      <c r="C582" s="37"/>
      <c r="D582" s="37"/>
    </row>
    <row r="583" ht="15.75" customHeight="1">
      <c r="B583" s="37"/>
      <c r="C583" s="37"/>
      <c r="D583" s="37"/>
    </row>
    <row r="584" ht="15.75" customHeight="1">
      <c r="B584" s="37"/>
      <c r="C584" s="37"/>
      <c r="D584" s="37"/>
    </row>
    <row r="585" ht="15.75" customHeight="1">
      <c r="B585" s="37"/>
      <c r="C585" s="37"/>
      <c r="D585" s="37"/>
    </row>
    <row r="586" ht="15.75" customHeight="1">
      <c r="B586" s="37"/>
      <c r="C586" s="37"/>
      <c r="D586" s="37"/>
    </row>
    <row r="587" ht="15.75" customHeight="1">
      <c r="B587" s="37"/>
      <c r="C587" s="37"/>
      <c r="D587" s="37"/>
    </row>
    <row r="588" ht="15.75" customHeight="1">
      <c r="B588" s="37"/>
      <c r="C588" s="37"/>
      <c r="D588" s="37"/>
    </row>
    <row r="589" ht="15.75" customHeight="1">
      <c r="B589" s="37"/>
      <c r="C589" s="37"/>
      <c r="D589" s="37"/>
    </row>
    <row r="590" ht="15.75" customHeight="1">
      <c r="B590" s="37"/>
      <c r="C590" s="37"/>
      <c r="D590" s="37"/>
    </row>
    <row r="591" ht="15.75" customHeight="1">
      <c r="B591" s="37"/>
      <c r="C591" s="37"/>
      <c r="D591" s="37"/>
    </row>
    <row r="592" ht="15.75" customHeight="1">
      <c r="B592" s="37"/>
      <c r="C592" s="37"/>
      <c r="D592" s="37"/>
    </row>
    <row r="593" ht="15.75" customHeight="1">
      <c r="B593" s="37"/>
      <c r="C593" s="37"/>
      <c r="D593" s="37"/>
    </row>
    <row r="594" ht="15.75" customHeight="1">
      <c r="B594" s="37"/>
      <c r="C594" s="37"/>
      <c r="D594" s="37"/>
    </row>
    <row r="595" ht="15.75" customHeight="1">
      <c r="B595" s="37"/>
      <c r="C595" s="37"/>
      <c r="D595" s="37"/>
    </row>
    <row r="596" ht="15.75" customHeight="1">
      <c r="B596" s="37"/>
      <c r="C596" s="37"/>
      <c r="D596" s="37"/>
    </row>
    <row r="597" ht="15.75" customHeight="1">
      <c r="B597" s="37"/>
      <c r="C597" s="37"/>
      <c r="D597" s="37"/>
    </row>
    <row r="598" ht="15.75" customHeight="1">
      <c r="B598" s="37"/>
      <c r="C598" s="37"/>
      <c r="D598" s="37"/>
    </row>
    <row r="599" ht="15.75" customHeight="1">
      <c r="B599" s="37"/>
      <c r="C599" s="37"/>
      <c r="D599" s="37"/>
    </row>
    <row r="600" ht="15.75" customHeight="1">
      <c r="B600" s="37"/>
      <c r="C600" s="37"/>
      <c r="D600" s="37"/>
    </row>
    <row r="601" ht="15.75" customHeight="1">
      <c r="B601" s="37"/>
      <c r="C601" s="37"/>
      <c r="D601" s="37"/>
    </row>
    <row r="602" ht="15.75" customHeight="1">
      <c r="B602" s="37"/>
      <c r="C602" s="37"/>
      <c r="D602" s="37"/>
    </row>
    <row r="603" ht="15.75" customHeight="1">
      <c r="B603" s="37"/>
      <c r="C603" s="37"/>
      <c r="D603" s="37"/>
    </row>
    <row r="604" ht="15.75" customHeight="1">
      <c r="B604" s="37"/>
      <c r="C604" s="37"/>
      <c r="D604" s="37"/>
    </row>
    <row r="605" ht="15.75" customHeight="1">
      <c r="B605" s="37"/>
      <c r="C605" s="37"/>
      <c r="D605" s="37"/>
    </row>
    <row r="606" ht="15.75" customHeight="1">
      <c r="B606" s="37"/>
      <c r="C606" s="37"/>
      <c r="D606" s="37"/>
    </row>
    <row r="607" ht="15.75" customHeight="1">
      <c r="B607" s="37"/>
      <c r="C607" s="37"/>
      <c r="D607" s="37"/>
    </row>
    <row r="608" ht="15.75" customHeight="1">
      <c r="B608" s="37"/>
      <c r="C608" s="37"/>
      <c r="D608" s="37"/>
    </row>
    <row r="609" ht="15.75" customHeight="1">
      <c r="B609" s="37"/>
      <c r="C609" s="37"/>
      <c r="D609" s="37"/>
    </row>
    <row r="610" ht="15.75" customHeight="1">
      <c r="B610" s="37"/>
      <c r="C610" s="37"/>
      <c r="D610" s="37"/>
    </row>
    <row r="611" ht="15.75" customHeight="1">
      <c r="B611" s="37"/>
      <c r="C611" s="37"/>
      <c r="D611" s="37"/>
    </row>
    <row r="612" ht="15.75" customHeight="1">
      <c r="B612" s="37"/>
      <c r="C612" s="37"/>
      <c r="D612" s="37"/>
    </row>
    <row r="613" ht="15.75" customHeight="1">
      <c r="B613" s="37"/>
      <c r="C613" s="37"/>
      <c r="D613" s="37"/>
    </row>
    <row r="614" ht="15.75" customHeight="1">
      <c r="B614" s="37"/>
      <c r="C614" s="37"/>
      <c r="D614" s="37"/>
    </row>
    <row r="615" ht="15.75" customHeight="1">
      <c r="B615" s="37"/>
      <c r="C615" s="37"/>
      <c r="D615" s="37"/>
    </row>
    <row r="616" ht="15.75" customHeight="1">
      <c r="B616" s="37"/>
      <c r="C616" s="37"/>
      <c r="D616" s="37"/>
    </row>
    <row r="617" ht="15.75" customHeight="1">
      <c r="B617" s="37"/>
      <c r="C617" s="37"/>
      <c r="D617" s="37"/>
    </row>
    <row r="618" ht="15.75" customHeight="1">
      <c r="B618" s="37"/>
      <c r="C618" s="37"/>
      <c r="D618" s="37"/>
    </row>
    <row r="619" ht="15.75" customHeight="1">
      <c r="B619" s="37"/>
      <c r="C619" s="37"/>
      <c r="D619" s="37"/>
    </row>
    <row r="620" ht="15.75" customHeight="1">
      <c r="B620" s="37"/>
      <c r="C620" s="37"/>
      <c r="D620" s="37"/>
    </row>
    <row r="621" ht="15.75" customHeight="1">
      <c r="B621" s="37"/>
      <c r="C621" s="37"/>
      <c r="D621" s="37"/>
    </row>
    <row r="622" ht="15.75" customHeight="1">
      <c r="B622" s="37"/>
      <c r="C622" s="37"/>
      <c r="D622" s="37"/>
    </row>
    <row r="623" ht="15.75" customHeight="1">
      <c r="B623" s="37"/>
      <c r="C623" s="37"/>
      <c r="D623" s="37"/>
    </row>
    <row r="624" ht="15.75" customHeight="1">
      <c r="B624" s="37"/>
      <c r="C624" s="37"/>
      <c r="D624" s="37"/>
    </row>
    <row r="625" ht="15.75" customHeight="1">
      <c r="B625" s="37"/>
      <c r="C625" s="37"/>
      <c r="D625" s="37"/>
    </row>
    <row r="626" ht="15.75" customHeight="1">
      <c r="B626" s="37"/>
      <c r="C626" s="37"/>
      <c r="D626" s="37"/>
    </row>
    <row r="627" ht="15.75" customHeight="1">
      <c r="B627" s="37"/>
      <c r="C627" s="37"/>
      <c r="D627" s="37"/>
    </row>
    <row r="628" ht="15.75" customHeight="1">
      <c r="B628" s="37"/>
      <c r="C628" s="37"/>
      <c r="D628" s="37"/>
    </row>
    <row r="629" ht="15.75" customHeight="1">
      <c r="B629" s="37"/>
      <c r="C629" s="37"/>
      <c r="D629" s="37"/>
    </row>
    <row r="630" ht="15.75" customHeight="1">
      <c r="B630" s="37"/>
      <c r="C630" s="37"/>
      <c r="D630" s="37"/>
    </row>
    <row r="631" ht="15.75" customHeight="1">
      <c r="B631" s="37"/>
      <c r="C631" s="37"/>
      <c r="D631" s="37"/>
    </row>
    <row r="632" ht="15.75" customHeight="1">
      <c r="B632" s="37"/>
      <c r="C632" s="37"/>
      <c r="D632" s="37"/>
    </row>
    <row r="633" ht="15.75" customHeight="1">
      <c r="B633" s="37"/>
      <c r="C633" s="37"/>
      <c r="D633" s="37"/>
    </row>
    <row r="634" ht="15.75" customHeight="1">
      <c r="B634" s="37"/>
      <c r="C634" s="37"/>
      <c r="D634" s="37"/>
    </row>
    <row r="635" ht="15.75" customHeight="1">
      <c r="B635" s="37"/>
      <c r="C635" s="37"/>
      <c r="D635" s="37"/>
    </row>
    <row r="636" ht="15.75" customHeight="1">
      <c r="B636" s="37"/>
      <c r="C636" s="37"/>
      <c r="D636" s="37"/>
    </row>
    <row r="637" ht="15.75" customHeight="1">
      <c r="B637" s="37"/>
      <c r="C637" s="37"/>
      <c r="D637" s="37"/>
    </row>
    <row r="638" ht="15.75" customHeight="1">
      <c r="B638" s="37"/>
      <c r="C638" s="37"/>
      <c r="D638" s="37"/>
    </row>
    <row r="639" ht="15.75" customHeight="1">
      <c r="B639" s="37"/>
      <c r="C639" s="37"/>
      <c r="D639" s="37"/>
    </row>
    <row r="640" ht="15.75" customHeight="1">
      <c r="B640" s="37"/>
      <c r="C640" s="37"/>
      <c r="D640" s="37"/>
    </row>
    <row r="641" ht="15.75" customHeight="1">
      <c r="B641" s="37"/>
      <c r="C641" s="37"/>
      <c r="D641" s="37"/>
    </row>
    <row r="642" ht="15.75" customHeight="1">
      <c r="B642" s="37"/>
      <c r="C642" s="37"/>
      <c r="D642" s="37"/>
    </row>
    <row r="643" ht="15.75" customHeight="1">
      <c r="B643" s="37"/>
      <c r="C643" s="37"/>
      <c r="D643" s="37"/>
    </row>
    <row r="644" ht="15.75" customHeight="1">
      <c r="B644" s="37"/>
      <c r="C644" s="37"/>
      <c r="D644" s="37"/>
    </row>
    <row r="645" ht="15.75" customHeight="1">
      <c r="B645" s="37"/>
      <c r="C645" s="37"/>
      <c r="D645" s="37"/>
    </row>
    <row r="646" ht="15.75" customHeight="1">
      <c r="B646" s="37"/>
      <c r="C646" s="37"/>
      <c r="D646" s="37"/>
    </row>
    <row r="647" ht="15.75" customHeight="1">
      <c r="B647" s="37"/>
      <c r="C647" s="37"/>
      <c r="D647" s="37"/>
    </row>
    <row r="648" ht="15.75" customHeight="1">
      <c r="B648" s="37"/>
      <c r="C648" s="37"/>
      <c r="D648" s="37"/>
    </row>
    <row r="649" ht="15.75" customHeight="1">
      <c r="B649" s="37"/>
      <c r="C649" s="37"/>
      <c r="D649" s="37"/>
    </row>
    <row r="650" ht="15.75" customHeight="1">
      <c r="B650" s="37"/>
      <c r="C650" s="37"/>
      <c r="D650" s="37"/>
    </row>
    <row r="651" ht="15.75" customHeight="1">
      <c r="B651" s="37"/>
      <c r="C651" s="37"/>
      <c r="D651" s="37"/>
    </row>
    <row r="652" ht="15.75" customHeight="1">
      <c r="B652" s="37"/>
      <c r="C652" s="37"/>
      <c r="D652" s="37"/>
    </row>
    <row r="653" ht="15.75" customHeight="1">
      <c r="B653" s="37"/>
      <c r="C653" s="37"/>
      <c r="D653" s="37"/>
    </row>
    <row r="654" ht="15.75" customHeight="1">
      <c r="B654" s="37"/>
      <c r="C654" s="37"/>
      <c r="D654" s="37"/>
    </row>
    <row r="655" ht="15.75" customHeight="1">
      <c r="B655" s="37"/>
      <c r="C655" s="37"/>
      <c r="D655" s="37"/>
    </row>
    <row r="656" ht="15.75" customHeight="1">
      <c r="B656" s="37"/>
      <c r="C656" s="37"/>
      <c r="D656" s="37"/>
    </row>
    <row r="657" ht="15.75" customHeight="1">
      <c r="B657" s="37"/>
      <c r="C657" s="37"/>
      <c r="D657" s="37"/>
    </row>
    <row r="658" ht="15.75" customHeight="1">
      <c r="B658" s="37"/>
      <c r="C658" s="37"/>
      <c r="D658" s="37"/>
    </row>
    <row r="659" ht="15.75" customHeight="1">
      <c r="B659" s="37"/>
      <c r="C659" s="37"/>
      <c r="D659" s="37"/>
    </row>
    <row r="660" ht="15.75" customHeight="1">
      <c r="B660" s="37"/>
      <c r="C660" s="37"/>
      <c r="D660" s="37"/>
    </row>
    <row r="661" ht="15.75" customHeight="1">
      <c r="B661" s="37"/>
      <c r="C661" s="37"/>
      <c r="D661" s="37"/>
    </row>
    <row r="662" ht="15.75" customHeight="1">
      <c r="B662" s="37"/>
      <c r="C662" s="37"/>
      <c r="D662" s="37"/>
    </row>
    <row r="663" ht="15.75" customHeight="1">
      <c r="B663" s="37"/>
      <c r="C663" s="37"/>
      <c r="D663" s="37"/>
    </row>
    <row r="664" ht="15.75" customHeight="1">
      <c r="B664" s="37"/>
      <c r="C664" s="37"/>
      <c r="D664" s="37"/>
    </row>
    <row r="665" ht="15.75" customHeight="1">
      <c r="B665" s="37"/>
      <c r="C665" s="37"/>
      <c r="D665" s="37"/>
    </row>
    <row r="666" ht="15.75" customHeight="1">
      <c r="B666" s="37"/>
      <c r="C666" s="37"/>
      <c r="D666" s="37"/>
    </row>
    <row r="667" ht="15.75" customHeight="1">
      <c r="B667" s="37"/>
      <c r="C667" s="37"/>
      <c r="D667" s="37"/>
    </row>
    <row r="668" ht="15.75" customHeight="1">
      <c r="B668" s="37"/>
      <c r="C668" s="37"/>
      <c r="D668" s="37"/>
    </row>
    <row r="669" ht="15.75" customHeight="1">
      <c r="B669" s="37"/>
      <c r="C669" s="37"/>
      <c r="D669" s="37"/>
    </row>
    <row r="670" ht="15.75" customHeight="1">
      <c r="B670" s="37"/>
      <c r="C670" s="37"/>
      <c r="D670" s="37"/>
    </row>
    <row r="671" ht="15.75" customHeight="1">
      <c r="B671" s="37"/>
      <c r="C671" s="37"/>
      <c r="D671" s="37"/>
    </row>
    <row r="672" ht="15.75" customHeight="1">
      <c r="B672" s="37"/>
      <c r="C672" s="37"/>
      <c r="D672" s="37"/>
    </row>
    <row r="673" ht="15.75" customHeight="1">
      <c r="B673" s="37"/>
      <c r="C673" s="37"/>
      <c r="D673" s="37"/>
    </row>
    <row r="674" ht="15.75" customHeight="1">
      <c r="B674" s="37"/>
      <c r="C674" s="37"/>
      <c r="D674" s="37"/>
    </row>
    <row r="675" ht="15.75" customHeight="1">
      <c r="B675" s="37"/>
      <c r="C675" s="37"/>
      <c r="D675" s="37"/>
    </row>
    <row r="676" ht="15.75" customHeight="1">
      <c r="B676" s="37"/>
      <c r="C676" s="37"/>
      <c r="D676" s="37"/>
    </row>
    <row r="677" ht="15.75" customHeight="1">
      <c r="B677" s="37"/>
      <c r="C677" s="37"/>
      <c r="D677" s="37"/>
    </row>
    <row r="678" ht="15.75" customHeight="1">
      <c r="B678" s="37"/>
      <c r="C678" s="37"/>
      <c r="D678" s="37"/>
    </row>
    <row r="679" ht="15.75" customHeight="1">
      <c r="B679" s="37"/>
      <c r="C679" s="37"/>
      <c r="D679" s="37"/>
    </row>
    <row r="680" ht="15.75" customHeight="1">
      <c r="B680" s="37"/>
      <c r="C680" s="37"/>
      <c r="D680" s="37"/>
    </row>
    <row r="681" ht="15.75" customHeight="1">
      <c r="B681" s="37"/>
      <c r="C681" s="37"/>
      <c r="D681" s="37"/>
    </row>
    <row r="682" ht="15.75" customHeight="1">
      <c r="B682" s="37"/>
      <c r="C682" s="37"/>
      <c r="D682" s="37"/>
    </row>
    <row r="683" ht="15.75" customHeight="1">
      <c r="B683" s="37"/>
      <c r="C683" s="37"/>
      <c r="D683" s="37"/>
    </row>
    <row r="684" ht="15.75" customHeight="1">
      <c r="B684" s="37"/>
      <c r="C684" s="37"/>
      <c r="D684" s="37"/>
    </row>
    <row r="685" ht="15.75" customHeight="1">
      <c r="B685" s="37"/>
      <c r="C685" s="37"/>
      <c r="D685" s="37"/>
    </row>
    <row r="686" ht="15.75" customHeight="1">
      <c r="B686" s="37"/>
      <c r="C686" s="37"/>
      <c r="D686" s="37"/>
    </row>
    <row r="687" ht="15.75" customHeight="1">
      <c r="B687" s="37"/>
      <c r="C687" s="37"/>
      <c r="D687" s="37"/>
    </row>
    <row r="688" ht="15.75" customHeight="1">
      <c r="B688" s="37"/>
      <c r="C688" s="37"/>
      <c r="D688" s="37"/>
    </row>
    <row r="689" ht="15.75" customHeight="1">
      <c r="B689" s="37"/>
      <c r="C689" s="37"/>
      <c r="D689" s="37"/>
    </row>
    <row r="690" ht="15.75" customHeight="1">
      <c r="B690" s="37"/>
      <c r="C690" s="37"/>
      <c r="D690" s="37"/>
    </row>
    <row r="691" ht="15.75" customHeight="1">
      <c r="B691" s="37"/>
      <c r="C691" s="37"/>
      <c r="D691" s="37"/>
    </row>
    <row r="692" ht="15.75" customHeight="1">
      <c r="B692" s="37"/>
      <c r="C692" s="37"/>
      <c r="D692" s="37"/>
    </row>
    <row r="693" ht="15.75" customHeight="1">
      <c r="B693" s="37"/>
      <c r="C693" s="37"/>
      <c r="D693" s="37"/>
    </row>
    <row r="694" ht="15.75" customHeight="1">
      <c r="B694" s="37"/>
      <c r="C694" s="37"/>
      <c r="D694" s="37"/>
    </row>
    <row r="695" ht="15.75" customHeight="1">
      <c r="B695" s="37"/>
      <c r="C695" s="37"/>
      <c r="D695" s="37"/>
    </row>
    <row r="696" ht="15.75" customHeight="1">
      <c r="B696" s="37"/>
      <c r="C696" s="37"/>
      <c r="D696" s="37"/>
    </row>
    <row r="697" ht="15.75" customHeight="1">
      <c r="B697" s="37"/>
      <c r="C697" s="37"/>
      <c r="D697" s="37"/>
    </row>
    <row r="698" ht="15.75" customHeight="1">
      <c r="B698" s="37"/>
      <c r="C698" s="37"/>
      <c r="D698" s="37"/>
    </row>
    <row r="699" ht="15.75" customHeight="1">
      <c r="B699" s="37"/>
      <c r="C699" s="37"/>
      <c r="D699" s="37"/>
    </row>
    <row r="700" ht="15.75" customHeight="1">
      <c r="B700" s="37"/>
      <c r="C700" s="37"/>
      <c r="D700" s="37"/>
    </row>
    <row r="701" ht="15.75" customHeight="1">
      <c r="B701" s="37"/>
      <c r="C701" s="37"/>
      <c r="D701" s="37"/>
    </row>
    <row r="702" ht="15.75" customHeight="1">
      <c r="B702" s="37"/>
      <c r="C702" s="37"/>
      <c r="D702" s="37"/>
    </row>
    <row r="703" ht="15.75" customHeight="1">
      <c r="B703" s="37"/>
      <c r="C703" s="37"/>
      <c r="D703" s="37"/>
    </row>
    <row r="704" ht="15.75" customHeight="1">
      <c r="B704" s="37"/>
      <c r="C704" s="37"/>
      <c r="D704" s="37"/>
    </row>
    <row r="705" ht="15.75" customHeight="1">
      <c r="B705" s="37"/>
      <c r="C705" s="37"/>
      <c r="D705" s="37"/>
    </row>
    <row r="706" ht="15.75" customHeight="1">
      <c r="B706" s="37"/>
      <c r="C706" s="37"/>
      <c r="D706" s="37"/>
    </row>
    <row r="707" ht="15.75" customHeight="1">
      <c r="B707" s="37"/>
      <c r="C707" s="37"/>
      <c r="D707" s="37"/>
    </row>
    <row r="708" ht="15.75" customHeight="1">
      <c r="B708" s="37"/>
      <c r="C708" s="37"/>
      <c r="D708" s="37"/>
    </row>
    <row r="709" ht="15.75" customHeight="1">
      <c r="B709" s="37"/>
      <c r="C709" s="37"/>
      <c r="D709" s="37"/>
    </row>
    <row r="710" ht="15.75" customHeight="1">
      <c r="B710" s="37"/>
      <c r="C710" s="37"/>
      <c r="D710" s="37"/>
    </row>
    <row r="711" ht="15.75" customHeight="1">
      <c r="B711" s="37"/>
      <c r="C711" s="37"/>
      <c r="D711" s="37"/>
    </row>
    <row r="712" ht="15.75" customHeight="1">
      <c r="B712" s="37"/>
      <c r="C712" s="37"/>
      <c r="D712" s="37"/>
    </row>
    <row r="713" ht="15.75" customHeight="1">
      <c r="B713" s="37"/>
      <c r="C713" s="37"/>
      <c r="D713" s="37"/>
    </row>
    <row r="714" ht="15.75" customHeight="1">
      <c r="B714" s="37"/>
      <c r="C714" s="37"/>
      <c r="D714" s="37"/>
    </row>
    <row r="715" ht="15.75" customHeight="1">
      <c r="B715" s="37"/>
      <c r="C715" s="37"/>
      <c r="D715" s="37"/>
    </row>
    <row r="716" ht="15.75" customHeight="1">
      <c r="B716" s="37"/>
      <c r="C716" s="37"/>
      <c r="D716" s="37"/>
    </row>
    <row r="717" ht="15.75" customHeight="1">
      <c r="B717" s="37"/>
      <c r="C717" s="37"/>
      <c r="D717" s="37"/>
    </row>
    <row r="718" ht="15.75" customHeight="1">
      <c r="B718" s="37"/>
      <c r="C718" s="37"/>
      <c r="D718" s="37"/>
    </row>
    <row r="719" ht="15.75" customHeight="1">
      <c r="B719" s="37"/>
      <c r="C719" s="37"/>
      <c r="D719" s="37"/>
    </row>
    <row r="720" ht="15.75" customHeight="1">
      <c r="B720" s="37"/>
      <c r="C720" s="37"/>
      <c r="D720" s="37"/>
    </row>
    <row r="721" ht="15.75" customHeight="1">
      <c r="B721" s="37"/>
      <c r="C721" s="37"/>
      <c r="D721" s="37"/>
    </row>
    <row r="722" ht="15.75" customHeight="1">
      <c r="B722" s="37"/>
      <c r="C722" s="37"/>
      <c r="D722" s="37"/>
    </row>
    <row r="723" ht="15.75" customHeight="1">
      <c r="B723" s="37"/>
      <c r="C723" s="37"/>
      <c r="D723" s="37"/>
    </row>
    <row r="724" ht="15.75" customHeight="1">
      <c r="B724" s="37"/>
      <c r="C724" s="37"/>
      <c r="D724" s="37"/>
    </row>
    <row r="725" ht="15.75" customHeight="1">
      <c r="B725" s="37"/>
      <c r="C725" s="37"/>
      <c r="D725" s="37"/>
    </row>
    <row r="726" ht="15.75" customHeight="1">
      <c r="B726" s="37"/>
      <c r="C726" s="37"/>
      <c r="D726" s="37"/>
    </row>
    <row r="727" ht="15.75" customHeight="1">
      <c r="B727" s="37"/>
      <c r="C727" s="37"/>
      <c r="D727" s="37"/>
    </row>
    <row r="728" ht="15.75" customHeight="1">
      <c r="B728" s="37"/>
      <c r="C728" s="37"/>
      <c r="D728" s="37"/>
    </row>
    <row r="729" ht="15.75" customHeight="1">
      <c r="B729" s="37"/>
      <c r="C729" s="37"/>
      <c r="D729" s="37"/>
    </row>
    <row r="730" ht="15.75" customHeight="1">
      <c r="B730" s="37"/>
      <c r="C730" s="37"/>
      <c r="D730" s="37"/>
    </row>
    <row r="731" ht="15.75" customHeight="1">
      <c r="B731" s="37"/>
      <c r="C731" s="37"/>
      <c r="D731" s="37"/>
    </row>
    <row r="732" ht="15.75" customHeight="1">
      <c r="B732" s="37"/>
      <c r="C732" s="37"/>
      <c r="D732" s="37"/>
    </row>
    <row r="733" ht="15.75" customHeight="1">
      <c r="B733" s="37"/>
      <c r="C733" s="37"/>
      <c r="D733" s="37"/>
    </row>
    <row r="734" ht="15.75" customHeight="1">
      <c r="B734" s="37"/>
      <c r="C734" s="37"/>
      <c r="D734" s="37"/>
    </row>
    <row r="735" ht="15.75" customHeight="1">
      <c r="B735" s="37"/>
      <c r="C735" s="37"/>
      <c r="D735" s="37"/>
    </row>
    <row r="736" ht="15.75" customHeight="1">
      <c r="B736" s="37"/>
      <c r="C736" s="37"/>
      <c r="D736" s="37"/>
    </row>
    <row r="737" ht="15.75" customHeight="1">
      <c r="B737" s="37"/>
      <c r="C737" s="37"/>
      <c r="D737" s="37"/>
    </row>
    <row r="738" ht="15.75" customHeight="1">
      <c r="B738" s="37"/>
      <c r="C738" s="37"/>
      <c r="D738" s="37"/>
    </row>
    <row r="739" ht="15.75" customHeight="1">
      <c r="B739" s="37"/>
      <c r="C739" s="37"/>
      <c r="D739" s="37"/>
    </row>
    <row r="740" ht="15.75" customHeight="1">
      <c r="B740" s="37"/>
      <c r="C740" s="37"/>
      <c r="D740" s="37"/>
    </row>
    <row r="741" ht="15.75" customHeight="1">
      <c r="B741" s="37"/>
      <c r="C741" s="37"/>
      <c r="D741" s="37"/>
    </row>
    <row r="742" ht="15.75" customHeight="1">
      <c r="B742" s="37"/>
      <c r="C742" s="37"/>
      <c r="D742" s="37"/>
    </row>
    <row r="743" ht="15.75" customHeight="1">
      <c r="B743" s="37"/>
      <c r="C743" s="37"/>
      <c r="D743" s="37"/>
    </row>
    <row r="744" ht="15.75" customHeight="1">
      <c r="B744" s="37"/>
      <c r="C744" s="37"/>
      <c r="D744" s="37"/>
    </row>
    <row r="745" ht="15.75" customHeight="1">
      <c r="B745" s="37"/>
      <c r="C745" s="37"/>
      <c r="D745" s="37"/>
    </row>
    <row r="746" ht="15.75" customHeight="1">
      <c r="B746" s="37"/>
      <c r="C746" s="37"/>
      <c r="D746" s="37"/>
    </row>
    <row r="747" ht="15.75" customHeight="1">
      <c r="B747" s="37"/>
      <c r="C747" s="37"/>
      <c r="D747" s="37"/>
    </row>
    <row r="748" ht="15.75" customHeight="1">
      <c r="B748" s="37"/>
      <c r="C748" s="37"/>
      <c r="D748" s="37"/>
    </row>
    <row r="749" ht="15.75" customHeight="1">
      <c r="B749" s="37"/>
      <c r="C749" s="37"/>
      <c r="D749" s="37"/>
    </row>
    <row r="750" ht="15.75" customHeight="1">
      <c r="B750" s="37"/>
      <c r="C750" s="37"/>
      <c r="D750" s="37"/>
    </row>
    <row r="751" ht="15.75" customHeight="1">
      <c r="B751" s="37"/>
      <c r="C751" s="37"/>
      <c r="D751" s="37"/>
    </row>
    <row r="752" ht="15.75" customHeight="1">
      <c r="B752" s="37"/>
      <c r="C752" s="37"/>
      <c r="D752" s="37"/>
    </row>
    <row r="753" ht="15.75" customHeight="1">
      <c r="B753" s="37"/>
      <c r="C753" s="37"/>
      <c r="D753" s="37"/>
    </row>
    <row r="754" ht="15.75" customHeight="1">
      <c r="B754" s="37"/>
      <c r="C754" s="37"/>
      <c r="D754" s="37"/>
    </row>
    <row r="755" ht="15.75" customHeight="1">
      <c r="B755" s="37"/>
      <c r="C755" s="37"/>
      <c r="D755" s="37"/>
    </row>
    <row r="756" ht="15.75" customHeight="1">
      <c r="B756" s="37"/>
      <c r="C756" s="37"/>
      <c r="D756" s="37"/>
    </row>
    <row r="757" ht="15.75" customHeight="1">
      <c r="B757" s="37"/>
      <c r="C757" s="37"/>
      <c r="D757" s="37"/>
    </row>
    <row r="758" ht="15.75" customHeight="1">
      <c r="B758" s="37"/>
      <c r="C758" s="37"/>
      <c r="D758" s="37"/>
    </row>
    <row r="759" ht="15.75" customHeight="1">
      <c r="B759" s="37"/>
      <c r="C759" s="37"/>
      <c r="D759" s="37"/>
    </row>
    <row r="760" ht="15.75" customHeight="1">
      <c r="B760" s="37"/>
      <c r="C760" s="37"/>
      <c r="D760" s="37"/>
    </row>
    <row r="761" ht="15.75" customHeight="1">
      <c r="B761" s="37"/>
      <c r="C761" s="37"/>
      <c r="D761" s="37"/>
    </row>
    <row r="762" ht="15.75" customHeight="1">
      <c r="B762" s="37"/>
      <c r="C762" s="37"/>
      <c r="D762" s="37"/>
    </row>
    <row r="763" ht="15.75" customHeight="1">
      <c r="B763" s="37"/>
      <c r="C763" s="37"/>
      <c r="D763" s="37"/>
    </row>
    <row r="764" ht="15.75" customHeight="1">
      <c r="B764" s="37"/>
      <c r="C764" s="37"/>
      <c r="D764" s="37"/>
    </row>
    <row r="765" ht="15.75" customHeight="1">
      <c r="B765" s="37"/>
      <c r="C765" s="37"/>
      <c r="D765" s="37"/>
    </row>
    <row r="766" ht="15.75" customHeight="1">
      <c r="B766" s="37"/>
      <c r="C766" s="37"/>
      <c r="D766" s="37"/>
    </row>
    <row r="767" ht="15.75" customHeight="1">
      <c r="B767" s="37"/>
      <c r="C767" s="37"/>
      <c r="D767" s="37"/>
    </row>
    <row r="768" ht="15.75" customHeight="1">
      <c r="B768" s="37"/>
      <c r="C768" s="37"/>
      <c r="D768" s="37"/>
    </row>
    <row r="769" ht="15.75" customHeight="1">
      <c r="B769" s="37"/>
      <c r="C769" s="37"/>
      <c r="D769" s="37"/>
    </row>
    <row r="770" ht="15.75" customHeight="1">
      <c r="B770" s="37"/>
      <c r="C770" s="37"/>
      <c r="D770" s="37"/>
    </row>
    <row r="771" ht="15.75" customHeight="1">
      <c r="B771" s="37"/>
      <c r="C771" s="37"/>
      <c r="D771" s="37"/>
    </row>
    <row r="772" ht="15.75" customHeight="1">
      <c r="B772" s="37"/>
      <c r="C772" s="37"/>
      <c r="D772" s="37"/>
    </row>
    <row r="773" ht="15.75" customHeight="1">
      <c r="B773" s="37"/>
      <c r="C773" s="37"/>
      <c r="D773" s="37"/>
    </row>
    <row r="774" ht="15.75" customHeight="1">
      <c r="B774" s="37"/>
      <c r="C774" s="37"/>
      <c r="D774" s="37"/>
    </row>
    <row r="775" ht="15.75" customHeight="1">
      <c r="B775" s="37"/>
      <c r="C775" s="37"/>
      <c r="D775" s="37"/>
    </row>
    <row r="776" ht="15.75" customHeight="1">
      <c r="B776" s="37"/>
      <c r="C776" s="37"/>
      <c r="D776" s="37"/>
    </row>
    <row r="777" ht="15.75" customHeight="1">
      <c r="B777" s="37"/>
      <c r="C777" s="37"/>
      <c r="D777" s="37"/>
    </row>
    <row r="778" ht="15.75" customHeight="1">
      <c r="B778" s="37"/>
      <c r="C778" s="37"/>
      <c r="D778" s="37"/>
    </row>
    <row r="779" ht="15.75" customHeight="1">
      <c r="B779" s="37"/>
      <c r="C779" s="37"/>
      <c r="D779" s="37"/>
    </row>
    <row r="780" ht="15.75" customHeight="1">
      <c r="B780" s="37"/>
      <c r="C780" s="37"/>
      <c r="D780" s="37"/>
    </row>
    <row r="781" ht="15.75" customHeight="1">
      <c r="B781" s="37"/>
      <c r="C781" s="37"/>
      <c r="D781" s="37"/>
    </row>
    <row r="782" ht="15.75" customHeight="1">
      <c r="B782" s="37"/>
      <c r="C782" s="37"/>
      <c r="D782" s="37"/>
    </row>
    <row r="783" ht="15.75" customHeight="1">
      <c r="B783" s="37"/>
      <c r="C783" s="37"/>
      <c r="D783" s="37"/>
    </row>
    <row r="784" ht="15.75" customHeight="1">
      <c r="B784" s="37"/>
      <c r="C784" s="37"/>
      <c r="D784" s="37"/>
    </row>
    <row r="785" ht="15.75" customHeight="1">
      <c r="B785" s="37"/>
      <c r="C785" s="37"/>
      <c r="D785" s="37"/>
    </row>
    <row r="786" ht="15.75" customHeight="1">
      <c r="B786" s="37"/>
      <c r="C786" s="37"/>
      <c r="D786" s="37"/>
    </row>
    <row r="787" ht="15.75" customHeight="1">
      <c r="B787" s="37"/>
      <c r="C787" s="37"/>
      <c r="D787" s="37"/>
    </row>
    <row r="788" ht="15.75" customHeight="1">
      <c r="B788" s="37"/>
      <c r="C788" s="37"/>
      <c r="D788" s="37"/>
    </row>
    <row r="789" ht="15.75" customHeight="1">
      <c r="B789" s="37"/>
      <c r="C789" s="37"/>
      <c r="D789" s="37"/>
    </row>
    <row r="790" ht="15.75" customHeight="1">
      <c r="B790" s="37"/>
      <c r="C790" s="37"/>
      <c r="D790" s="37"/>
    </row>
    <row r="791" ht="15.75" customHeight="1">
      <c r="B791" s="37"/>
      <c r="C791" s="37"/>
      <c r="D791" s="37"/>
    </row>
    <row r="792" ht="15.75" customHeight="1">
      <c r="B792" s="37"/>
      <c r="C792" s="37"/>
      <c r="D792" s="37"/>
    </row>
    <row r="793" ht="15.75" customHeight="1">
      <c r="B793" s="37"/>
      <c r="C793" s="37"/>
      <c r="D793" s="37"/>
    </row>
    <row r="794" ht="15.75" customHeight="1">
      <c r="B794" s="37"/>
      <c r="C794" s="37"/>
      <c r="D794" s="37"/>
    </row>
    <row r="795" ht="15.75" customHeight="1">
      <c r="B795" s="37"/>
      <c r="C795" s="37"/>
      <c r="D795" s="37"/>
    </row>
    <row r="796" ht="15.75" customHeight="1">
      <c r="B796" s="37"/>
      <c r="C796" s="37"/>
      <c r="D796" s="37"/>
    </row>
    <row r="797" ht="15.75" customHeight="1">
      <c r="B797" s="37"/>
      <c r="C797" s="37"/>
      <c r="D797" s="37"/>
    </row>
    <row r="798" ht="15.75" customHeight="1">
      <c r="B798" s="37"/>
      <c r="C798" s="37"/>
      <c r="D798" s="37"/>
    </row>
    <row r="799" ht="15.75" customHeight="1">
      <c r="B799" s="37"/>
      <c r="C799" s="37"/>
      <c r="D799" s="37"/>
    </row>
    <row r="800" ht="15.75" customHeight="1">
      <c r="B800" s="37"/>
      <c r="C800" s="37"/>
      <c r="D800" s="37"/>
    </row>
    <row r="801" ht="15.75" customHeight="1">
      <c r="B801" s="37"/>
      <c r="C801" s="37"/>
      <c r="D801" s="37"/>
    </row>
    <row r="802" ht="15.75" customHeight="1">
      <c r="B802" s="37"/>
      <c r="C802" s="37"/>
      <c r="D802" s="37"/>
    </row>
    <row r="803" ht="15.75" customHeight="1">
      <c r="B803" s="37"/>
      <c r="C803" s="37"/>
      <c r="D803" s="37"/>
    </row>
    <row r="804" ht="15.75" customHeight="1">
      <c r="B804" s="37"/>
      <c r="C804" s="37"/>
      <c r="D804" s="37"/>
    </row>
    <row r="805" ht="15.75" customHeight="1">
      <c r="B805" s="37"/>
      <c r="C805" s="37"/>
      <c r="D805" s="37"/>
    </row>
    <row r="806" ht="15.75" customHeight="1">
      <c r="B806" s="37"/>
      <c r="C806" s="37"/>
      <c r="D806" s="37"/>
    </row>
    <row r="807" ht="15.75" customHeight="1">
      <c r="B807" s="37"/>
      <c r="C807" s="37"/>
      <c r="D807" s="37"/>
    </row>
    <row r="808" ht="15.75" customHeight="1">
      <c r="B808" s="37"/>
      <c r="C808" s="37"/>
      <c r="D808" s="37"/>
    </row>
    <row r="809" ht="15.75" customHeight="1">
      <c r="B809" s="37"/>
      <c r="C809" s="37"/>
      <c r="D809" s="37"/>
    </row>
    <row r="810" ht="15.75" customHeight="1">
      <c r="B810" s="37"/>
      <c r="C810" s="37"/>
      <c r="D810" s="37"/>
    </row>
    <row r="811" ht="15.75" customHeight="1">
      <c r="B811" s="37"/>
      <c r="C811" s="37"/>
      <c r="D811" s="37"/>
    </row>
    <row r="812" ht="15.75" customHeight="1">
      <c r="B812" s="37"/>
      <c r="C812" s="37"/>
      <c r="D812" s="37"/>
    </row>
    <row r="813" ht="15.75" customHeight="1">
      <c r="B813" s="37"/>
      <c r="C813" s="37"/>
      <c r="D813" s="37"/>
    </row>
    <row r="814" ht="15.75" customHeight="1">
      <c r="B814" s="37"/>
      <c r="C814" s="37"/>
      <c r="D814" s="37"/>
    </row>
    <row r="815" ht="15.75" customHeight="1">
      <c r="B815" s="37"/>
      <c r="C815" s="37"/>
      <c r="D815" s="37"/>
    </row>
    <row r="816" ht="15.75" customHeight="1">
      <c r="B816" s="37"/>
      <c r="C816" s="37"/>
      <c r="D816" s="37"/>
    </row>
    <row r="817" ht="15.75" customHeight="1">
      <c r="B817" s="37"/>
      <c r="C817" s="37"/>
      <c r="D817" s="37"/>
    </row>
    <row r="818" ht="15.75" customHeight="1">
      <c r="B818" s="37"/>
      <c r="C818" s="37"/>
      <c r="D818" s="37"/>
    </row>
    <row r="819" ht="15.75" customHeight="1">
      <c r="B819" s="37"/>
      <c r="C819" s="37"/>
      <c r="D819" s="37"/>
    </row>
    <row r="820" ht="15.75" customHeight="1">
      <c r="B820" s="37"/>
      <c r="C820" s="37"/>
      <c r="D820" s="37"/>
    </row>
    <row r="821" ht="15.75" customHeight="1">
      <c r="B821" s="37"/>
      <c r="C821" s="37"/>
      <c r="D821" s="37"/>
    </row>
    <row r="822" ht="15.75" customHeight="1">
      <c r="B822" s="37"/>
      <c r="C822" s="37"/>
      <c r="D822" s="37"/>
    </row>
    <row r="823" ht="15.75" customHeight="1">
      <c r="B823" s="37"/>
      <c r="C823" s="37"/>
      <c r="D823" s="37"/>
    </row>
    <row r="824" ht="15.75" customHeight="1">
      <c r="B824" s="37"/>
      <c r="C824" s="37"/>
      <c r="D824" s="37"/>
    </row>
    <row r="825" ht="15.75" customHeight="1">
      <c r="B825" s="37"/>
      <c r="C825" s="37"/>
      <c r="D825" s="37"/>
    </row>
    <row r="826" ht="15.75" customHeight="1">
      <c r="B826" s="37"/>
      <c r="C826" s="37"/>
      <c r="D826" s="37"/>
    </row>
    <row r="827" ht="15.75" customHeight="1">
      <c r="B827" s="37"/>
      <c r="C827" s="37"/>
      <c r="D827" s="37"/>
    </row>
    <row r="828" ht="15.75" customHeight="1">
      <c r="B828" s="37"/>
      <c r="C828" s="37"/>
      <c r="D828" s="37"/>
    </row>
    <row r="829" ht="15.75" customHeight="1">
      <c r="B829" s="37"/>
      <c r="C829" s="37"/>
      <c r="D829" s="37"/>
    </row>
    <row r="830" ht="15.75" customHeight="1">
      <c r="B830" s="37"/>
      <c r="C830" s="37"/>
      <c r="D830" s="37"/>
    </row>
    <row r="831" ht="15.75" customHeight="1">
      <c r="B831" s="37"/>
      <c r="C831" s="37"/>
      <c r="D831" s="37"/>
    </row>
    <row r="832" ht="15.75" customHeight="1">
      <c r="B832" s="37"/>
      <c r="C832" s="37"/>
      <c r="D832" s="37"/>
    </row>
    <row r="833" ht="15.75" customHeight="1">
      <c r="B833" s="37"/>
      <c r="C833" s="37"/>
      <c r="D833" s="37"/>
    </row>
    <row r="834" ht="15.75" customHeight="1">
      <c r="B834" s="37"/>
      <c r="C834" s="37"/>
      <c r="D834" s="37"/>
    </row>
    <row r="835" ht="15.75" customHeight="1">
      <c r="B835" s="37"/>
      <c r="C835" s="37"/>
      <c r="D835" s="37"/>
    </row>
    <row r="836" ht="15.75" customHeight="1">
      <c r="B836" s="37"/>
      <c r="C836" s="37"/>
      <c r="D836" s="37"/>
    </row>
    <row r="837" ht="15.75" customHeight="1">
      <c r="B837" s="37"/>
      <c r="C837" s="37"/>
      <c r="D837" s="37"/>
    </row>
    <row r="838" ht="15.75" customHeight="1">
      <c r="B838" s="37"/>
      <c r="C838" s="37"/>
      <c r="D838" s="37"/>
    </row>
    <row r="839" ht="15.75" customHeight="1">
      <c r="B839" s="37"/>
      <c r="C839" s="37"/>
      <c r="D839" s="37"/>
    </row>
    <row r="840" ht="15.75" customHeight="1">
      <c r="B840" s="37"/>
      <c r="C840" s="37"/>
      <c r="D840" s="37"/>
    </row>
    <row r="841" ht="15.75" customHeight="1">
      <c r="B841" s="37"/>
      <c r="C841" s="37"/>
      <c r="D841" s="37"/>
    </row>
    <row r="842" ht="15.75" customHeight="1">
      <c r="B842" s="37"/>
      <c r="C842" s="37"/>
      <c r="D842" s="37"/>
    </row>
    <row r="843" ht="15.75" customHeight="1">
      <c r="B843" s="37"/>
      <c r="C843" s="37"/>
      <c r="D843" s="37"/>
    </row>
    <row r="844" ht="15.75" customHeight="1">
      <c r="B844" s="37"/>
      <c r="C844" s="37"/>
      <c r="D844" s="37"/>
    </row>
    <row r="845" ht="15.75" customHeight="1">
      <c r="B845" s="37"/>
      <c r="C845" s="37"/>
      <c r="D845" s="37"/>
    </row>
    <row r="846" ht="15.75" customHeight="1">
      <c r="B846" s="37"/>
      <c r="C846" s="37"/>
      <c r="D846" s="37"/>
    </row>
    <row r="847" ht="15.75" customHeight="1">
      <c r="B847" s="37"/>
      <c r="C847" s="37"/>
      <c r="D847" s="37"/>
    </row>
    <row r="848" ht="15.75" customHeight="1">
      <c r="B848" s="37"/>
      <c r="C848" s="37"/>
      <c r="D848" s="37"/>
    </row>
    <row r="849" ht="15.75" customHeight="1">
      <c r="B849" s="37"/>
      <c r="C849" s="37"/>
      <c r="D849" s="37"/>
    </row>
    <row r="850" ht="15.75" customHeight="1">
      <c r="B850" s="37"/>
      <c r="C850" s="37"/>
      <c r="D850" s="37"/>
    </row>
    <row r="851" ht="15.75" customHeight="1">
      <c r="B851" s="37"/>
      <c r="C851" s="37"/>
      <c r="D851" s="37"/>
    </row>
    <row r="852" ht="15.75" customHeight="1">
      <c r="B852" s="37"/>
      <c r="C852" s="37"/>
      <c r="D852" s="37"/>
    </row>
    <row r="853" ht="15.75" customHeight="1">
      <c r="B853" s="37"/>
      <c r="C853" s="37"/>
      <c r="D853" s="37"/>
    </row>
    <row r="854" ht="15.75" customHeight="1">
      <c r="B854" s="37"/>
      <c r="C854" s="37"/>
      <c r="D854" s="37"/>
    </row>
    <row r="855" ht="15.75" customHeight="1">
      <c r="B855" s="37"/>
      <c r="C855" s="37"/>
      <c r="D855" s="37"/>
    </row>
    <row r="856" ht="15.75" customHeight="1">
      <c r="B856" s="37"/>
      <c r="C856" s="37"/>
      <c r="D856" s="37"/>
    </row>
    <row r="857" ht="15.75" customHeight="1">
      <c r="B857" s="37"/>
      <c r="C857" s="37"/>
      <c r="D857" s="37"/>
    </row>
    <row r="858" ht="15.75" customHeight="1">
      <c r="B858" s="37"/>
      <c r="C858" s="37"/>
      <c r="D858" s="37"/>
    </row>
    <row r="859" ht="15.75" customHeight="1">
      <c r="B859" s="37"/>
      <c r="C859" s="37"/>
      <c r="D859" s="37"/>
    </row>
    <row r="860" ht="15.75" customHeight="1">
      <c r="B860" s="37"/>
      <c r="C860" s="37"/>
      <c r="D860" s="37"/>
    </row>
    <row r="861" ht="15.75" customHeight="1">
      <c r="B861" s="37"/>
      <c r="C861" s="37"/>
      <c r="D861" s="37"/>
    </row>
    <row r="862" ht="15.75" customHeight="1">
      <c r="B862" s="37"/>
      <c r="C862" s="37"/>
      <c r="D862" s="37"/>
    </row>
    <row r="863" ht="15.75" customHeight="1">
      <c r="B863" s="37"/>
      <c r="C863" s="37"/>
      <c r="D863" s="37"/>
    </row>
    <row r="864" ht="15.75" customHeight="1">
      <c r="B864" s="37"/>
      <c r="C864" s="37"/>
      <c r="D864" s="37"/>
    </row>
    <row r="865" ht="15.75" customHeight="1">
      <c r="B865" s="37"/>
      <c r="C865" s="37"/>
      <c r="D865" s="37"/>
    </row>
    <row r="866" ht="15.75" customHeight="1">
      <c r="B866" s="37"/>
      <c r="C866" s="37"/>
      <c r="D866" s="37"/>
    </row>
    <row r="867" ht="15.75" customHeight="1">
      <c r="B867" s="37"/>
      <c r="C867" s="37"/>
      <c r="D867" s="37"/>
    </row>
    <row r="868" ht="15.75" customHeight="1">
      <c r="B868" s="37"/>
      <c r="C868" s="37"/>
      <c r="D868" s="37"/>
    </row>
    <row r="869" ht="15.75" customHeight="1">
      <c r="B869" s="37"/>
      <c r="C869" s="37"/>
      <c r="D869" s="37"/>
    </row>
    <row r="870" ht="15.75" customHeight="1">
      <c r="B870" s="37"/>
      <c r="C870" s="37"/>
      <c r="D870" s="37"/>
    </row>
    <row r="871" ht="15.75" customHeight="1">
      <c r="B871" s="37"/>
      <c r="C871" s="37"/>
      <c r="D871" s="37"/>
    </row>
    <row r="872" ht="15.75" customHeight="1">
      <c r="B872" s="37"/>
      <c r="C872" s="37"/>
      <c r="D872" s="37"/>
    </row>
    <row r="873" ht="15.75" customHeight="1">
      <c r="B873" s="37"/>
      <c r="C873" s="37"/>
      <c r="D873" s="37"/>
    </row>
    <row r="874" ht="15.75" customHeight="1">
      <c r="B874" s="37"/>
      <c r="C874" s="37"/>
      <c r="D874" s="37"/>
    </row>
    <row r="875" ht="15.75" customHeight="1">
      <c r="B875" s="37"/>
      <c r="C875" s="37"/>
      <c r="D875" s="37"/>
    </row>
    <row r="876" ht="15.75" customHeight="1">
      <c r="B876" s="37"/>
      <c r="C876" s="37"/>
      <c r="D876" s="37"/>
    </row>
    <row r="877" ht="15.75" customHeight="1">
      <c r="B877" s="37"/>
      <c r="C877" s="37"/>
      <c r="D877" s="37"/>
    </row>
    <row r="878" ht="15.75" customHeight="1">
      <c r="B878" s="37"/>
      <c r="C878" s="37"/>
      <c r="D878" s="37"/>
    </row>
    <row r="879" ht="15.75" customHeight="1">
      <c r="B879" s="37"/>
      <c r="C879" s="37"/>
      <c r="D879" s="37"/>
    </row>
    <row r="880" ht="15.75" customHeight="1">
      <c r="B880" s="37"/>
      <c r="C880" s="37"/>
      <c r="D880" s="37"/>
    </row>
    <row r="881" ht="15.75" customHeight="1">
      <c r="B881" s="37"/>
      <c r="C881" s="37"/>
      <c r="D881" s="37"/>
    </row>
    <row r="882" ht="15.75" customHeight="1">
      <c r="B882" s="37"/>
      <c r="C882" s="37"/>
      <c r="D882" s="37"/>
    </row>
    <row r="883" ht="15.75" customHeight="1">
      <c r="B883" s="37"/>
      <c r="C883" s="37"/>
      <c r="D883" s="37"/>
    </row>
    <row r="884" ht="15.75" customHeight="1">
      <c r="B884" s="37"/>
      <c r="C884" s="37"/>
      <c r="D884" s="37"/>
    </row>
    <row r="885" ht="15.75" customHeight="1">
      <c r="B885" s="37"/>
      <c r="C885" s="37"/>
      <c r="D885" s="37"/>
    </row>
    <row r="886" ht="15.75" customHeight="1">
      <c r="B886" s="37"/>
      <c r="C886" s="37"/>
      <c r="D886" s="37"/>
    </row>
    <row r="887" ht="15.75" customHeight="1">
      <c r="B887" s="37"/>
      <c r="C887" s="37"/>
      <c r="D887" s="37"/>
    </row>
    <row r="888" ht="15.75" customHeight="1">
      <c r="B888" s="37"/>
      <c r="C888" s="37"/>
      <c r="D888" s="37"/>
    </row>
    <row r="889" ht="15.75" customHeight="1">
      <c r="B889" s="37"/>
      <c r="C889" s="37"/>
      <c r="D889" s="37"/>
    </row>
    <row r="890" ht="15.75" customHeight="1">
      <c r="B890" s="37"/>
      <c r="C890" s="37"/>
      <c r="D890" s="37"/>
    </row>
    <row r="891" ht="15.75" customHeight="1">
      <c r="B891" s="37"/>
      <c r="C891" s="37"/>
      <c r="D891" s="37"/>
    </row>
    <row r="892" ht="15.75" customHeight="1">
      <c r="B892" s="37"/>
      <c r="C892" s="37"/>
      <c r="D892" s="37"/>
    </row>
    <row r="893" ht="15.75" customHeight="1">
      <c r="B893" s="37"/>
      <c r="C893" s="37"/>
      <c r="D893" s="37"/>
    </row>
    <row r="894" ht="15.75" customHeight="1">
      <c r="B894" s="37"/>
      <c r="C894" s="37"/>
      <c r="D894" s="37"/>
    </row>
    <row r="895" ht="15.75" customHeight="1">
      <c r="B895" s="37"/>
      <c r="C895" s="37"/>
      <c r="D895" s="37"/>
    </row>
    <row r="896" ht="15.75" customHeight="1">
      <c r="B896" s="37"/>
      <c r="C896" s="37"/>
      <c r="D896" s="37"/>
    </row>
    <row r="897" ht="15.75" customHeight="1">
      <c r="B897" s="37"/>
      <c r="C897" s="37"/>
      <c r="D897" s="37"/>
    </row>
    <row r="898" ht="15.75" customHeight="1">
      <c r="B898" s="37"/>
      <c r="C898" s="37"/>
      <c r="D898" s="37"/>
    </row>
    <row r="899" ht="15.75" customHeight="1">
      <c r="B899" s="37"/>
      <c r="C899" s="37"/>
      <c r="D899" s="37"/>
    </row>
    <row r="900" ht="15.75" customHeight="1">
      <c r="B900" s="37"/>
      <c r="C900" s="37"/>
      <c r="D900" s="37"/>
    </row>
    <row r="901" ht="15.75" customHeight="1">
      <c r="B901" s="37"/>
      <c r="C901" s="37"/>
      <c r="D901" s="37"/>
    </row>
    <row r="902" ht="15.75" customHeight="1">
      <c r="B902" s="37"/>
      <c r="C902" s="37"/>
      <c r="D902" s="37"/>
    </row>
    <row r="903" ht="15.75" customHeight="1">
      <c r="B903" s="37"/>
      <c r="C903" s="37"/>
      <c r="D903" s="37"/>
    </row>
    <row r="904" ht="15.75" customHeight="1">
      <c r="B904" s="37"/>
      <c r="C904" s="37"/>
      <c r="D904" s="37"/>
    </row>
    <row r="905" ht="15.75" customHeight="1">
      <c r="B905" s="37"/>
      <c r="C905" s="37"/>
      <c r="D905" s="37"/>
    </row>
    <row r="906" ht="15.75" customHeight="1">
      <c r="B906" s="37"/>
      <c r="C906" s="37"/>
      <c r="D906" s="37"/>
    </row>
    <row r="907" ht="15.75" customHeight="1">
      <c r="B907" s="37"/>
      <c r="C907" s="37"/>
      <c r="D907" s="37"/>
    </row>
    <row r="908" ht="15.75" customHeight="1">
      <c r="B908" s="37"/>
      <c r="C908" s="37"/>
      <c r="D908" s="37"/>
    </row>
    <row r="909" ht="15.75" customHeight="1">
      <c r="B909" s="37"/>
      <c r="C909" s="37"/>
      <c r="D909" s="37"/>
    </row>
    <row r="910" ht="15.75" customHeight="1">
      <c r="B910" s="37"/>
      <c r="C910" s="37"/>
      <c r="D910" s="37"/>
    </row>
    <row r="911" ht="15.75" customHeight="1">
      <c r="B911" s="37"/>
      <c r="C911" s="37"/>
      <c r="D911" s="37"/>
    </row>
    <row r="912" ht="15.75" customHeight="1">
      <c r="B912" s="37"/>
      <c r="C912" s="37"/>
      <c r="D912" s="37"/>
    </row>
    <row r="913" ht="15.75" customHeight="1">
      <c r="B913" s="37"/>
      <c r="C913" s="37"/>
      <c r="D913" s="37"/>
    </row>
    <row r="914" ht="15.75" customHeight="1">
      <c r="B914" s="37"/>
      <c r="C914" s="37"/>
      <c r="D914" s="37"/>
    </row>
    <row r="915" ht="15.75" customHeight="1">
      <c r="B915" s="37"/>
      <c r="C915" s="37"/>
      <c r="D915" s="37"/>
    </row>
    <row r="916" ht="15.75" customHeight="1">
      <c r="B916" s="37"/>
      <c r="C916" s="37"/>
      <c r="D916" s="37"/>
    </row>
    <row r="917" ht="15.75" customHeight="1">
      <c r="B917" s="37"/>
      <c r="C917" s="37"/>
      <c r="D917" s="37"/>
    </row>
    <row r="918" ht="15.75" customHeight="1">
      <c r="B918" s="37"/>
      <c r="C918" s="37"/>
      <c r="D918" s="37"/>
    </row>
    <row r="919" ht="15.75" customHeight="1">
      <c r="B919" s="37"/>
      <c r="C919" s="37"/>
      <c r="D919" s="37"/>
    </row>
    <row r="920" ht="15.75" customHeight="1">
      <c r="B920" s="37"/>
      <c r="C920" s="37"/>
      <c r="D920" s="37"/>
    </row>
    <row r="921" ht="15.75" customHeight="1">
      <c r="B921" s="37"/>
      <c r="C921" s="37"/>
      <c r="D921" s="37"/>
    </row>
    <row r="922" ht="15.75" customHeight="1">
      <c r="B922" s="37"/>
      <c r="C922" s="37"/>
      <c r="D922" s="37"/>
    </row>
    <row r="923" ht="15.75" customHeight="1">
      <c r="B923" s="37"/>
      <c r="C923" s="37"/>
      <c r="D923" s="37"/>
    </row>
    <row r="924" ht="15.75" customHeight="1">
      <c r="B924" s="37"/>
      <c r="C924" s="37"/>
      <c r="D924" s="37"/>
    </row>
    <row r="925" ht="15.75" customHeight="1">
      <c r="B925" s="37"/>
      <c r="C925" s="37"/>
      <c r="D925" s="37"/>
    </row>
    <row r="926" ht="15.75" customHeight="1">
      <c r="B926" s="37"/>
      <c r="C926" s="37"/>
      <c r="D926" s="37"/>
    </row>
    <row r="927" ht="15.75" customHeight="1">
      <c r="B927" s="37"/>
      <c r="C927" s="37"/>
      <c r="D927" s="37"/>
    </row>
    <row r="928" ht="15.75" customHeight="1">
      <c r="B928" s="37"/>
      <c r="C928" s="37"/>
      <c r="D928" s="37"/>
    </row>
    <row r="929" ht="15.75" customHeight="1">
      <c r="B929" s="37"/>
      <c r="C929" s="37"/>
      <c r="D929" s="37"/>
    </row>
    <row r="930" ht="15.75" customHeight="1">
      <c r="B930" s="37"/>
      <c r="C930" s="37"/>
      <c r="D930" s="37"/>
    </row>
    <row r="931" ht="15.75" customHeight="1">
      <c r="B931" s="37"/>
      <c r="C931" s="37"/>
      <c r="D931" s="37"/>
    </row>
    <row r="932" ht="15.75" customHeight="1">
      <c r="B932" s="37"/>
      <c r="C932" s="37"/>
      <c r="D932" s="37"/>
    </row>
    <row r="933" ht="15.75" customHeight="1">
      <c r="B933" s="37"/>
      <c r="C933" s="37"/>
      <c r="D933" s="37"/>
    </row>
    <row r="934" ht="15.75" customHeight="1">
      <c r="B934" s="37"/>
      <c r="C934" s="37"/>
      <c r="D934" s="37"/>
    </row>
    <row r="935" ht="15.75" customHeight="1">
      <c r="B935" s="37"/>
      <c r="C935" s="37"/>
      <c r="D935" s="37"/>
    </row>
    <row r="936" ht="15.75" customHeight="1">
      <c r="B936" s="37"/>
      <c r="C936" s="37"/>
      <c r="D936" s="37"/>
    </row>
    <row r="937" ht="15.75" customHeight="1">
      <c r="B937" s="37"/>
      <c r="C937" s="37"/>
      <c r="D937" s="37"/>
    </row>
    <row r="938" ht="15.75" customHeight="1">
      <c r="B938" s="37"/>
      <c r="C938" s="37"/>
      <c r="D938" s="37"/>
    </row>
    <row r="939" ht="15.75" customHeight="1">
      <c r="B939" s="37"/>
      <c r="C939" s="37"/>
      <c r="D939" s="37"/>
    </row>
    <row r="940" ht="15.75" customHeight="1">
      <c r="B940" s="37"/>
      <c r="C940" s="37"/>
      <c r="D940" s="37"/>
    </row>
    <row r="941" ht="15.75" customHeight="1">
      <c r="B941" s="37"/>
      <c r="C941" s="37"/>
      <c r="D941" s="37"/>
    </row>
    <row r="942" ht="15.75" customHeight="1">
      <c r="B942" s="37"/>
      <c r="C942" s="37"/>
      <c r="D942" s="37"/>
    </row>
    <row r="943" ht="15.75" customHeight="1">
      <c r="B943" s="37"/>
      <c r="C943" s="37"/>
      <c r="D943" s="37"/>
    </row>
    <row r="944" ht="15.75" customHeight="1">
      <c r="B944" s="37"/>
      <c r="C944" s="37"/>
      <c r="D944" s="37"/>
    </row>
    <row r="945" ht="15.75" customHeight="1">
      <c r="B945" s="37"/>
      <c r="C945" s="37"/>
      <c r="D945" s="37"/>
    </row>
    <row r="946" ht="15.75" customHeight="1">
      <c r="B946" s="37"/>
      <c r="C946" s="37"/>
      <c r="D946" s="37"/>
    </row>
    <row r="947" ht="15.75" customHeight="1">
      <c r="B947" s="37"/>
      <c r="C947" s="37"/>
      <c r="D947" s="37"/>
    </row>
    <row r="948" ht="15.75" customHeight="1">
      <c r="B948" s="37"/>
      <c r="C948" s="37"/>
      <c r="D948" s="37"/>
    </row>
    <row r="949" ht="15.75" customHeight="1">
      <c r="B949" s="37"/>
      <c r="C949" s="37"/>
      <c r="D949" s="37"/>
    </row>
    <row r="950" ht="15.75" customHeight="1">
      <c r="B950" s="37"/>
      <c r="C950" s="37"/>
      <c r="D950" s="37"/>
    </row>
    <row r="951" ht="15.75" customHeight="1">
      <c r="B951" s="37"/>
      <c r="C951" s="37"/>
      <c r="D951" s="37"/>
    </row>
    <row r="952" ht="15.75" customHeight="1">
      <c r="B952" s="37"/>
      <c r="C952" s="37"/>
      <c r="D952" s="37"/>
    </row>
    <row r="953" ht="15.75" customHeight="1">
      <c r="B953" s="37"/>
      <c r="C953" s="37"/>
      <c r="D953" s="37"/>
    </row>
    <row r="954" ht="15.75" customHeight="1">
      <c r="B954" s="37"/>
      <c r="C954" s="37"/>
      <c r="D954" s="37"/>
    </row>
    <row r="955" ht="15.75" customHeight="1">
      <c r="B955" s="37"/>
      <c r="C955" s="37"/>
      <c r="D955" s="37"/>
    </row>
    <row r="956" ht="15.75" customHeight="1">
      <c r="B956" s="37"/>
      <c r="C956" s="37"/>
      <c r="D956" s="37"/>
    </row>
    <row r="957" ht="15.75" customHeight="1">
      <c r="B957" s="37"/>
      <c r="C957" s="37"/>
      <c r="D957" s="37"/>
    </row>
    <row r="958" ht="15.75" customHeight="1">
      <c r="B958" s="37"/>
      <c r="C958" s="37"/>
      <c r="D958" s="37"/>
    </row>
    <row r="959" ht="15.75" customHeight="1">
      <c r="B959" s="37"/>
      <c r="C959" s="37"/>
      <c r="D959" s="37"/>
    </row>
    <row r="960" ht="15.75" customHeight="1">
      <c r="B960" s="37"/>
      <c r="C960" s="37"/>
      <c r="D960" s="37"/>
    </row>
    <row r="961" ht="15.75" customHeight="1">
      <c r="B961" s="37"/>
      <c r="C961" s="37"/>
      <c r="D961" s="37"/>
    </row>
    <row r="962" ht="15.75" customHeight="1">
      <c r="B962" s="37"/>
      <c r="C962" s="37"/>
      <c r="D962" s="37"/>
    </row>
    <row r="963" ht="15.75" customHeight="1">
      <c r="B963" s="37"/>
      <c r="C963" s="37"/>
      <c r="D963" s="37"/>
    </row>
    <row r="964" ht="15.75" customHeight="1">
      <c r="B964" s="37"/>
      <c r="C964" s="37"/>
      <c r="D964" s="37"/>
    </row>
    <row r="965" ht="15.75" customHeight="1">
      <c r="B965" s="37"/>
      <c r="C965" s="37"/>
      <c r="D965" s="37"/>
    </row>
    <row r="966" ht="15.75" customHeight="1">
      <c r="B966" s="37"/>
      <c r="C966" s="37"/>
      <c r="D966" s="37"/>
    </row>
    <row r="967" ht="15.75" customHeight="1">
      <c r="B967" s="37"/>
      <c r="C967" s="37"/>
      <c r="D967" s="37"/>
    </row>
    <row r="968" ht="15.75" customHeight="1">
      <c r="B968" s="37"/>
      <c r="C968" s="37"/>
      <c r="D968" s="37"/>
    </row>
    <row r="969" ht="15.75" customHeight="1">
      <c r="B969" s="37"/>
      <c r="C969" s="37"/>
      <c r="D969" s="37"/>
    </row>
    <row r="970" ht="15.75" customHeight="1">
      <c r="B970" s="37"/>
      <c r="C970" s="37"/>
      <c r="D970" s="37"/>
    </row>
    <row r="971" ht="15.75" customHeight="1">
      <c r="B971" s="37"/>
      <c r="C971" s="37"/>
      <c r="D971" s="37"/>
    </row>
    <row r="972" ht="15.75" customHeight="1">
      <c r="B972" s="37"/>
      <c r="C972" s="37"/>
      <c r="D972" s="37"/>
    </row>
    <row r="973" ht="15.75" customHeight="1">
      <c r="B973" s="37"/>
      <c r="C973" s="37"/>
      <c r="D973" s="37"/>
    </row>
    <row r="974" ht="15.75" customHeight="1">
      <c r="B974" s="37"/>
      <c r="C974" s="37"/>
      <c r="D974" s="37"/>
    </row>
    <row r="975" ht="15.75" customHeight="1">
      <c r="B975" s="37"/>
      <c r="C975" s="37"/>
      <c r="D975" s="37"/>
    </row>
    <row r="976" ht="15.75" customHeight="1">
      <c r="B976" s="37"/>
      <c r="C976" s="37"/>
      <c r="D976" s="37"/>
    </row>
    <row r="977" ht="15.75" customHeight="1">
      <c r="B977" s="37"/>
      <c r="C977" s="37"/>
      <c r="D977" s="37"/>
    </row>
    <row r="978" ht="15.75" customHeight="1">
      <c r="B978" s="37"/>
      <c r="C978" s="37"/>
      <c r="D978" s="37"/>
    </row>
    <row r="979" ht="15.75" customHeight="1">
      <c r="B979" s="37"/>
      <c r="C979" s="37"/>
      <c r="D979" s="37"/>
    </row>
    <row r="980" ht="15.75" customHeight="1">
      <c r="B980" s="37"/>
      <c r="C980" s="37"/>
      <c r="D980" s="37"/>
    </row>
    <row r="981" ht="15.75" customHeight="1">
      <c r="B981" s="37"/>
      <c r="C981" s="37"/>
      <c r="D981" s="37"/>
    </row>
    <row r="982" ht="15.75" customHeight="1">
      <c r="B982" s="37"/>
      <c r="C982" s="37"/>
      <c r="D982" s="37"/>
    </row>
    <row r="983" ht="15.75" customHeight="1">
      <c r="B983" s="37"/>
      <c r="C983" s="37"/>
      <c r="D983" s="37"/>
    </row>
    <row r="984" ht="15.75" customHeight="1">
      <c r="B984" s="37"/>
      <c r="C984" s="37"/>
      <c r="D984" s="37"/>
    </row>
    <row r="985" ht="15.75" customHeight="1">
      <c r="B985" s="37"/>
      <c r="C985" s="37"/>
      <c r="D985" s="37"/>
    </row>
    <row r="986" ht="15.75" customHeight="1">
      <c r="B986" s="37"/>
      <c r="C986" s="37"/>
      <c r="D986" s="37"/>
    </row>
    <row r="987" ht="15.75" customHeight="1">
      <c r="B987" s="37"/>
      <c r="C987" s="37"/>
      <c r="D987" s="37"/>
    </row>
    <row r="988" ht="15.75" customHeight="1">
      <c r="B988" s="37"/>
      <c r="C988" s="37"/>
      <c r="D988" s="37"/>
    </row>
    <row r="989" ht="15.75" customHeight="1">
      <c r="B989" s="37"/>
      <c r="C989" s="37"/>
      <c r="D989" s="37"/>
    </row>
    <row r="990" ht="15.75" customHeight="1">
      <c r="B990" s="37"/>
      <c r="C990" s="37"/>
      <c r="D990" s="37"/>
    </row>
    <row r="991" ht="15.75" customHeight="1">
      <c r="B991" s="37"/>
      <c r="C991" s="37"/>
      <c r="D991" s="37"/>
    </row>
    <row r="992" ht="15.75" customHeight="1">
      <c r="B992" s="37"/>
      <c r="C992" s="37"/>
      <c r="D992" s="37"/>
    </row>
    <row r="993" ht="15.75" customHeight="1">
      <c r="B993" s="37"/>
      <c r="C993" s="37"/>
      <c r="D993" s="37"/>
    </row>
    <row r="994" ht="15.75" customHeight="1">
      <c r="B994" s="37"/>
      <c r="C994" s="37"/>
      <c r="D994" s="37"/>
    </row>
    <row r="995" ht="15.75" customHeight="1">
      <c r="B995" s="37"/>
      <c r="C995" s="37"/>
      <c r="D995" s="37"/>
    </row>
    <row r="996" ht="15.75" customHeight="1">
      <c r="B996" s="37"/>
      <c r="C996" s="37"/>
      <c r="D996" s="37"/>
    </row>
    <row r="997" ht="15.75" customHeight="1">
      <c r="B997" s="37"/>
      <c r="C997" s="37"/>
      <c r="D997" s="37"/>
    </row>
    <row r="998" ht="15.75" customHeight="1">
      <c r="B998" s="37"/>
      <c r="C998" s="37"/>
      <c r="D998" s="37"/>
    </row>
    <row r="999" ht="15.75" customHeight="1">
      <c r="B999" s="37"/>
      <c r="C999" s="37"/>
      <c r="D999" s="37"/>
    </row>
    <row r="1000" ht="15.75" customHeight="1">
      <c r="B1000" s="37"/>
      <c r="C1000" s="37"/>
      <c r="D1000" s="37"/>
    </row>
    <row r="1001" ht="15.75" customHeight="1">
      <c r="B1001" s="37"/>
      <c r="C1001" s="37"/>
      <c r="D1001" s="37"/>
    </row>
    <row r="1002" ht="15.75" customHeight="1">
      <c r="B1002" s="37"/>
      <c r="C1002" s="37"/>
      <c r="D1002" s="37"/>
    </row>
    <row r="1003" ht="15.75" customHeight="1">
      <c r="B1003" s="37"/>
      <c r="C1003" s="37"/>
      <c r="D1003" s="37"/>
    </row>
    <row r="1004" ht="15.75" customHeight="1">
      <c r="B1004" s="37"/>
      <c r="C1004" s="37"/>
      <c r="D1004" s="37"/>
    </row>
    <row r="1005" ht="15.75" customHeight="1">
      <c r="B1005" s="37"/>
      <c r="C1005" s="37"/>
      <c r="D1005" s="37"/>
    </row>
    <row r="1006" ht="15.75" customHeight="1">
      <c r="B1006" s="37"/>
      <c r="C1006" s="37"/>
      <c r="D1006" s="37"/>
    </row>
    <row r="1007" ht="15.75" customHeight="1">
      <c r="B1007" s="37"/>
      <c r="C1007" s="37"/>
      <c r="D1007" s="37"/>
    </row>
    <row r="1008" ht="15.75" customHeight="1">
      <c r="B1008" s="37"/>
      <c r="C1008" s="37"/>
      <c r="D1008" s="37"/>
    </row>
    <row r="1009" ht="15.75" customHeight="1">
      <c r="B1009" s="37"/>
      <c r="C1009" s="37"/>
      <c r="D1009" s="37"/>
    </row>
    <row r="1010" ht="15.75" customHeight="1">
      <c r="B1010" s="37"/>
      <c r="C1010" s="37"/>
      <c r="D1010" s="37"/>
    </row>
    <row r="1011" ht="15.75" customHeight="1">
      <c r="B1011" s="37"/>
      <c r="C1011" s="37"/>
      <c r="D1011" s="37"/>
    </row>
    <row r="1012" ht="15.75" customHeight="1">
      <c r="B1012" s="37"/>
      <c r="C1012" s="37"/>
      <c r="D1012" s="37"/>
    </row>
    <row r="1013" ht="15.75" customHeight="1">
      <c r="B1013" s="37"/>
      <c r="C1013" s="37"/>
      <c r="D1013" s="37"/>
    </row>
    <row r="1014" ht="15.75" customHeight="1">
      <c r="B1014" s="37"/>
      <c r="C1014" s="37"/>
      <c r="D1014" s="37"/>
    </row>
    <row r="1015" ht="15.75" customHeight="1">
      <c r="B1015" s="37"/>
      <c r="C1015" s="37"/>
      <c r="D1015" s="37"/>
    </row>
    <row r="1016" ht="15.75" customHeight="1">
      <c r="B1016" s="37"/>
      <c r="C1016" s="37"/>
      <c r="D1016" s="37"/>
    </row>
    <row r="1017" ht="15.75" customHeight="1">
      <c r="B1017" s="37"/>
      <c r="C1017" s="37"/>
      <c r="D1017" s="37"/>
    </row>
    <row r="1018" ht="15.75" customHeight="1">
      <c r="B1018" s="37"/>
      <c r="C1018" s="37"/>
      <c r="D1018" s="37"/>
    </row>
    <row r="1019" ht="15.75" customHeight="1">
      <c r="B1019" s="37"/>
      <c r="C1019" s="37"/>
      <c r="D1019" s="37"/>
    </row>
    <row r="1020" ht="15.75" customHeight="1">
      <c r="B1020" s="37"/>
      <c r="C1020" s="37"/>
      <c r="D1020" s="37"/>
    </row>
    <row r="1021" ht="15.75" customHeight="1">
      <c r="B1021" s="37"/>
      <c r="C1021" s="37"/>
      <c r="D1021" s="37"/>
    </row>
    <row r="1022" ht="15.75" customHeight="1">
      <c r="B1022" s="37"/>
      <c r="C1022" s="37"/>
      <c r="D1022" s="37"/>
    </row>
    <row r="1023" ht="15.75" customHeight="1">
      <c r="B1023" s="37"/>
      <c r="C1023" s="37"/>
      <c r="D1023" s="37"/>
    </row>
    <row r="1024" ht="15.75" customHeight="1">
      <c r="B1024" s="37"/>
      <c r="C1024" s="37"/>
      <c r="D1024" s="37"/>
    </row>
    <row r="1025" ht="15.75" customHeight="1">
      <c r="B1025" s="37"/>
      <c r="C1025" s="37"/>
      <c r="D1025" s="37"/>
    </row>
    <row r="1026" ht="15.75" customHeight="1">
      <c r="B1026" s="37"/>
      <c r="C1026" s="37"/>
      <c r="D1026" s="37"/>
    </row>
    <row r="1027" ht="15.75" customHeight="1">
      <c r="B1027" s="37"/>
      <c r="C1027" s="37"/>
      <c r="D1027" s="37"/>
    </row>
    <row r="1028" ht="15.75" customHeight="1">
      <c r="B1028" s="37"/>
      <c r="C1028" s="37"/>
      <c r="D1028" s="37"/>
    </row>
    <row r="1029" ht="15.75" customHeight="1">
      <c r="B1029" s="37"/>
      <c r="C1029" s="37"/>
      <c r="D1029" s="37"/>
    </row>
    <row r="1030" ht="15.75" customHeight="1">
      <c r="B1030" s="37"/>
      <c r="C1030" s="37"/>
      <c r="D1030" s="37"/>
    </row>
    <row r="1031" ht="15.75" customHeight="1">
      <c r="B1031" s="37"/>
      <c r="C1031" s="37"/>
      <c r="D1031" s="37"/>
    </row>
    <row r="1032" ht="15.75" customHeight="1">
      <c r="B1032" s="37"/>
      <c r="C1032" s="37"/>
      <c r="D1032" s="37"/>
    </row>
    <row r="1033" ht="15.75" customHeight="1">
      <c r="B1033" s="37"/>
      <c r="C1033" s="37"/>
      <c r="D1033" s="37"/>
    </row>
    <row r="1034" ht="15.75" customHeight="1">
      <c r="B1034" s="37"/>
      <c r="C1034" s="37"/>
      <c r="D1034" s="37"/>
    </row>
    <row r="1035" ht="15.75" customHeight="1">
      <c r="B1035" s="37"/>
      <c r="C1035" s="37"/>
      <c r="D1035" s="37"/>
    </row>
    <row r="1036" ht="15.75" customHeight="1">
      <c r="B1036" s="37"/>
      <c r="C1036" s="37"/>
      <c r="D1036" s="37"/>
    </row>
    <row r="1037" ht="15.75" customHeight="1">
      <c r="B1037" s="37"/>
      <c r="C1037" s="37"/>
      <c r="D1037" s="37"/>
    </row>
    <row r="1038" ht="15.75" customHeight="1">
      <c r="B1038" s="37"/>
      <c r="C1038" s="37"/>
      <c r="D1038" s="37"/>
    </row>
    <row r="1039" ht="15.75" customHeight="1">
      <c r="B1039" s="37"/>
      <c r="C1039" s="37"/>
      <c r="D1039" s="37"/>
    </row>
    <row r="1040" ht="15.75" customHeight="1">
      <c r="B1040" s="37"/>
      <c r="C1040" s="37"/>
      <c r="D1040" s="37"/>
    </row>
    <row r="1041" ht="15.75" customHeight="1">
      <c r="B1041" s="37"/>
      <c r="C1041" s="37"/>
      <c r="D1041" s="37"/>
    </row>
    <row r="1042" ht="15.75" customHeight="1">
      <c r="B1042" s="37"/>
      <c r="C1042" s="37"/>
      <c r="D1042" s="37"/>
    </row>
    <row r="1043" ht="15.75" customHeight="1">
      <c r="B1043" s="37"/>
      <c r="C1043" s="37"/>
      <c r="D1043" s="37"/>
    </row>
    <row r="1044" ht="15.75" customHeight="1">
      <c r="B1044" s="37"/>
      <c r="C1044" s="37"/>
      <c r="D1044" s="37"/>
    </row>
    <row r="1045" ht="15.75" customHeight="1">
      <c r="B1045" s="37"/>
      <c r="C1045" s="37"/>
      <c r="D1045" s="37"/>
    </row>
    <row r="1046" ht="15.75" customHeight="1">
      <c r="B1046" s="37"/>
      <c r="C1046" s="37"/>
      <c r="D1046" s="37"/>
    </row>
    <row r="1047" ht="15.75" customHeight="1">
      <c r="B1047" s="37"/>
      <c r="C1047" s="37"/>
      <c r="D1047" s="37"/>
    </row>
    <row r="1048" ht="15.75" customHeight="1">
      <c r="B1048" s="37"/>
      <c r="C1048" s="37"/>
      <c r="D1048" s="37"/>
    </row>
    <row r="1049" ht="15.75" customHeight="1">
      <c r="B1049" s="37"/>
      <c r="C1049" s="37"/>
      <c r="D1049" s="37"/>
    </row>
    <row r="1050" ht="15.75" customHeight="1">
      <c r="B1050" s="37"/>
      <c r="C1050" s="37"/>
      <c r="D1050" s="37"/>
    </row>
    <row r="1051" ht="15.75" customHeight="1">
      <c r="B1051" s="37"/>
      <c r="C1051" s="37"/>
      <c r="D1051" s="37"/>
    </row>
    <row r="1052" ht="15.75" customHeight="1">
      <c r="B1052" s="37"/>
      <c r="C1052" s="37"/>
      <c r="D1052" s="37"/>
    </row>
    <row r="1053" ht="15.75" customHeight="1">
      <c r="B1053" s="37"/>
      <c r="C1053" s="37"/>
      <c r="D1053" s="37"/>
    </row>
    <row r="1054" ht="15.75" customHeight="1">
      <c r="B1054" s="37"/>
      <c r="C1054" s="37"/>
      <c r="D1054" s="37"/>
    </row>
    <row r="1055" ht="15.75" customHeight="1">
      <c r="B1055" s="37"/>
      <c r="C1055" s="37"/>
      <c r="D1055" s="37"/>
    </row>
    <row r="1056" ht="15.75" customHeight="1">
      <c r="B1056" s="37"/>
      <c r="C1056" s="37"/>
      <c r="D1056" s="37"/>
    </row>
    <row r="1057" ht="15.75" customHeight="1">
      <c r="B1057" s="37"/>
      <c r="C1057" s="37"/>
      <c r="D1057" s="37"/>
    </row>
    <row r="1058" ht="15.75" customHeight="1">
      <c r="B1058" s="37"/>
      <c r="C1058" s="37"/>
      <c r="D1058" s="37"/>
    </row>
    <row r="1059" ht="15.75" customHeight="1">
      <c r="B1059" s="37"/>
      <c r="C1059" s="37"/>
      <c r="D1059" s="37"/>
    </row>
    <row r="1060" ht="15.75" customHeight="1">
      <c r="B1060" s="37"/>
      <c r="C1060" s="37"/>
      <c r="D1060" s="37"/>
    </row>
    <row r="1061" ht="15.75" customHeight="1">
      <c r="B1061" s="37"/>
      <c r="C1061" s="37"/>
      <c r="D1061" s="37"/>
    </row>
    <row r="1062" ht="15.75" customHeight="1">
      <c r="B1062" s="37"/>
      <c r="C1062" s="37"/>
      <c r="D1062" s="37"/>
    </row>
    <row r="1063" ht="15.75" customHeight="1">
      <c r="B1063" s="37"/>
      <c r="C1063" s="37"/>
      <c r="D1063" s="37"/>
    </row>
    <row r="1064" ht="15.75" customHeight="1">
      <c r="B1064" s="37"/>
      <c r="C1064" s="37"/>
      <c r="D1064" s="37"/>
    </row>
    <row r="1065" ht="15.75" customHeight="1">
      <c r="B1065" s="37"/>
      <c r="C1065" s="37"/>
      <c r="D1065" s="37"/>
    </row>
    <row r="1066" ht="15.75" customHeight="1">
      <c r="B1066" s="37"/>
      <c r="C1066" s="37"/>
      <c r="D1066" s="37"/>
    </row>
    <row r="1067" ht="15.75" customHeight="1">
      <c r="B1067" s="37"/>
      <c r="C1067" s="37"/>
      <c r="D1067" s="37"/>
    </row>
    <row r="1068" ht="15.75" customHeight="1">
      <c r="B1068" s="37"/>
      <c r="C1068" s="37"/>
      <c r="D1068" s="37"/>
    </row>
    <row r="1069" ht="15.75" customHeight="1">
      <c r="B1069" s="37"/>
      <c r="C1069" s="37"/>
      <c r="D1069" s="37"/>
    </row>
    <row r="1070" ht="15.75" customHeight="1">
      <c r="B1070" s="37"/>
      <c r="C1070" s="37"/>
      <c r="D1070" s="37"/>
    </row>
    <row r="1071" ht="15.75" customHeight="1">
      <c r="B1071" s="37"/>
      <c r="C1071" s="37"/>
      <c r="D1071" s="37"/>
    </row>
    <row r="1072" ht="15.75" customHeight="1">
      <c r="B1072" s="37"/>
      <c r="C1072" s="37"/>
      <c r="D1072" s="37"/>
    </row>
    <row r="1073" ht="15.75" customHeight="1">
      <c r="B1073" s="37"/>
      <c r="C1073" s="37"/>
      <c r="D1073" s="37"/>
    </row>
    <row r="1074" ht="15.75" customHeight="1">
      <c r="B1074" s="37"/>
      <c r="C1074" s="37"/>
      <c r="D1074" s="37"/>
    </row>
    <row r="1075" ht="15.75" customHeight="1">
      <c r="B1075" s="37"/>
      <c r="C1075" s="37"/>
      <c r="D1075" s="37"/>
    </row>
    <row r="1076" ht="15.75" customHeight="1">
      <c r="B1076" s="37"/>
      <c r="C1076" s="37"/>
      <c r="D1076" s="37"/>
    </row>
    <row r="1077" ht="15.75" customHeight="1">
      <c r="B1077" s="37"/>
      <c r="C1077" s="37"/>
      <c r="D1077" s="37"/>
    </row>
    <row r="1078" ht="15.75" customHeight="1">
      <c r="B1078" s="37"/>
      <c r="C1078" s="37"/>
      <c r="D1078" s="37"/>
    </row>
    <row r="1079" ht="15.75" customHeight="1">
      <c r="B1079" s="37"/>
      <c r="C1079" s="37"/>
      <c r="D1079" s="37"/>
    </row>
    <row r="1080" ht="15.75" customHeight="1">
      <c r="B1080" s="37"/>
      <c r="C1080" s="37"/>
      <c r="D1080" s="37"/>
    </row>
    <row r="1081" ht="15.75" customHeight="1">
      <c r="B1081" s="37"/>
      <c r="C1081" s="37"/>
      <c r="D1081" s="37"/>
    </row>
    <row r="1082" ht="15.75" customHeight="1">
      <c r="B1082" s="37"/>
      <c r="C1082" s="37"/>
      <c r="D1082" s="37"/>
    </row>
    <row r="1083" ht="15.75" customHeight="1">
      <c r="B1083" s="37"/>
      <c r="C1083" s="37"/>
      <c r="D1083" s="37"/>
    </row>
    <row r="1084" ht="15.75" customHeight="1">
      <c r="B1084" s="37"/>
      <c r="C1084" s="37"/>
      <c r="D1084" s="37"/>
    </row>
    <row r="1085" ht="15.75" customHeight="1">
      <c r="B1085" s="37"/>
      <c r="C1085" s="37"/>
      <c r="D1085" s="37"/>
    </row>
    <row r="1086" ht="15.75" customHeight="1">
      <c r="B1086" s="37"/>
      <c r="C1086" s="37"/>
      <c r="D1086" s="37"/>
    </row>
    <row r="1087" ht="15.75" customHeight="1">
      <c r="B1087" s="37"/>
      <c r="C1087" s="37"/>
      <c r="D1087" s="37"/>
    </row>
    <row r="1088" ht="15.75" customHeight="1">
      <c r="B1088" s="37"/>
      <c r="C1088" s="37"/>
      <c r="D1088" s="37"/>
    </row>
    <row r="1089" ht="15.75" customHeight="1">
      <c r="B1089" s="37"/>
      <c r="C1089" s="37"/>
      <c r="D1089" s="37"/>
    </row>
    <row r="1090" ht="15.75" customHeight="1">
      <c r="B1090" s="37"/>
      <c r="C1090" s="37"/>
      <c r="D1090" s="37"/>
    </row>
    <row r="1091" ht="15.75" customHeight="1">
      <c r="B1091" s="37"/>
      <c r="C1091" s="37"/>
      <c r="D1091" s="37"/>
    </row>
    <row r="1092" ht="15.75" customHeight="1">
      <c r="B1092" s="37"/>
      <c r="C1092" s="37"/>
      <c r="D1092" s="37"/>
    </row>
    <row r="1093" ht="15.75" customHeight="1">
      <c r="B1093" s="37"/>
      <c r="C1093" s="37"/>
      <c r="D1093" s="37"/>
    </row>
    <row r="1094" ht="15.75" customHeight="1">
      <c r="B1094" s="37"/>
      <c r="C1094" s="37"/>
      <c r="D1094" s="37"/>
    </row>
    <row r="1095" ht="15.75" customHeight="1">
      <c r="B1095" s="37"/>
      <c r="C1095" s="37"/>
      <c r="D1095" s="37"/>
    </row>
    <row r="1096" ht="15.75" customHeight="1">
      <c r="B1096" s="37"/>
      <c r="C1096" s="37"/>
      <c r="D1096" s="37"/>
    </row>
    <row r="1097" ht="15.75" customHeight="1">
      <c r="B1097" s="37"/>
      <c r="C1097" s="37"/>
      <c r="D1097" s="37"/>
    </row>
    <row r="1098" ht="15.75" customHeight="1">
      <c r="B1098" s="37"/>
      <c r="C1098" s="37"/>
      <c r="D1098" s="37"/>
    </row>
    <row r="1099" ht="15.75" customHeight="1">
      <c r="B1099" s="37"/>
      <c r="C1099" s="37"/>
      <c r="D1099" s="37"/>
    </row>
    <row r="1100" ht="15.75" customHeight="1">
      <c r="B1100" s="37"/>
      <c r="C1100" s="37"/>
      <c r="D1100" s="37"/>
    </row>
    <row r="1101" ht="15.75" customHeight="1">
      <c r="B1101" s="37"/>
      <c r="C1101" s="37"/>
      <c r="D1101" s="37"/>
    </row>
    <row r="1102" ht="15.75" customHeight="1">
      <c r="B1102" s="37"/>
      <c r="C1102" s="37"/>
      <c r="D1102" s="37"/>
    </row>
    <row r="1103" ht="15.75" customHeight="1">
      <c r="B1103" s="37"/>
      <c r="C1103" s="37"/>
      <c r="D1103" s="37"/>
    </row>
    <row r="1104" ht="15.75" customHeight="1">
      <c r="B1104" s="37"/>
      <c r="C1104" s="37"/>
      <c r="D1104" s="37"/>
    </row>
    <row r="1105" ht="15.75" customHeight="1">
      <c r="B1105" s="37"/>
      <c r="C1105" s="37"/>
      <c r="D1105" s="37"/>
    </row>
    <row r="1106" ht="15.75" customHeight="1">
      <c r="B1106" s="37"/>
      <c r="C1106" s="37"/>
      <c r="D1106" s="37"/>
    </row>
    <row r="1107" ht="15.75" customHeight="1">
      <c r="B1107" s="37"/>
      <c r="C1107" s="37"/>
      <c r="D1107" s="37"/>
    </row>
    <row r="1108" ht="15.75" customHeight="1">
      <c r="B1108" s="37"/>
      <c r="C1108" s="37"/>
      <c r="D1108" s="37"/>
    </row>
    <row r="1109" ht="15.75" customHeight="1">
      <c r="B1109" s="37"/>
      <c r="C1109" s="37"/>
      <c r="D1109" s="37"/>
    </row>
    <row r="1110" ht="15.75" customHeight="1">
      <c r="B1110" s="37"/>
      <c r="C1110" s="37"/>
      <c r="D1110" s="37"/>
    </row>
    <row r="1111" ht="15.75" customHeight="1">
      <c r="B1111" s="37"/>
      <c r="C1111" s="37"/>
      <c r="D1111" s="37"/>
    </row>
    <row r="1112" ht="15.75" customHeight="1">
      <c r="B1112" s="37"/>
      <c r="C1112" s="37"/>
      <c r="D1112" s="37"/>
    </row>
    <row r="1113" ht="15.75" customHeight="1">
      <c r="B1113" s="37"/>
      <c r="C1113" s="37"/>
      <c r="D1113" s="37"/>
    </row>
    <row r="1114" ht="15.75" customHeight="1">
      <c r="B1114" s="37"/>
      <c r="C1114" s="37"/>
      <c r="D1114" s="37"/>
    </row>
    <row r="1115" ht="15.75" customHeight="1">
      <c r="B1115" s="37"/>
      <c r="C1115" s="37"/>
      <c r="D1115" s="37"/>
    </row>
    <row r="1116" ht="15.75" customHeight="1">
      <c r="B1116" s="37"/>
      <c r="C1116" s="37"/>
      <c r="D1116" s="37"/>
    </row>
    <row r="1117" ht="15.75" customHeight="1">
      <c r="B1117" s="37"/>
      <c r="C1117" s="37"/>
      <c r="D1117" s="37"/>
    </row>
    <row r="1118" ht="15.75" customHeight="1">
      <c r="B1118" s="37"/>
      <c r="C1118" s="37"/>
      <c r="D1118" s="37"/>
    </row>
    <row r="1119" ht="15.75" customHeight="1">
      <c r="B1119" s="37"/>
      <c r="C1119" s="37"/>
      <c r="D1119" s="37"/>
    </row>
    <row r="1120" ht="15.75" customHeight="1">
      <c r="B1120" s="37"/>
      <c r="C1120" s="37"/>
      <c r="D1120" s="37"/>
    </row>
    <row r="1121" ht="15.75" customHeight="1">
      <c r="B1121" s="37"/>
      <c r="C1121" s="37"/>
      <c r="D1121" s="37"/>
    </row>
    <row r="1122" ht="15.75" customHeight="1">
      <c r="B1122" s="37"/>
      <c r="C1122" s="37"/>
      <c r="D1122" s="37"/>
    </row>
    <row r="1123" ht="15.75" customHeight="1">
      <c r="B1123" s="37"/>
      <c r="C1123" s="37"/>
      <c r="D1123" s="37"/>
    </row>
    <row r="1124" ht="15.75" customHeight="1">
      <c r="B1124" s="37"/>
      <c r="C1124" s="37"/>
      <c r="D1124" s="37"/>
    </row>
    <row r="1125" ht="15.75" customHeight="1">
      <c r="B1125" s="37"/>
      <c r="C1125" s="37"/>
      <c r="D1125" s="37"/>
    </row>
    <row r="1126" ht="15.75" customHeight="1">
      <c r="B1126" s="37"/>
      <c r="C1126" s="37"/>
      <c r="D1126" s="37"/>
    </row>
    <row r="1127" ht="15.75" customHeight="1">
      <c r="B1127" s="37"/>
      <c r="C1127" s="37"/>
      <c r="D1127" s="37"/>
    </row>
    <row r="1128" ht="15.75" customHeight="1">
      <c r="B1128" s="37"/>
      <c r="C1128" s="37"/>
      <c r="D1128" s="37"/>
    </row>
    <row r="1129" ht="15.75" customHeight="1">
      <c r="B1129" s="37"/>
      <c r="C1129" s="37"/>
      <c r="D1129" s="37"/>
    </row>
    <row r="1130" ht="15.75" customHeight="1">
      <c r="B1130" s="37"/>
      <c r="C1130" s="37"/>
      <c r="D1130" s="37"/>
    </row>
    <row r="1131" ht="15.75" customHeight="1">
      <c r="B1131" s="37"/>
      <c r="C1131" s="37"/>
      <c r="D1131" s="37"/>
    </row>
    <row r="1132" ht="15.75" customHeight="1">
      <c r="B1132" s="37"/>
      <c r="C1132" s="37"/>
      <c r="D1132" s="37"/>
    </row>
    <row r="1133" ht="15.75" customHeight="1">
      <c r="B1133" s="37"/>
      <c r="C1133" s="37"/>
      <c r="D1133" s="37"/>
    </row>
    <row r="1134" ht="15.75" customHeight="1">
      <c r="B1134" s="37"/>
      <c r="C1134" s="37"/>
      <c r="D1134" s="37"/>
    </row>
    <row r="1135" ht="15.75" customHeight="1">
      <c r="B1135" s="37"/>
      <c r="C1135" s="37"/>
      <c r="D1135" s="37"/>
    </row>
    <row r="1136" ht="15.75" customHeight="1">
      <c r="B1136" s="37"/>
      <c r="C1136" s="37"/>
      <c r="D1136" s="37"/>
    </row>
    <row r="1137" ht="15.75" customHeight="1">
      <c r="B1137" s="37"/>
      <c r="C1137" s="37"/>
      <c r="D1137" s="37"/>
    </row>
    <row r="1138" ht="15.75" customHeight="1">
      <c r="B1138" s="37"/>
      <c r="C1138" s="37"/>
      <c r="D1138" s="37"/>
    </row>
    <row r="1139" ht="15.75" customHeight="1">
      <c r="B1139" s="37"/>
      <c r="C1139" s="37"/>
      <c r="D1139" s="37"/>
    </row>
    <row r="1140" ht="15.75" customHeight="1">
      <c r="B1140" s="37"/>
      <c r="C1140" s="37"/>
      <c r="D1140" s="37"/>
    </row>
    <row r="1141" ht="15.75" customHeight="1">
      <c r="B1141" s="37"/>
      <c r="C1141" s="37"/>
      <c r="D1141" s="37"/>
    </row>
    <row r="1142" ht="15.75" customHeight="1">
      <c r="B1142" s="37"/>
      <c r="C1142" s="37"/>
      <c r="D1142" s="37"/>
    </row>
    <row r="1143" ht="15.75" customHeight="1">
      <c r="B1143" s="37"/>
      <c r="C1143" s="37"/>
      <c r="D1143" s="37"/>
    </row>
    <row r="1144" ht="15.75" customHeight="1">
      <c r="B1144" s="37"/>
      <c r="C1144" s="37"/>
      <c r="D1144" s="37"/>
    </row>
    <row r="1145" ht="15.75" customHeight="1">
      <c r="B1145" s="37"/>
      <c r="C1145" s="37"/>
      <c r="D1145" s="37"/>
    </row>
    <row r="1146" ht="15.75" customHeight="1">
      <c r="B1146" s="37"/>
      <c r="C1146" s="37"/>
      <c r="D1146" s="37"/>
    </row>
    <row r="1147" ht="15.75" customHeight="1">
      <c r="B1147" s="37"/>
      <c r="C1147" s="37"/>
      <c r="D1147" s="37"/>
    </row>
    <row r="1148" ht="15.75" customHeight="1">
      <c r="B1148" s="37"/>
      <c r="C1148" s="37"/>
      <c r="D1148" s="37"/>
    </row>
    <row r="1149" ht="15.75" customHeight="1">
      <c r="B1149" s="37"/>
      <c r="C1149" s="37"/>
      <c r="D1149" s="37"/>
    </row>
    <row r="1150" ht="15.75" customHeight="1">
      <c r="B1150" s="37"/>
      <c r="C1150" s="37"/>
      <c r="D1150" s="37"/>
    </row>
    <row r="1151" ht="15.75" customHeight="1">
      <c r="B1151" s="37"/>
      <c r="C1151" s="37"/>
      <c r="D1151" s="37"/>
    </row>
    <row r="1152" ht="15.75" customHeight="1">
      <c r="B1152" s="37"/>
      <c r="C1152" s="37"/>
      <c r="D1152" s="37"/>
    </row>
    <row r="1153" ht="15.75" customHeight="1">
      <c r="B1153" s="37"/>
      <c r="C1153" s="37"/>
      <c r="D1153" s="37"/>
    </row>
    <row r="1154" ht="15.75" customHeight="1">
      <c r="B1154" s="37"/>
      <c r="C1154" s="37"/>
      <c r="D1154" s="37"/>
    </row>
    <row r="1155" ht="15.75" customHeight="1">
      <c r="B1155" s="37"/>
      <c r="C1155" s="37"/>
      <c r="D1155" s="37"/>
    </row>
    <row r="1156" ht="15.75" customHeight="1">
      <c r="B1156" s="37"/>
      <c r="C1156" s="37"/>
      <c r="D1156" s="37"/>
    </row>
    <row r="1157" ht="15.75" customHeight="1">
      <c r="B1157" s="37"/>
      <c r="C1157" s="37"/>
      <c r="D1157" s="37"/>
    </row>
    <row r="1158" ht="15.75" customHeight="1">
      <c r="B1158" s="37"/>
      <c r="C1158" s="37"/>
      <c r="D1158" s="37"/>
    </row>
    <row r="1159" ht="15.75" customHeight="1">
      <c r="B1159" s="37"/>
      <c r="C1159" s="37"/>
      <c r="D1159" s="37"/>
    </row>
    <row r="1160" ht="15.75" customHeight="1">
      <c r="B1160" s="37"/>
      <c r="C1160" s="37"/>
      <c r="D1160" s="37"/>
    </row>
    <row r="1161" ht="15.75" customHeight="1">
      <c r="B1161" s="37"/>
      <c r="C1161" s="37"/>
      <c r="D1161" s="37"/>
    </row>
    <row r="1162" ht="15.75" customHeight="1">
      <c r="B1162" s="37"/>
      <c r="C1162" s="37"/>
      <c r="D1162" s="37"/>
    </row>
    <row r="1163" ht="15.75" customHeight="1">
      <c r="B1163" s="37"/>
      <c r="C1163" s="37"/>
      <c r="D1163" s="37"/>
    </row>
    <row r="1164" ht="15.75" customHeight="1">
      <c r="B1164" s="37"/>
      <c r="C1164" s="37"/>
      <c r="D1164" s="37"/>
    </row>
    <row r="1165" ht="15.75" customHeight="1">
      <c r="B1165" s="37"/>
      <c r="C1165" s="37"/>
      <c r="D1165" s="37"/>
    </row>
    <row r="1166" ht="15.75" customHeight="1">
      <c r="B1166" s="37"/>
      <c r="C1166" s="37"/>
      <c r="D1166" s="37"/>
    </row>
    <row r="1167" ht="15.75" customHeight="1">
      <c r="B1167" s="37"/>
      <c r="C1167" s="37"/>
      <c r="D1167" s="37"/>
    </row>
    <row r="1168" ht="15.75" customHeight="1">
      <c r="B1168" s="37"/>
      <c r="C1168" s="37"/>
      <c r="D1168" s="37"/>
    </row>
    <row r="1169" ht="15.75" customHeight="1">
      <c r="B1169" s="37"/>
      <c r="C1169" s="37"/>
      <c r="D1169" s="37"/>
    </row>
    <row r="1170" ht="15.75" customHeight="1">
      <c r="B1170" s="37"/>
      <c r="C1170" s="37"/>
      <c r="D1170" s="37"/>
    </row>
    <row r="1171" ht="15.75" customHeight="1">
      <c r="B1171" s="37"/>
      <c r="C1171" s="37"/>
      <c r="D1171" s="37"/>
    </row>
    <row r="1172" ht="15.75" customHeight="1">
      <c r="B1172" s="37"/>
      <c r="C1172" s="37"/>
      <c r="D1172" s="37"/>
    </row>
    <row r="1173" ht="15.75" customHeight="1">
      <c r="B1173" s="37"/>
      <c r="C1173" s="37"/>
      <c r="D1173" s="37"/>
    </row>
    <row r="1174" ht="15.75" customHeight="1">
      <c r="B1174" s="37"/>
      <c r="C1174" s="37"/>
      <c r="D1174" s="37"/>
    </row>
    <row r="1175" ht="15.75" customHeight="1">
      <c r="B1175" s="37"/>
      <c r="C1175" s="37"/>
      <c r="D1175" s="37"/>
    </row>
    <row r="1176" ht="15.75" customHeight="1">
      <c r="B1176" s="37"/>
      <c r="C1176" s="37"/>
      <c r="D1176" s="37"/>
    </row>
    <row r="1177" ht="15.75" customHeight="1">
      <c r="B1177" s="37"/>
      <c r="C1177" s="37"/>
      <c r="D1177" s="37"/>
    </row>
    <row r="1178" ht="15.75" customHeight="1">
      <c r="B1178" s="37"/>
      <c r="C1178" s="37"/>
      <c r="D1178" s="37"/>
    </row>
    <row r="1179" ht="15.75" customHeight="1">
      <c r="B1179" s="37"/>
      <c r="C1179" s="37"/>
      <c r="D1179" s="37"/>
    </row>
    <row r="1180" ht="15.75" customHeight="1">
      <c r="B1180" s="37"/>
      <c r="C1180" s="37"/>
      <c r="D1180" s="37"/>
    </row>
    <row r="1181" ht="15.75" customHeight="1">
      <c r="B1181" s="37"/>
      <c r="C1181" s="37"/>
      <c r="D1181" s="37"/>
    </row>
    <row r="1182" ht="15.75" customHeight="1">
      <c r="B1182" s="37"/>
      <c r="C1182" s="37"/>
      <c r="D1182" s="37"/>
    </row>
    <row r="1183" ht="15.75" customHeight="1">
      <c r="B1183" s="37"/>
      <c r="C1183" s="37"/>
      <c r="D1183" s="37"/>
    </row>
    <row r="1184" ht="15.75" customHeight="1">
      <c r="B1184" s="37"/>
      <c r="C1184" s="37"/>
      <c r="D1184" s="37"/>
    </row>
    <row r="1185" ht="15.75" customHeight="1">
      <c r="B1185" s="37"/>
      <c r="C1185" s="37"/>
      <c r="D1185" s="37"/>
    </row>
    <row r="1186" ht="15.75" customHeight="1">
      <c r="B1186" s="37"/>
      <c r="C1186" s="37"/>
      <c r="D1186" s="37"/>
    </row>
    <row r="1187" ht="15.75" customHeight="1">
      <c r="B1187" s="37"/>
      <c r="C1187" s="37"/>
      <c r="D1187" s="37"/>
    </row>
    <row r="1188" ht="15.75" customHeight="1">
      <c r="B1188" s="37"/>
      <c r="C1188" s="37"/>
      <c r="D1188" s="37"/>
    </row>
    <row r="1189" ht="15.75" customHeight="1">
      <c r="B1189" s="37"/>
      <c r="C1189" s="37"/>
      <c r="D1189" s="37"/>
    </row>
    <row r="1190" ht="15.75" customHeight="1">
      <c r="B1190" s="37"/>
      <c r="C1190" s="37"/>
      <c r="D1190" s="37"/>
    </row>
    <row r="1191" ht="15.75" customHeight="1">
      <c r="B1191" s="37"/>
      <c r="C1191" s="37"/>
      <c r="D1191" s="37"/>
    </row>
    <row r="1192" ht="15.75" customHeight="1">
      <c r="B1192" s="37"/>
      <c r="C1192" s="37"/>
      <c r="D1192" s="37"/>
    </row>
    <row r="1193" ht="15.75" customHeight="1">
      <c r="B1193" s="37"/>
      <c r="C1193" s="37"/>
      <c r="D1193" s="37"/>
    </row>
    <row r="1194" ht="15.75" customHeight="1">
      <c r="B1194" s="37"/>
      <c r="C1194" s="37"/>
      <c r="D1194" s="37"/>
    </row>
    <row r="1195" ht="15.75" customHeight="1">
      <c r="B1195" s="37"/>
      <c r="C1195" s="37"/>
      <c r="D1195" s="37"/>
    </row>
    <row r="1196" ht="15.75" customHeight="1">
      <c r="B1196" s="37"/>
      <c r="C1196" s="37"/>
      <c r="D1196" s="37"/>
    </row>
    <row r="1197" ht="15.75" customHeight="1">
      <c r="B1197" s="37"/>
      <c r="C1197" s="37"/>
      <c r="D1197" s="37"/>
    </row>
    <row r="1198" ht="15.75" customHeight="1">
      <c r="B1198" s="37"/>
      <c r="C1198" s="37"/>
      <c r="D1198" s="37"/>
    </row>
    <row r="1199" ht="15.75" customHeight="1">
      <c r="B1199" s="37"/>
      <c r="C1199" s="37"/>
      <c r="D1199" s="37"/>
    </row>
    <row r="1200" ht="15.75" customHeight="1">
      <c r="B1200" s="37"/>
      <c r="C1200" s="37"/>
      <c r="D1200" s="37"/>
    </row>
    <row r="1201" ht="15.75" customHeight="1">
      <c r="B1201" s="37"/>
      <c r="C1201" s="37"/>
      <c r="D1201" s="37"/>
    </row>
    <row r="1202" ht="15.75" customHeight="1">
      <c r="B1202" s="37"/>
      <c r="C1202" s="37"/>
      <c r="D1202" s="37"/>
    </row>
    <row r="1203" ht="15.75" customHeight="1">
      <c r="B1203" s="37"/>
      <c r="C1203" s="37"/>
      <c r="D1203" s="37"/>
    </row>
    <row r="1204" ht="15.75" customHeight="1">
      <c r="B1204" s="37"/>
      <c r="C1204" s="37"/>
      <c r="D1204" s="37"/>
    </row>
    <row r="1205" ht="15.75" customHeight="1">
      <c r="B1205" s="37"/>
      <c r="C1205" s="37"/>
      <c r="D1205" s="37"/>
    </row>
    <row r="1206" ht="15.75" customHeight="1">
      <c r="B1206" s="37"/>
      <c r="C1206" s="37"/>
      <c r="D1206" s="37"/>
    </row>
    <row r="1207" ht="15.75" customHeight="1">
      <c r="B1207" s="37"/>
      <c r="C1207" s="37"/>
      <c r="D1207" s="37"/>
    </row>
    <row r="1208" ht="15.75" customHeight="1">
      <c r="B1208" s="37"/>
      <c r="C1208" s="37"/>
      <c r="D1208" s="37"/>
    </row>
    <row r="1209" ht="15.75" customHeight="1">
      <c r="B1209" s="37"/>
      <c r="C1209" s="37"/>
      <c r="D1209" s="37"/>
    </row>
    <row r="1210" ht="15.75" customHeight="1">
      <c r="B1210" s="37"/>
      <c r="C1210" s="37"/>
      <c r="D1210" s="37"/>
    </row>
    <row r="1211" ht="15.75" customHeight="1">
      <c r="B1211" s="37"/>
      <c r="C1211" s="37"/>
      <c r="D1211" s="37"/>
    </row>
    <row r="1212" ht="15.75" customHeight="1">
      <c r="B1212" s="37"/>
      <c r="C1212" s="37"/>
      <c r="D1212" s="37"/>
    </row>
    <row r="1213" ht="15.75" customHeight="1">
      <c r="B1213" s="37"/>
      <c r="C1213" s="37"/>
      <c r="D1213" s="37"/>
    </row>
    <row r="1214" ht="15.75" customHeight="1">
      <c r="B1214" s="37"/>
      <c r="C1214" s="37"/>
      <c r="D1214" s="37"/>
    </row>
    <row r="1215" ht="15.75" customHeight="1">
      <c r="B1215" s="37"/>
      <c r="C1215" s="37"/>
      <c r="D1215" s="37"/>
    </row>
    <row r="1216" ht="15.75" customHeight="1">
      <c r="B1216" s="37"/>
      <c r="C1216" s="37"/>
      <c r="D1216" s="37"/>
    </row>
    <row r="1217" ht="15.75" customHeight="1">
      <c r="B1217" s="37"/>
      <c r="C1217" s="37"/>
      <c r="D1217" s="37"/>
    </row>
    <row r="1218" ht="15.75" customHeight="1">
      <c r="B1218" s="37"/>
      <c r="C1218" s="37"/>
      <c r="D1218" s="37"/>
    </row>
    <row r="1219" ht="15.75" customHeight="1">
      <c r="B1219" s="37"/>
      <c r="C1219" s="37"/>
      <c r="D1219" s="37"/>
    </row>
    <row r="1220" ht="15.75" customHeight="1">
      <c r="B1220" s="37"/>
      <c r="C1220" s="37"/>
      <c r="D1220" s="37"/>
    </row>
    <row r="1221" ht="15.75" customHeight="1">
      <c r="B1221" s="37"/>
      <c r="C1221" s="37"/>
      <c r="D1221" s="37"/>
    </row>
    <row r="1222" ht="15.75" customHeight="1">
      <c r="B1222" s="37"/>
      <c r="C1222" s="37"/>
      <c r="D1222" s="37"/>
    </row>
    <row r="1223" ht="15.75" customHeight="1">
      <c r="B1223" s="37"/>
      <c r="C1223" s="37"/>
      <c r="D1223" s="37"/>
    </row>
    <row r="1224" ht="15.75" customHeight="1">
      <c r="B1224" s="37"/>
      <c r="C1224" s="37"/>
      <c r="D1224" s="37"/>
    </row>
    <row r="1225" ht="15.75" customHeight="1">
      <c r="B1225" s="37"/>
      <c r="C1225" s="37"/>
      <c r="D1225" s="37"/>
    </row>
    <row r="1226" ht="15.75" customHeight="1">
      <c r="B1226" s="37"/>
      <c r="C1226" s="37"/>
      <c r="D1226" s="37"/>
    </row>
    <row r="1227" ht="15.75" customHeight="1">
      <c r="B1227" s="37"/>
      <c r="C1227" s="37"/>
      <c r="D1227" s="37"/>
    </row>
    <row r="1228" ht="15.75" customHeight="1">
      <c r="B1228" s="37"/>
      <c r="C1228" s="37"/>
      <c r="D1228" s="37"/>
    </row>
    <row r="1229" ht="15.75" customHeight="1">
      <c r="B1229" s="37"/>
      <c r="C1229" s="37"/>
      <c r="D1229" s="37"/>
    </row>
    <row r="1230" ht="15.75" customHeight="1">
      <c r="B1230" s="37"/>
      <c r="C1230" s="37"/>
      <c r="D1230" s="37"/>
    </row>
    <row r="1231" ht="15.75" customHeight="1">
      <c r="B1231" s="37"/>
      <c r="C1231" s="37"/>
      <c r="D1231" s="37"/>
    </row>
    <row r="1232" ht="15.75" customHeight="1">
      <c r="B1232" s="37"/>
      <c r="C1232" s="37"/>
      <c r="D1232" s="37"/>
    </row>
    <row r="1233" ht="15.75" customHeight="1">
      <c r="B1233" s="37"/>
      <c r="C1233" s="37"/>
      <c r="D1233" s="37"/>
    </row>
    <row r="1234" ht="15.75" customHeight="1">
      <c r="B1234" s="37"/>
      <c r="C1234" s="37"/>
      <c r="D1234" s="37"/>
    </row>
    <row r="1235" ht="15.75" customHeight="1">
      <c r="B1235" s="37"/>
      <c r="C1235" s="37"/>
      <c r="D1235" s="37"/>
    </row>
    <row r="1236" ht="15.75" customHeight="1">
      <c r="B1236" s="37"/>
      <c r="C1236" s="37"/>
      <c r="D1236" s="37"/>
    </row>
    <row r="1237" ht="15.75" customHeight="1">
      <c r="B1237" s="37"/>
      <c r="C1237" s="37"/>
      <c r="D1237" s="37"/>
    </row>
    <row r="1238" ht="15.75" customHeight="1">
      <c r="B1238" s="37"/>
      <c r="C1238" s="37"/>
      <c r="D1238" s="37"/>
    </row>
    <row r="1239" ht="15.75" customHeight="1">
      <c r="B1239" s="37"/>
      <c r="C1239" s="37"/>
      <c r="D1239" s="37"/>
    </row>
    <row r="1240" ht="15.75" customHeight="1">
      <c r="B1240" s="37"/>
      <c r="C1240" s="37"/>
      <c r="D1240" s="37"/>
    </row>
    <row r="1241" ht="15.75" customHeight="1">
      <c r="B1241" s="37"/>
      <c r="C1241" s="37"/>
      <c r="D1241" s="37"/>
    </row>
    <row r="1242" ht="15.75" customHeight="1">
      <c r="B1242" s="37"/>
      <c r="C1242" s="37"/>
      <c r="D1242" s="37"/>
    </row>
    <row r="1243" ht="15.75" customHeight="1">
      <c r="B1243" s="37"/>
      <c r="C1243" s="37"/>
      <c r="D1243" s="37"/>
    </row>
    <row r="1244" ht="15.75" customHeight="1">
      <c r="B1244" s="37"/>
      <c r="C1244" s="37"/>
      <c r="D1244" s="37"/>
    </row>
    <row r="1245" ht="15.75" customHeight="1">
      <c r="B1245" s="37"/>
      <c r="C1245" s="37"/>
      <c r="D1245" s="37"/>
    </row>
    <row r="1246" ht="15.75" customHeight="1">
      <c r="B1246" s="37"/>
      <c r="C1246" s="37"/>
      <c r="D1246" s="37"/>
    </row>
    <row r="1247" ht="15.75" customHeight="1">
      <c r="B1247" s="37"/>
      <c r="C1247" s="37"/>
      <c r="D1247" s="37"/>
    </row>
    <row r="1248" ht="15.75" customHeight="1">
      <c r="B1248" s="37"/>
      <c r="C1248" s="37"/>
      <c r="D1248" s="37"/>
    </row>
    <row r="1249" ht="15.75" customHeight="1">
      <c r="B1249" s="37"/>
      <c r="C1249" s="37"/>
      <c r="D1249" s="37"/>
    </row>
    <row r="1250" ht="15.75" customHeight="1">
      <c r="B1250" s="37"/>
      <c r="C1250" s="37"/>
      <c r="D1250" s="37"/>
    </row>
    <row r="1251" ht="15.75" customHeight="1">
      <c r="B1251" s="37"/>
      <c r="C1251" s="37"/>
      <c r="D1251" s="37"/>
    </row>
    <row r="1252" ht="15.75" customHeight="1">
      <c r="B1252" s="37"/>
      <c r="C1252" s="37"/>
      <c r="D1252" s="37"/>
    </row>
    <row r="1253" ht="15.75" customHeight="1">
      <c r="B1253" s="37"/>
      <c r="C1253" s="37"/>
      <c r="D1253" s="37"/>
    </row>
    <row r="1254" ht="15.75" customHeight="1">
      <c r="B1254" s="37"/>
      <c r="C1254" s="37"/>
      <c r="D1254" s="37"/>
    </row>
    <row r="1255" ht="15.75" customHeight="1">
      <c r="B1255" s="37"/>
      <c r="C1255" s="37"/>
      <c r="D1255" s="37"/>
    </row>
    <row r="1256" ht="15.75" customHeight="1">
      <c r="B1256" s="37"/>
      <c r="C1256" s="37"/>
      <c r="D1256" s="37"/>
    </row>
    <row r="1257" ht="15.75" customHeight="1">
      <c r="B1257" s="37"/>
      <c r="C1257" s="37"/>
      <c r="D1257" s="37"/>
    </row>
    <row r="1258" ht="15.75" customHeight="1">
      <c r="B1258" s="37"/>
      <c r="C1258" s="37"/>
      <c r="D1258" s="37"/>
    </row>
    <row r="1259" ht="15.75" customHeight="1">
      <c r="B1259" s="37"/>
      <c r="C1259" s="37"/>
      <c r="D1259" s="37"/>
    </row>
    <row r="1260" ht="15.75" customHeight="1">
      <c r="B1260" s="37"/>
      <c r="C1260" s="37"/>
      <c r="D1260" s="37"/>
    </row>
    <row r="1261" ht="15.75" customHeight="1">
      <c r="B1261" s="37"/>
      <c r="C1261" s="37"/>
      <c r="D1261" s="37"/>
    </row>
    <row r="1262" ht="15.75" customHeight="1">
      <c r="B1262" s="37"/>
      <c r="C1262" s="37"/>
      <c r="D1262" s="37"/>
    </row>
    <row r="1263" ht="15.75" customHeight="1">
      <c r="B1263" s="37"/>
      <c r="C1263" s="37"/>
      <c r="D1263" s="37"/>
    </row>
    <row r="1264" ht="15.75" customHeight="1">
      <c r="B1264" s="37"/>
      <c r="C1264" s="37"/>
      <c r="D1264" s="37"/>
    </row>
    <row r="1265" ht="15.75" customHeight="1">
      <c r="B1265" s="37"/>
      <c r="C1265" s="37"/>
      <c r="D1265" s="37"/>
    </row>
    <row r="1266" ht="15.75" customHeight="1">
      <c r="B1266" s="37"/>
      <c r="C1266" s="37"/>
      <c r="D1266" s="37"/>
    </row>
    <row r="1267" ht="15.75" customHeight="1">
      <c r="B1267" s="37"/>
      <c r="C1267" s="37"/>
      <c r="D1267" s="37"/>
    </row>
    <row r="1268" ht="15.75" customHeight="1">
      <c r="B1268" s="37"/>
      <c r="C1268" s="37"/>
      <c r="D1268" s="37"/>
    </row>
    <row r="1269" ht="15.75" customHeight="1">
      <c r="B1269" s="37"/>
      <c r="C1269" s="37"/>
      <c r="D1269" s="37"/>
    </row>
    <row r="1270" ht="15.75" customHeight="1">
      <c r="B1270" s="37"/>
      <c r="C1270" s="37"/>
      <c r="D1270" s="37"/>
    </row>
    <row r="1271" ht="15.75" customHeight="1">
      <c r="B1271" s="37"/>
      <c r="C1271" s="37"/>
      <c r="D1271" s="37"/>
    </row>
    <row r="1272" ht="15.75" customHeight="1">
      <c r="B1272" s="37"/>
      <c r="C1272" s="37"/>
      <c r="D1272" s="37"/>
    </row>
    <row r="1273" ht="15.75" customHeight="1">
      <c r="B1273" s="37"/>
      <c r="C1273" s="37"/>
      <c r="D1273" s="37"/>
    </row>
    <row r="1274" ht="15.75" customHeight="1">
      <c r="B1274" s="37"/>
      <c r="C1274" s="37"/>
      <c r="D1274" s="37"/>
    </row>
    <row r="1275" ht="15.75" customHeight="1">
      <c r="B1275" s="37"/>
      <c r="C1275" s="37"/>
      <c r="D1275" s="37"/>
    </row>
    <row r="1276" ht="15.75" customHeight="1">
      <c r="B1276" s="37"/>
      <c r="C1276" s="37"/>
      <c r="D1276" s="37"/>
    </row>
    <row r="1277" ht="15.75" customHeight="1">
      <c r="B1277" s="37"/>
      <c r="C1277" s="37"/>
      <c r="D1277" s="37"/>
    </row>
    <row r="1278" ht="15.75" customHeight="1">
      <c r="B1278" s="37"/>
      <c r="C1278" s="37"/>
      <c r="D1278" s="37"/>
    </row>
    <row r="1279" ht="15.75" customHeight="1">
      <c r="B1279" s="37"/>
      <c r="C1279" s="37"/>
      <c r="D1279" s="37"/>
    </row>
    <row r="1280" ht="15.75" customHeight="1">
      <c r="B1280" s="37"/>
      <c r="C1280" s="37"/>
      <c r="D1280" s="37"/>
    </row>
    <row r="1281" ht="15.75" customHeight="1">
      <c r="B1281" s="37"/>
      <c r="C1281" s="37"/>
      <c r="D1281" s="37"/>
    </row>
    <row r="1282" ht="15.75" customHeight="1">
      <c r="B1282" s="37"/>
      <c r="C1282" s="37"/>
      <c r="D1282" s="37"/>
    </row>
    <row r="1283" ht="15.75" customHeight="1">
      <c r="B1283" s="37"/>
      <c r="C1283" s="37"/>
      <c r="D1283" s="37"/>
    </row>
    <row r="1284" ht="15.75" customHeight="1">
      <c r="B1284" s="37"/>
      <c r="C1284" s="37"/>
      <c r="D1284" s="37"/>
    </row>
    <row r="1285" ht="15.75" customHeight="1">
      <c r="B1285" s="37"/>
      <c r="C1285" s="37"/>
      <c r="D1285" s="37"/>
    </row>
    <row r="1286" ht="15.75" customHeight="1">
      <c r="B1286" s="37"/>
      <c r="C1286" s="37"/>
      <c r="D1286" s="37"/>
    </row>
    <row r="1287" ht="15.75" customHeight="1">
      <c r="B1287" s="37"/>
      <c r="C1287" s="37"/>
      <c r="D1287" s="37"/>
    </row>
    <row r="1288" ht="15.75" customHeight="1">
      <c r="B1288" s="37"/>
      <c r="C1288" s="37"/>
      <c r="D1288" s="37"/>
    </row>
    <row r="1289" ht="15.75" customHeight="1">
      <c r="B1289" s="37"/>
      <c r="C1289" s="37"/>
      <c r="D1289" s="37"/>
    </row>
    <row r="1290" ht="15.75" customHeight="1">
      <c r="B1290" s="37"/>
      <c r="C1290" s="37"/>
      <c r="D1290" s="37"/>
    </row>
    <row r="1291" ht="15.75" customHeight="1">
      <c r="B1291" s="37"/>
      <c r="C1291" s="37"/>
      <c r="D1291" s="37"/>
    </row>
    <row r="1292" ht="15.75" customHeight="1">
      <c r="B1292" s="37"/>
      <c r="C1292" s="37"/>
      <c r="D1292" s="37"/>
    </row>
    <row r="1293" ht="15.75" customHeight="1">
      <c r="B1293" s="37"/>
      <c r="C1293" s="37"/>
      <c r="D1293" s="37"/>
    </row>
    <row r="1294" ht="15.75" customHeight="1">
      <c r="B1294" s="37"/>
      <c r="C1294" s="37"/>
      <c r="D1294" s="37"/>
    </row>
    <row r="1295" ht="15.75" customHeight="1">
      <c r="B1295" s="37"/>
      <c r="C1295" s="37"/>
      <c r="D1295" s="37"/>
    </row>
    <row r="1296" ht="15.75" customHeight="1">
      <c r="B1296" s="37"/>
      <c r="C1296" s="37"/>
      <c r="D1296" s="37"/>
    </row>
    <row r="1297" ht="15.75" customHeight="1">
      <c r="B1297" s="37"/>
      <c r="C1297" s="37"/>
      <c r="D1297" s="37"/>
    </row>
    <row r="1298" ht="15.75" customHeight="1">
      <c r="B1298" s="37"/>
      <c r="C1298" s="37"/>
      <c r="D1298" s="37"/>
    </row>
    <row r="1299" ht="15.75" customHeight="1">
      <c r="B1299" s="37"/>
      <c r="C1299" s="37"/>
      <c r="D1299" s="37"/>
    </row>
    <row r="1300" ht="15.75" customHeight="1">
      <c r="B1300" s="37"/>
      <c r="C1300" s="37"/>
      <c r="D1300" s="37"/>
    </row>
    <row r="1301" ht="15.75" customHeight="1">
      <c r="B1301" s="37"/>
      <c r="C1301" s="37"/>
      <c r="D1301" s="37"/>
    </row>
    <row r="1302" ht="15.75" customHeight="1">
      <c r="B1302" s="37"/>
      <c r="C1302" s="37"/>
      <c r="D1302" s="37"/>
    </row>
    <row r="1303" ht="15.75" customHeight="1">
      <c r="B1303" s="37"/>
      <c r="C1303" s="37"/>
      <c r="D1303" s="37"/>
    </row>
    <row r="1304" ht="15.75" customHeight="1">
      <c r="B1304" s="37"/>
      <c r="C1304" s="37"/>
      <c r="D1304" s="37"/>
    </row>
    <row r="1305" ht="15.75" customHeight="1">
      <c r="B1305" s="37"/>
      <c r="C1305" s="37"/>
      <c r="D1305" s="37"/>
    </row>
    <row r="1306" ht="15.75" customHeight="1">
      <c r="B1306" s="37"/>
      <c r="C1306" s="37"/>
      <c r="D1306" s="37"/>
    </row>
    <row r="1307" ht="15.75" customHeight="1">
      <c r="B1307" s="37"/>
      <c r="C1307" s="37"/>
      <c r="D1307" s="37"/>
    </row>
    <row r="1308" ht="15.75" customHeight="1">
      <c r="B1308" s="37"/>
      <c r="C1308" s="37"/>
      <c r="D1308" s="37"/>
    </row>
    <row r="1309" ht="15.75" customHeight="1">
      <c r="B1309" s="37"/>
      <c r="C1309" s="37"/>
      <c r="D1309" s="37"/>
    </row>
    <row r="1310" ht="15.75" customHeight="1">
      <c r="B1310" s="37"/>
      <c r="C1310" s="37"/>
      <c r="D1310" s="37"/>
    </row>
    <row r="1311" ht="15.75" customHeight="1">
      <c r="B1311" s="37"/>
      <c r="C1311" s="37"/>
      <c r="D1311" s="37"/>
    </row>
    <row r="1312" ht="15.75" customHeight="1">
      <c r="B1312" s="37"/>
      <c r="C1312" s="37"/>
      <c r="D1312" s="37"/>
    </row>
    <row r="1313" ht="15.75" customHeight="1">
      <c r="B1313" s="37"/>
      <c r="C1313" s="37"/>
      <c r="D1313" s="37"/>
    </row>
    <row r="1314" ht="15.75" customHeight="1">
      <c r="B1314" s="37"/>
      <c r="C1314" s="37"/>
      <c r="D1314" s="37"/>
    </row>
    <row r="1315" ht="15.75" customHeight="1">
      <c r="B1315" s="37"/>
      <c r="C1315" s="37"/>
      <c r="D1315" s="37"/>
    </row>
    <row r="1316" ht="15.75" customHeight="1">
      <c r="B1316" s="37"/>
      <c r="C1316" s="37"/>
      <c r="D1316" s="37"/>
    </row>
    <row r="1317" ht="15.75" customHeight="1">
      <c r="B1317" s="37"/>
      <c r="C1317" s="37"/>
      <c r="D1317" s="37"/>
    </row>
    <row r="1318" ht="15.75" customHeight="1">
      <c r="B1318" s="37"/>
      <c r="C1318" s="37"/>
      <c r="D1318" s="37"/>
    </row>
    <row r="1319" ht="15.75" customHeight="1">
      <c r="B1319" s="37"/>
      <c r="C1319" s="37"/>
      <c r="D1319" s="37"/>
    </row>
    <row r="1320" ht="15.75" customHeight="1">
      <c r="B1320" s="37"/>
      <c r="C1320" s="37"/>
      <c r="D1320" s="37"/>
    </row>
    <row r="1321" ht="15.75" customHeight="1">
      <c r="B1321" s="37"/>
      <c r="C1321" s="37"/>
      <c r="D1321" s="37"/>
    </row>
    <row r="1322" ht="15.75" customHeight="1">
      <c r="B1322" s="37"/>
      <c r="C1322" s="37"/>
      <c r="D1322" s="37"/>
    </row>
    <row r="1323" ht="15.75" customHeight="1">
      <c r="B1323" s="37"/>
      <c r="C1323" s="37"/>
      <c r="D1323" s="37"/>
    </row>
    <row r="1324" ht="15.75" customHeight="1">
      <c r="B1324" s="37"/>
      <c r="C1324" s="37"/>
      <c r="D1324" s="37"/>
    </row>
    <row r="1325" ht="15.75" customHeight="1">
      <c r="B1325" s="37"/>
      <c r="C1325" s="37"/>
      <c r="D1325" s="37"/>
    </row>
    <row r="1326" ht="15.75" customHeight="1">
      <c r="B1326" s="37"/>
      <c r="C1326" s="37"/>
      <c r="D1326" s="37"/>
    </row>
    <row r="1327" ht="15.75" customHeight="1">
      <c r="B1327" s="37"/>
      <c r="C1327" s="37"/>
      <c r="D1327" s="37"/>
    </row>
    <row r="1328" ht="15.75" customHeight="1">
      <c r="B1328" s="37"/>
      <c r="C1328" s="37"/>
      <c r="D1328" s="37"/>
    </row>
    <row r="1329" ht="15.75" customHeight="1">
      <c r="B1329" s="37"/>
      <c r="C1329" s="37"/>
      <c r="D1329" s="37"/>
    </row>
    <row r="1330" ht="15.75" customHeight="1">
      <c r="B1330" s="37"/>
      <c r="C1330" s="37"/>
      <c r="D1330" s="37"/>
    </row>
    <row r="1331" ht="15.75" customHeight="1">
      <c r="B1331" s="37"/>
      <c r="C1331" s="37"/>
      <c r="D1331" s="37"/>
    </row>
    <row r="1332" ht="15.75" customHeight="1">
      <c r="B1332" s="37"/>
      <c r="C1332" s="37"/>
      <c r="D1332" s="37"/>
    </row>
    <row r="1333" ht="15.75" customHeight="1">
      <c r="B1333" s="37"/>
      <c r="C1333" s="37"/>
      <c r="D1333" s="37"/>
    </row>
    <row r="1334" ht="15.75" customHeight="1">
      <c r="B1334" s="37"/>
      <c r="C1334" s="37"/>
      <c r="D1334" s="37"/>
    </row>
    <row r="1335" ht="15.75" customHeight="1">
      <c r="B1335" s="37"/>
      <c r="C1335" s="37"/>
      <c r="D1335" s="37"/>
    </row>
    <row r="1336" ht="15.75" customHeight="1">
      <c r="B1336" s="37"/>
      <c r="C1336" s="37"/>
      <c r="D1336" s="37"/>
    </row>
    <row r="1337" ht="15.75" customHeight="1">
      <c r="B1337" s="37"/>
      <c r="C1337" s="37"/>
      <c r="D1337" s="37"/>
    </row>
    <row r="1338" ht="15.75" customHeight="1">
      <c r="B1338" s="37"/>
      <c r="C1338" s="37"/>
      <c r="D1338" s="37"/>
    </row>
    <row r="1339" ht="15.75" customHeight="1">
      <c r="B1339" s="37"/>
      <c r="C1339" s="37"/>
      <c r="D1339" s="37"/>
    </row>
    <row r="1340" ht="15.75" customHeight="1">
      <c r="B1340" s="37"/>
      <c r="C1340" s="37"/>
      <c r="D1340" s="37"/>
    </row>
    <row r="1341" ht="15.75" customHeight="1">
      <c r="B1341" s="37"/>
      <c r="C1341" s="37"/>
      <c r="D1341" s="37"/>
    </row>
    <row r="1342" ht="15.75" customHeight="1">
      <c r="B1342" s="37"/>
      <c r="C1342" s="37"/>
      <c r="D1342" s="37"/>
    </row>
    <row r="1343" ht="15.75" customHeight="1">
      <c r="B1343" s="37"/>
      <c r="C1343" s="37"/>
      <c r="D1343" s="37"/>
    </row>
    <row r="1344" ht="15.75" customHeight="1">
      <c r="B1344" s="37"/>
      <c r="C1344" s="37"/>
      <c r="D1344" s="37"/>
    </row>
    <row r="1345" ht="15.75" customHeight="1">
      <c r="B1345" s="37"/>
      <c r="C1345" s="37"/>
      <c r="D1345" s="37"/>
    </row>
    <row r="1346" ht="15.75" customHeight="1">
      <c r="B1346" s="37"/>
      <c r="C1346" s="37"/>
      <c r="D1346" s="37"/>
    </row>
    <row r="1347" ht="15.75" customHeight="1">
      <c r="B1347" s="37"/>
      <c r="C1347" s="37"/>
      <c r="D1347" s="37"/>
    </row>
    <row r="1348" ht="15.75" customHeight="1">
      <c r="B1348" s="37"/>
      <c r="C1348" s="37"/>
      <c r="D1348" s="37"/>
    </row>
    <row r="1349" ht="15.75" customHeight="1">
      <c r="B1349" s="37"/>
      <c r="C1349" s="37"/>
      <c r="D1349" s="37"/>
    </row>
    <row r="1350" ht="15.75" customHeight="1">
      <c r="B1350" s="37"/>
      <c r="C1350" s="37"/>
      <c r="D1350" s="37"/>
    </row>
    <row r="1351" ht="15.75" customHeight="1">
      <c r="B1351" s="37"/>
      <c r="C1351" s="37"/>
      <c r="D1351" s="37"/>
    </row>
    <row r="1352" ht="15.75" customHeight="1">
      <c r="B1352" s="37"/>
      <c r="C1352" s="37"/>
      <c r="D1352" s="37"/>
    </row>
    <row r="1353" ht="15.75" customHeight="1">
      <c r="B1353" s="37"/>
      <c r="C1353" s="37"/>
      <c r="D1353" s="37"/>
    </row>
    <row r="1354" ht="15.75" customHeight="1">
      <c r="B1354" s="37"/>
      <c r="C1354" s="37"/>
      <c r="D1354" s="37"/>
    </row>
    <row r="1355" ht="15.75" customHeight="1">
      <c r="B1355" s="37"/>
      <c r="C1355" s="37"/>
      <c r="D1355" s="37"/>
    </row>
    <row r="1356" ht="15.75" customHeight="1">
      <c r="B1356" s="37"/>
      <c r="C1356" s="37"/>
      <c r="D1356" s="37"/>
    </row>
    <row r="1357" ht="15.75" customHeight="1">
      <c r="B1357" s="37"/>
      <c r="C1357" s="37"/>
      <c r="D1357" s="37"/>
    </row>
    <row r="1358" ht="15.75" customHeight="1">
      <c r="B1358" s="37"/>
      <c r="C1358" s="37"/>
      <c r="D1358" s="37"/>
    </row>
    <row r="1359" ht="15.75" customHeight="1">
      <c r="B1359" s="37"/>
      <c r="C1359" s="37"/>
      <c r="D1359" s="37"/>
    </row>
    <row r="1360" ht="15.75" customHeight="1">
      <c r="B1360" s="37"/>
      <c r="C1360" s="37"/>
      <c r="D1360" s="37"/>
    </row>
    <row r="1361" ht="15.75" customHeight="1">
      <c r="B1361" s="37"/>
      <c r="C1361" s="37"/>
      <c r="D1361" s="37"/>
    </row>
    <row r="1362" ht="15.75" customHeight="1">
      <c r="B1362" s="37"/>
      <c r="C1362" s="37"/>
      <c r="D1362" s="37"/>
    </row>
    <row r="1363" ht="15.75" customHeight="1">
      <c r="B1363" s="37"/>
      <c r="C1363" s="37"/>
      <c r="D1363" s="37"/>
    </row>
    <row r="1364" ht="15.75" customHeight="1">
      <c r="B1364" s="37"/>
      <c r="C1364" s="37"/>
      <c r="D1364" s="37"/>
    </row>
    <row r="1365" ht="15.75" customHeight="1">
      <c r="B1365" s="37"/>
      <c r="C1365" s="37"/>
      <c r="D1365" s="37"/>
    </row>
    <row r="1366" ht="15.75" customHeight="1">
      <c r="B1366" s="37"/>
      <c r="C1366" s="37"/>
      <c r="D1366" s="37"/>
    </row>
    <row r="1367" ht="15.75" customHeight="1">
      <c r="B1367" s="37"/>
      <c r="C1367" s="37"/>
      <c r="D1367" s="37"/>
    </row>
    <row r="1368" ht="15.75" customHeight="1">
      <c r="B1368" s="37"/>
      <c r="C1368" s="37"/>
      <c r="D1368" s="37"/>
    </row>
    <row r="1369" ht="15.75" customHeight="1">
      <c r="B1369" s="37"/>
      <c r="C1369" s="37"/>
      <c r="D1369" s="37"/>
    </row>
    <row r="1370" ht="15.75" customHeight="1">
      <c r="B1370" s="37"/>
      <c r="C1370" s="37"/>
      <c r="D1370" s="37"/>
    </row>
    <row r="1371" ht="15.75" customHeight="1">
      <c r="B1371" s="37"/>
      <c r="C1371" s="37"/>
      <c r="D1371" s="37"/>
    </row>
    <row r="1372" ht="15.75" customHeight="1">
      <c r="B1372" s="37"/>
      <c r="C1372" s="37"/>
      <c r="D1372" s="37"/>
    </row>
    <row r="1373" ht="15.75" customHeight="1">
      <c r="B1373" s="37"/>
      <c r="C1373" s="37"/>
      <c r="D1373" s="37"/>
    </row>
    <row r="1374" ht="15.75" customHeight="1">
      <c r="B1374" s="37"/>
      <c r="C1374" s="37"/>
      <c r="D1374" s="37"/>
    </row>
    <row r="1375" ht="15.75" customHeight="1">
      <c r="B1375" s="37"/>
      <c r="C1375" s="37"/>
      <c r="D1375" s="37"/>
    </row>
    <row r="1376" ht="15.75" customHeight="1">
      <c r="B1376" s="37"/>
      <c r="C1376" s="37"/>
      <c r="D1376" s="37"/>
    </row>
    <row r="1377" ht="15.75" customHeight="1">
      <c r="B1377" s="37"/>
      <c r="C1377" s="37"/>
      <c r="D1377" s="37"/>
    </row>
    <row r="1378" ht="15.75" customHeight="1">
      <c r="B1378" s="37"/>
      <c r="C1378" s="37"/>
      <c r="D1378" s="37"/>
    </row>
    <row r="1379" ht="15.75" customHeight="1">
      <c r="B1379" s="37"/>
      <c r="C1379" s="37"/>
      <c r="D1379" s="37"/>
    </row>
    <row r="1380" ht="15.75" customHeight="1">
      <c r="B1380" s="37"/>
      <c r="C1380" s="37"/>
      <c r="D1380" s="37"/>
    </row>
    <row r="1381" ht="15.75" customHeight="1">
      <c r="B1381" s="37"/>
      <c r="C1381" s="37"/>
      <c r="D1381" s="37"/>
    </row>
    <row r="1382" ht="15.75" customHeight="1">
      <c r="B1382" s="37"/>
      <c r="C1382" s="37"/>
      <c r="D1382" s="37"/>
    </row>
    <row r="1383" ht="15.75" customHeight="1">
      <c r="B1383" s="37"/>
      <c r="C1383" s="37"/>
      <c r="D1383" s="37"/>
    </row>
    <row r="1384" ht="15.75" customHeight="1">
      <c r="B1384" s="37"/>
      <c r="C1384" s="37"/>
      <c r="D1384" s="37"/>
    </row>
    <row r="1385" ht="15.75" customHeight="1">
      <c r="B1385" s="37"/>
      <c r="C1385" s="37"/>
      <c r="D1385" s="37"/>
    </row>
    <row r="1386" ht="15.75" customHeight="1">
      <c r="B1386" s="37"/>
      <c r="C1386" s="37"/>
      <c r="D1386" s="37"/>
    </row>
    <row r="1387" ht="15.75" customHeight="1">
      <c r="B1387" s="37"/>
      <c r="C1387" s="37"/>
      <c r="D1387" s="37"/>
    </row>
    <row r="1388" ht="15.75" customHeight="1">
      <c r="B1388" s="37"/>
      <c r="C1388" s="37"/>
      <c r="D1388" s="37"/>
    </row>
    <row r="1389" ht="15.75" customHeight="1">
      <c r="B1389" s="37"/>
      <c r="C1389" s="37"/>
      <c r="D1389" s="37"/>
    </row>
    <row r="1390" ht="15.75" customHeight="1">
      <c r="B1390" s="37"/>
      <c r="C1390" s="37"/>
      <c r="D1390" s="37"/>
    </row>
    <row r="1391" ht="15.75" customHeight="1">
      <c r="B1391" s="37"/>
      <c r="C1391" s="37"/>
      <c r="D1391" s="37"/>
    </row>
    <row r="1392" ht="15.75" customHeight="1">
      <c r="B1392" s="37"/>
      <c r="C1392" s="37"/>
      <c r="D1392" s="37"/>
    </row>
    <row r="1393" ht="15.75" customHeight="1">
      <c r="B1393" s="37"/>
      <c r="C1393" s="37"/>
      <c r="D1393" s="37"/>
    </row>
    <row r="1394" ht="15.75" customHeight="1">
      <c r="B1394" s="37"/>
      <c r="C1394" s="37"/>
      <c r="D1394" s="37"/>
    </row>
    <row r="1395" ht="15.75" customHeight="1">
      <c r="B1395" s="37"/>
      <c r="C1395" s="37"/>
      <c r="D1395" s="37"/>
    </row>
    <row r="1396" ht="15.75" customHeight="1">
      <c r="B1396" s="37"/>
      <c r="C1396" s="37"/>
      <c r="D1396" s="37"/>
    </row>
    <row r="1397" ht="15.75" customHeight="1">
      <c r="B1397" s="37"/>
      <c r="C1397" s="37"/>
      <c r="D1397" s="37"/>
    </row>
    <row r="1398" ht="15.75" customHeight="1">
      <c r="B1398" s="37"/>
      <c r="C1398" s="37"/>
      <c r="D1398" s="37"/>
    </row>
    <row r="1399" ht="15.75" customHeight="1">
      <c r="B1399" s="37"/>
      <c r="C1399" s="37"/>
      <c r="D1399" s="37"/>
    </row>
    <row r="1400" ht="15.75" customHeight="1">
      <c r="B1400" s="37"/>
      <c r="C1400" s="37"/>
      <c r="D1400" s="37"/>
    </row>
    <row r="1401" ht="15.75" customHeight="1">
      <c r="B1401" s="37"/>
      <c r="C1401" s="37"/>
      <c r="D1401" s="37"/>
    </row>
    <row r="1402" ht="15.75" customHeight="1">
      <c r="B1402" s="37"/>
      <c r="C1402" s="37"/>
      <c r="D1402" s="37"/>
    </row>
    <row r="1403" ht="15.75" customHeight="1">
      <c r="B1403" s="37"/>
      <c r="C1403" s="37"/>
      <c r="D1403" s="37"/>
    </row>
    <row r="1404" ht="15.75" customHeight="1">
      <c r="B1404" s="37"/>
      <c r="C1404" s="37"/>
      <c r="D1404" s="37"/>
    </row>
    <row r="1405" ht="15.75" customHeight="1">
      <c r="B1405" s="37"/>
      <c r="C1405" s="37"/>
      <c r="D1405" s="37"/>
    </row>
    <row r="1406" ht="15.75" customHeight="1">
      <c r="B1406" s="37"/>
      <c r="C1406" s="37"/>
      <c r="D1406" s="37"/>
    </row>
    <row r="1407" ht="15.75" customHeight="1">
      <c r="B1407" s="37"/>
      <c r="C1407" s="37"/>
      <c r="D1407" s="37"/>
    </row>
    <row r="1408" ht="15.75" customHeight="1">
      <c r="B1408" s="37"/>
      <c r="C1408" s="37"/>
      <c r="D1408" s="37"/>
    </row>
    <row r="1409" ht="15.75" customHeight="1">
      <c r="B1409" s="37"/>
      <c r="C1409" s="37"/>
      <c r="D1409" s="37"/>
    </row>
    <row r="1410" ht="15.75" customHeight="1">
      <c r="B1410" s="37"/>
      <c r="C1410" s="37"/>
      <c r="D1410" s="37"/>
    </row>
    <row r="1411" ht="15.75" customHeight="1">
      <c r="B1411" s="37"/>
      <c r="C1411" s="37"/>
      <c r="D1411" s="37"/>
    </row>
    <row r="1412" ht="15.75" customHeight="1">
      <c r="B1412" s="37"/>
      <c r="C1412" s="37"/>
      <c r="D1412" s="37"/>
    </row>
    <row r="1413" ht="15.75" customHeight="1">
      <c r="B1413" s="37"/>
      <c r="C1413" s="37"/>
      <c r="D1413" s="37"/>
    </row>
    <row r="1414" ht="15.75" customHeight="1">
      <c r="B1414" s="37"/>
      <c r="C1414" s="37"/>
      <c r="D1414" s="37"/>
    </row>
    <row r="1415" ht="15.75" customHeight="1">
      <c r="B1415" s="37"/>
      <c r="C1415" s="37"/>
      <c r="D1415" s="37"/>
    </row>
    <row r="1416" ht="15.75" customHeight="1">
      <c r="B1416" s="37"/>
      <c r="C1416" s="37"/>
      <c r="D1416" s="37"/>
    </row>
    <row r="1417" ht="15.75" customHeight="1">
      <c r="B1417" s="37"/>
      <c r="C1417" s="37"/>
      <c r="D1417" s="37"/>
    </row>
    <row r="1418" ht="15.75" customHeight="1">
      <c r="B1418" s="37"/>
      <c r="C1418" s="37"/>
      <c r="D1418" s="37"/>
    </row>
    <row r="1419" ht="15.75" customHeight="1">
      <c r="B1419" s="37"/>
      <c r="C1419" s="37"/>
      <c r="D1419" s="37"/>
    </row>
    <row r="1420" ht="15.75" customHeight="1">
      <c r="B1420" s="37"/>
      <c r="C1420" s="37"/>
      <c r="D1420" s="37"/>
    </row>
    <row r="1421" ht="15.75" customHeight="1">
      <c r="B1421" s="37"/>
      <c r="C1421" s="37"/>
      <c r="D1421" s="37"/>
    </row>
    <row r="1422" ht="15.75" customHeight="1">
      <c r="B1422" s="37"/>
      <c r="C1422" s="37"/>
      <c r="D1422" s="37"/>
    </row>
    <row r="1423" ht="15.75" customHeight="1">
      <c r="B1423" s="37"/>
      <c r="C1423" s="37"/>
      <c r="D1423" s="37"/>
    </row>
    <row r="1424" ht="15.75" customHeight="1">
      <c r="B1424" s="37"/>
      <c r="C1424" s="37"/>
      <c r="D1424" s="37"/>
    </row>
    <row r="1425" ht="15.75" customHeight="1">
      <c r="B1425" s="37"/>
      <c r="C1425" s="37"/>
      <c r="D1425" s="37"/>
    </row>
    <row r="1426" ht="15.75" customHeight="1">
      <c r="B1426" s="37"/>
      <c r="C1426" s="37"/>
      <c r="D1426" s="37"/>
    </row>
    <row r="1427" ht="15.75" customHeight="1">
      <c r="B1427" s="37"/>
      <c r="C1427" s="37"/>
      <c r="D1427" s="37"/>
    </row>
    <row r="1428" ht="15.75" customHeight="1">
      <c r="B1428" s="37"/>
      <c r="C1428" s="37"/>
      <c r="D1428" s="37"/>
    </row>
    <row r="1429" ht="15.75" customHeight="1">
      <c r="B1429" s="37"/>
      <c r="C1429" s="37"/>
      <c r="D1429" s="37"/>
    </row>
    <row r="1430" ht="15.75" customHeight="1">
      <c r="B1430" s="37"/>
      <c r="C1430" s="37"/>
      <c r="D1430" s="37"/>
    </row>
    <row r="1431" ht="15.75" customHeight="1">
      <c r="B1431" s="37"/>
      <c r="C1431" s="37"/>
      <c r="D1431" s="37"/>
    </row>
    <row r="1432" ht="15.75" customHeight="1">
      <c r="B1432" s="37"/>
      <c r="C1432" s="37"/>
      <c r="D1432" s="37"/>
    </row>
    <row r="1433" ht="15.75" customHeight="1">
      <c r="B1433" s="37"/>
      <c r="C1433" s="37"/>
      <c r="D1433" s="37"/>
    </row>
    <row r="1434" ht="15.75" customHeight="1">
      <c r="B1434" s="37"/>
      <c r="C1434" s="37"/>
      <c r="D1434" s="37"/>
    </row>
    <row r="1435" ht="15.75" customHeight="1">
      <c r="B1435" s="37"/>
      <c r="C1435" s="37"/>
      <c r="D1435" s="37"/>
    </row>
    <row r="1436" ht="15.75" customHeight="1">
      <c r="B1436" s="37"/>
      <c r="C1436" s="37"/>
      <c r="D1436" s="37"/>
    </row>
    <row r="1437" ht="15.75" customHeight="1">
      <c r="B1437" s="37"/>
      <c r="C1437" s="37"/>
      <c r="D1437" s="37"/>
    </row>
    <row r="1438" ht="15.75" customHeight="1">
      <c r="B1438" s="37"/>
      <c r="C1438" s="37"/>
      <c r="D1438" s="37"/>
    </row>
    <row r="1439" ht="15.75" customHeight="1">
      <c r="B1439" s="37"/>
      <c r="C1439" s="37"/>
      <c r="D1439" s="37"/>
    </row>
    <row r="1440" ht="15.75" customHeight="1">
      <c r="B1440" s="37"/>
      <c r="C1440" s="37"/>
      <c r="D1440" s="37"/>
    </row>
    <row r="1441" ht="15.75" customHeight="1">
      <c r="B1441" s="37"/>
      <c r="C1441" s="37"/>
      <c r="D1441" s="37"/>
    </row>
    <row r="1442" ht="15.75" customHeight="1">
      <c r="B1442" s="37"/>
      <c r="C1442" s="37"/>
      <c r="D1442" s="37"/>
    </row>
    <row r="1443" ht="15.75" customHeight="1">
      <c r="B1443" s="37"/>
      <c r="C1443" s="37"/>
      <c r="D1443" s="37"/>
    </row>
    <row r="1444" ht="15.75" customHeight="1">
      <c r="B1444" s="37"/>
      <c r="C1444" s="37"/>
      <c r="D1444" s="37"/>
    </row>
    <row r="1445" ht="15.75" customHeight="1">
      <c r="B1445" s="37"/>
      <c r="C1445" s="37"/>
      <c r="D1445" s="37"/>
    </row>
    <row r="1446" ht="15.75" customHeight="1">
      <c r="B1446" s="37"/>
      <c r="C1446" s="37"/>
      <c r="D1446" s="37"/>
    </row>
    <row r="1447" ht="15.75" customHeight="1">
      <c r="B1447" s="37"/>
      <c r="C1447" s="37"/>
      <c r="D1447" s="37"/>
    </row>
    <row r="1448" ht="15.75" customHeight="1">
      <c r="B1448" s="37"/>
      <c r="C1448" s="37"/>
      <c r="D1448" s="37"/>
    </row>
    <row r="1449" ht="15.75" customHeight="1">
      <c r="B1449" s="37"/>
      <c r="C1449" s="37"/>
      <c r="D1449" s="37"/>
    </row>
    <row r="1450" ht="15.75" customHeight="1">
      <c r="B1450" s="37"/>
      <c r="C1450" s="37"/>
      <c r="D1450" s="37"/>
    </row>
    <row r="1451" ht="15.75" customHeight="1">
      <c r="B1451" s="37"/>
      <c r="C1451" s="37"/>
      <c r="D1451" s="37"/>
    </row>
    <row r="1452" ht="15.75" customHeight="1">
      <c r="B1452" s="37"/>
      <c r="C1452" s="37"/>
      <c r="D1452" s="37"/>
    </row>
    <row r="1453" ht="15.75" customHeight="1">
      <c r="B1453" s="37"/>
      <c r="C1453" s="37"/>
      <c r="D1453" s="37"/>
    </row>
    <row r="1454" ht="15.75" customHeight="1">
      <c r="B1454" s="37"/>
      <c r="C1454" s="37"/>
      <c r="D1454" s="37"/>
    </row>
    <row r="1455" ht="15.75" customHeight="1">
      <c r="B1455" s="37"/>
      <c r="C1455" s="37"/>
      <c r="D1455" s="37"/>
    </row>
    <row r="1456" ht="15.75" customHeight="1">
      <c r="B1456" s="37"/>
      <c r="C1456" s="37"/>
      <c r="D1456" s="37"/>
    </row>
    <row r="1457" ht="15.75" customHeight="1">
      <c r="B1457" s="37"/>
      <c r="C1457" s="37"/>
      <c r="D1457" s="37"/>
    </row>
    <row r="1458" ht="15.75" customHeight="1">
      <c r="B1458" s="37"/>
      <c r="C1458" s="37"/>
      <c r="D1458" s="37"/>
    </row>
    <row r="1459" ht="15.75" customHeight="1">
      <c r="B1459" s="37"/>
      <c r="C1459" s="37"/>
      <c r="D1459" s="37"/>
    </row>
    <row r="1460" ht="15.75" customHeight="1">
      <c r="B1460" s="37"/>
      <c r="C1460" s="37"/>
      <c r="D1460" s="37"/>
    </row>
    <row r="1461" ht="15.75" customHeight="1">
      <c r="B1461" s="37"/>
      <c r="C1461" s="37"/>
      <c r="D1461" s="37"/>
    </row>
    <row r="1462" ht="15.75" customHeight="1">
      <c r="B1462" s="37"/>
      <c r="C1462" s="37"/>
      <c r="D1462" s="37"/>
    </row>
    <row r="1463" ht="15.75" customHeight="1">
      <c r="B1463" s="37"/>
      <c r="C1463" s="37"/>
      <c r="D1463" s="37"/>
    </row>
    <row r="1464" ht="15.75" customHeight="1">
      <c r="B1464" s="37"/>
      <c r="C1464" s="37"/>
      <c r="D1464" s="37"/>
    </row>
    <row r="1465" ht="15.75" customHeight="1">
      <c r="B1465" s="37"/>
      <c r="C1465" s="37"/>
      <c r="D1465" s="37"/>
    </row>
    <row r="1466" ht="15.75" customHeight="1">
      <c r="B1466" s="37"/>
      <c r="C1466" s="37"/>
      <c r="D1466" s="37"/>
    </row>
    <row r="1467" ht="15.75" customHeight="1">
      <c r="B1467" s="37"/>
      <c r="C1467" s="37"/>
      <c r="D1467" s="37"/>
    </row>
    <row r="1468" ht="15.75" customHeight="1">
      <c r="B1468" s="37"/>
      <c r="C1468" s="37"/>
      <c r="D1468" s="37"/>
    </row>
    <row r="1469" ht="15.75" customHeight="1">
      <c r="B1469" s="37"/>
      <c r="C1469" s="37"/>
      <c r="D1469" s="37"/>
    </row>
    <row r="1470" ht="15.75" customHeight="1">
      <c r="B1470" s="37"/>
      <c r="C1470" s="37"/>
      <c r="D1470" s="37"/>
    </row>
    <row r="1471" ht="15.75" customHeight="1">
      <c r="B1471" s="37"/>
      <c r="C1471" s="37"/>
      <c r="D1471" s="37"/>
    </row>
    <row r="1472" ht="15.75" customHeight="1">
      <c r="B1472" s="37"/>
      <c r="C1472" s="37"/>
      <c r="D1472" s="37"/>
    </row>
    <row r="1473" ht="15.75" customHeight="1">
      <c r="B1473" s="37"/>
      <c r="C1473" s="37"/>
      <c r="D1473" s="37"/>
    </row>
    <row r="1474" ht="15.75" customHeight="1">
      <c r="B1474" s="37"/>
      <c r="C1474" s="37"/>
      <c r="D1474" s="37"/>
    </row>
    <row r="1475" ht="15.75" customHeight="1">
      <c r="B1475" s="37"/>
      <c r="C1475" s="37"/>
      <c r="D1475" s="37"/>
    </row>
    <row r="1476" ht="15.75" customHeight="1">
      <c r="B1476" s="37"/>
      <c r="C1476" s="37"/>
      <c r="D1476" s="37"/>
    </row>
    <row r="1477" ht="15.75" customHeight="1">
      <c r="B1477" s="37"/>
      <c r="C1477" s="37"/>
      <c r="D1477" s="37"/>
    </row>
    <row r="1478" ht="15.75" customHeight="1">
      <c r="B1478" s="37"/>
      <c r="C1478" s="37"/>
      <c r="D1478" s="37"/>
    </row>
    <row r="1479" ht="15.75" customHeight="1">
      <c r="B1479" s="37"/>
      <c r="C1479" s="37"/>
      <c r="D1479" s="37"/>
    </row>
    <row r="1480" ht="15.75" customHeight="1">
      <c r="B1480" s="37"/>
      <c r="C1480" s="37"/>
      <c r="D1480" s="37"/>
    </row>
    <row r="1481" ht="15.75" customHeight="1">
      <c r="B1481" s="37"/>
      <c r="C1481" s="37"/>
      <c r="D1481" s="37"/>
    </row>
    <row r="1482" ht="15.75" customHeight="1">
      <c r="B1482" s="37"/>
      <c r="C1482" s="37"/>
      <c r="D1482" s="37"/>
    </row>
    <row r="1483" ht="15.75" customHeight="1">
      <c r="B1483" s="37"/>
      <c r="C1483" s="37"/>
      <c r="D1483" s="37"/>
    </row>
    <row r="1484" ht="15.75" customHeight="1">
      <c r="B1484" s="37"/>
      <c r="C1484" s="37"/>
      <c r="D1484" s="37"/>
    </row>
    <row r="1485" ht="15.75" customHeight="1">
      <c r="B1485" s="37"/>
      <c r="C1485" s="37"/>
      <c r="D1485" s="37"/>
    </row>
    <row r="1486" ht="15.75" customHeight="1">
      <c r="B1486" s="37"/>
      <c r="C1486" s="37"/>
      <c r="D1486" s="37"/>
    </row>
    <row r="1487" ht="15.75" customHeight="1">
      <c r="B1487" s="37"/>
      <c r="C1487" s="37"/>
      <c r="D1487" s="37"/>
    </row>
    <row r="1488" ht="15.75" customHeight="1">
      <c r="B1488" s="37"/>
      <c r="C1488" s="37"/>
      <c r="D1488" s="37"/>
    </row>
    <row r="1489" ht="15.75" customHeight="1">
      <c r="B1489" s="37"/>
      <c r="C1489" s="37"/>
      <c r="D1489" s="37"/>
    </row>
    <row r="1490" ht="15.75" customHeight="1">
      <c r="B1490" s="37"/>
      <c r="C1490" s="37"/>
      <c r="D1490" s="37"/>
    </row>
    <row r="1491" ht="15.75" customHeight="1">
      <c r="B1491" s="37"/>
      <c r="C1491" s="37"/>
      <c r="D1491" s="37"/>
    </row>
    <row r="1492" ht="15.75" customHeight="1">
      <c r="B1492" s="37"/>
      <c r="C1492" s="37"/>
      <c r="D1492" s="37"/>
    </row>
    <row r="1493" ht="15.75" customHeight="1">
      <c r="B1493" s="37"/>
      <c r="C1493" s="37"/>
      <c r="D1493" s="37"/>
    </row>
    <row r="1494" ht="15.75" customHeight="1">
      <c r="B1494" s="37"/>
      <c r="C1494" s="37"/>
      <c r="D1494" s="37"/>
    </row>
    <row r="1495" ht="15.75" customHeight="1">
      <c r="B1495" s="37"/>
      <c r="C1495" s="37"/>
      <c r="D1495" s="37"/>
    </row>
    <row r="1496" ht="15.75" customHeight="1">
      <c r="B1496" s="37"/>
      <c r="C1496" s="37"/>
      <c r="D1496" s="37"/>
    </row>
    <row r="1497" ht="15.75" customHeight="1">
      <c r="B1497" s="37"/>
      <c r="C1497" s="37"/>
      <c r="D1497" s="37"/>
    </row>
    <row r="1498" ht="15.75" customHeight="1">
      <c r="B1498" s="37"/>
      <c r="C1498" s="37"/>
      <c r="D1498" s="37"/>
    </row>
    <row r="1499" ht="15.75" customHeight="1">
      <c r="B1499" s="37"/>
      <c r="C1499" s="37"/>
      <c r="D1499" s="37"/>
    </row>
    <row r="1500" ht="15.75" customHeight="1">
      <c r="B1500" s="37"/>
      <c r="C1500" s="37"/>
      <c r="D1500" s="37"/>
    </row>
    <row r="1501" ht="15.75" customHeight="1">
      <c r="B1501" s="37"/>
      <c r="C1501" s="37"/>
      <c r="D1501" s="37"/>
    </row>
    <row r="1502" ht="15.75" customHeight="1">
      <c r="B1502" s="37"/>
      <c r="C1502" s="37"/>
      <c r="D1502" s="37"/>
    </row>
    <row r="1503" ht="15.75" customHeight="1">
      <c r="B1503" s="37"/>
      <c r="C1503" s="37"/>
      <c r="D1503" s="37"/>
    </row>
    <row r="1504" ht="15.75" customHeight="1">
      <c r="B1504" s="37"/>
      <c r="C1504" s="37"/>
      <c r="D1504" s="37"/>
    </row>
    <row r="1505" ht="15.75" customHeight="1">
      <c r="B1505" s="37"/>
      <c r="C1505" s="37"/>
      <c r="D1505" s="37"/>
    </row>
    <row r="1506" ht="15.75" customHeight="1">
      <c r="B1506" s="37"/>
      <c r="C1506" s="37"/>
      <c r="D1506" s="37"/>
    </row>
    <row r="1507" ht="15.75" customHeight="1">
      <c r="B1507" s="37"/>
      <c r="C1507" s="37"/>
      <c r="D1507" s="37"/>
    </row>
    <row r="1508" ht="15.75" customHeight="1">
      <c r="B1508" s="37"/>
      <c r="C1508" s="37"/>
      <c r="D1508" s="37"/>
    </row>
    <row r="1509" ht="15.75" customHeight="1">
      <c r="B1509" s="37"/>
      <c r="C1509" s="37"/>
      <c r="D1509" s="37"/>
    </row>
    <row r="1510" ht="15.75" customHeight="1">
      <c r="B1510" s="37"/>
      <c r="C1510" s="37"/>
      <c r="D1510" s="37"/>
    </row>
    <row r="1511" ht="15.75" customHeight="1">
      <c r="B1511" s="37"/>
      <c r="C1511" s="37"/>
      <c r="D1511" s="37"/>
    </row>
    <row r="1512" ht="15.75" customHeight="1">
      <c r="B1512" s="37"/>
      <c r="C1512" s="37"/>
      <c r="D1512" s="37"/>
    </row>
    <row r="1513" ht="15.75" customHeight="1">
      <c r="B1513" s="37"/>
      <c r="C1513" s="37"/>
      <c r="D1513" s="37"/>
    </row>
    <row r="1514" ht="15.75" customHeight="1">
      <c r="B1514" s="37"/>
      <c r="C1514" s="37"/>
      <c r="D1514" s="37"/>
    </row>
    <row r="1515" ht="15.75" customHeight="1">
      <c r="B1515" s="37"/>
      <c r="C1515" s="37"/>
      <c r="D1515" s="37"/>
    </row>
    <row r="1516" ht="15.75" customHeight="1">
      <c r="B1516" s="37"/>
      <c r="C1516" s="37"/>
      <c r="D1516" s="37"/>
    </row>
    <row r="1517" ht="15.75" customHeight="1">
      <c r="B1517" s="37"/>
      <c r="C1517" s="37"/>
      <c r="D1517" s="37"/>
    </row>
    <row r="1518" ht="15.75" customHeight="1">
      <c r="B1518" s="37"/>
      <c r="C1518" s="37"/>
      <c r="D1518" s="37"/>
    </row>
    <row r="1519" ht="15.75" customHeight="1">
      <c r="B1519" s="37"/>
      <c r="C1519" s="37"/>
      <c r="D1519" s="37"/>
    </row>
    <row r="1520" ht="15.75" customHeight="1">
      <c r="B1520" s="37"/>
      <c r="C1520" s="37"/>
      <c r="D1520" s="37"/>
    </row>
    <row r="1521" ht="15.75" customHeight="1">
      <c r="B1521" s="37"/>
      <c r="C1521" s="37"/>
      <c r="D1521" s="37"/>
    </row>
    <row r="1522" ht="15.75" customHeight="1">
      <c r="B1522" s="37"/>
      <c r="C1522" s="37"/>
      <c r="D1522" s="37"/>
    </row>
    <row r="1523" ht="15.75" customHeight="1">
      <c r="B1523" s="37"/>
      <c r="C1523" s="37"/>
      <c r="D1523" s="37"/>
    </row>
    <row r="1524" ht="15.75" customHeight="1">
      <c r="B1524" s="37"/>
      <c r="C1524" s="37"/>
      <c r="D1524" s="37"/>
    </row>
    <row r="1525" ht="15.75" customHeight="1">
      <c r="B1525" s="37"/>
      <c r="C1525" s="37"/>
      <c r="D1525" s="37"/>
    </row>
    <row r="1526" ht="15.75" customHeight="1">
      <c r="B1526" s="37"/>
      <c r="C1526" s="37"/>
      <c r="D1526" s="37"/>
    </row>
    <row r="1527" ht="15.75" customHeight="1">
      <c r="B1527" s="37"/>
      <c r="C1527" s="37"/>
      <c r="D1527" s="37"/>
    </row>
    <row r="1528" ht="15.75" customHeight="1">
      <c r="B1528" s="37"/>
      <c r="C1528" s="37"/>
      <c r="D1528" s="37"/>
    </row>
    <row r="1529" ht="15.75" customHeight="1">
      <c r="B1529" s="37"/>
      <c r="C1529" s="37"/>
      <c r="D1529" s="37"/>
    </row>
    <row r="1530" ht="15.75" customHeight="1">
      <c r="B1530" s="37"/>
      <c r="C1530" s="37"/>
      <c r="D1530" s="37"/>
    </row>
    <row r="1531" ht="15.75" customHeight="1">
      <c r="B1531" s="37"/>
      <c r="C1531" s="37"/>
      <c r="D1531" s="37"/>
    </row>
    <row r="1532" ht="15.75" customHeight="1">
      <c r="B1532" s="37"/>
      <c r="C1532" s="37"/>
      <c r="D1532" s="37"/>
    </row>
    <row r="1533" ht="15.75" customHeight="1">
      <c r="B1533" s="37"/>
      <c r="C1533" s="37"/>
      <c r="D1533" s="37"/>
    </row>
    <row r="1534" ht="15.75" customHeight="1">
      <c r="B1534" s="37"/>
      <c r="C1534" s="37"/>
      <c r="D1534" s="37"/>
    </row>
    <row r="1535" ht="15.75" customHeight="1">
      <c r="B1535" s="37"/>
      <c r="C1535" s="37"/>
      <c r="D1535" s="37"/>
    </row>
    <row r="1536" ht="15.75" customHeight="1">
      <c r="B1536" s="37"/>
      <c r="C1536" s="37"/>
      <c r="D1536" s="37"/>
    </row>
    <row r="1537" ht="15.75" customHeight="1">
      <c r="B1537" s="37"/>
      <c r="C1537" s="37"/>
      <c r="D1537" s="37"/>
    </row>
    <row r="1538" ht="15.75" customHeight="1">
      <c r="B1538" s="37"/>
      <c r="C1538" s="37"/>
      <c r="D1538" s="37"/>
    </row>
    <row r="1539" ht="15.75" customHeight="1">
      <c r="B1539" s="37"/>
      <c r="C1539" s="37"/>
      <c r="D1539" s="37"/>
    </row>
    <row r="1540" ht="15.75" customHeight="1">
      <c r="B1540" s="37"/>
      <c r="C1540" s="37"/>
      <c r="D1540" s="37"/>
    </row>
    <row r="1541" ht="15.75" customHeight="1">
      <c r="B1541" s="37"/>
      <c r="C1541" s="37"/>
      <c r="D1541" s="37"/>
    </row>
    <row r="1542" ht="15.75" customHeight="1">
      <c r="B1542" s="37"/>
      <c r="C1542" s="37"/>
      <c r="D1542" s="37"/>
    </row>
    <row r="1543" ht="15.75" customHeight="1">
      <c r="B1543" s="37"/>
      <c r="C1543" s="37"/>
      <c r="D1543" s="37"/>
    </row>
    <row r="1544" ht="15.75" customHeight="1">
      <c r="B1544" s="37"/>
      <c r="C1544" s="37"/>
      <c r="D1544" s="37"/>
    </row>
    <row r="1545" ht="15.75" customHeight="1">
      <c r="B1545" s="37"/>
      <c r="C1545" s="37"/>
      <c r="D1545" s="37"/>
    </row>
    <row r="1546" ht="15.75" customHeight="1">
      <c r="B1546" s="37"/>
      <c r="C1546" s="37"/>
      <c r="D1546" s="37"/>
    </row>
    <row r="1547" ht="15.75" customHeight="1">
      <c r="B1547" s="37"/>
      <c r="C1547" s="37"/>
      <c r="D1547" s="37"/>
    </row>
    <row r="1548" ht="15.75" customHeight="1">
      <c r="B1548" s="37"/>
      <c r="C1548" s="37"/>
      <c r="D1548" s="37"/>
    </row>
    <row r="1549" ht="15.75" customHeight="1">
      <c r="B1549" s="37"/>
      <c r="C1549" s="37"/>
      <c r="D1549" s="37"/>
    </row>
    <row r="1550" ht="15.75" customHeight="1">
      <c r="B1550" s="37"/>
      <c r="C1550" s="37"/>
      <c r="D1550" s="37"/>
    </row>
    <row r="1551" ht="15.75" customHeight="1">
      <c r="B1551" s="37"/>
      <c r="C1551" s="37"/>
      <c r="D1551" s="37"/>
    </row>
    <row r="1552" ht="15.75" customHeight="1">
      <c r="B1552" s="37"/>
      <c r="C1552" s="37"/>
      <c r="D1552" s="37"/>
    </row>
    <row r="1553" ht="15.75" customHeight="1">
      <c r="B1553" s="37"/>
      <c r="C1553" s="37"/>
      <c r="D1553" s="37"/>
    </row>
    <row r="1554" ht="15.75" customHeight="1">
      <c r="B1554" s="37"/>
      <c r="C1554" s="37"/>
      <c r="D1554" s="37"/>
    </row>
    <row r="1555" ht="15.75" customHeight="1">
      <c r="B1555" s="37"/>
      <c r="C1555" s="37"/>
      <c r="D1555" s="37"/>
    </row>
    <row r="1556" ht="15.75" customHeight="1">
      <c r="B1556" s="37"/>
      <c r="C1556" s="37"/>
      <c r="D1556" s="37"/>
    </row>
    <row r="1557" ht="15.75" customHeight="1">
      <c r="B1557" s="37"/>
      <c r="C1557" s="37"/>
      <c r="D1557" s="37"/>
    </row>
    <row r="1558" ht="15.75" customHeight="1">
      <c r="B1558" s="37"/>
      <c r="C1558" s="37"/>
      <c r="D1558" s="37"/>
    </row>
    <row r="1559" ht="15.75" customHeight="1">
      <c r="B1559" s="37"/>
      <c r="C1559" s="37"/>
      <c r="D1559" s="37"/>
    </row>
    <row r="1560" ht="15.75" customHeight="1">
      <c r="B1560" s="37"/>
      <c r="C1560" s="37"/>
      <c r="D1560" s="37"/>
    </row>
    <row r="1561" ht="15.75" customHeight="1">
      <c r="B1561" s="37"/>
      <c r="C1561" s="37"/>
      <c r="D1561" s="37"/>
    </row>
    <row r="1562" ht="15.75" customHeight="1">
      <c r="B1562" s="37"/>
      <c r="C1562" s="37"/>
      <c r="D1562" s="37"/>
    </row>
    <row r="1563" ht="15.75" customHeight="1">
      <c r="B1563" s="37"/>
      <c r="C1563" s="37"/>
      <c r="D1563" s="37"/>
    </row>
    <row r="1564" ht="15.75" customHeight="1">
      <c r="B1564" s="37"/>
      <c r="C1564" s="37"/>
      <c r="D1564" s="37"/>
    </row>
    <row r="1565" ht="15.75" customHeight="1">
      <c r="B1565" s="37"/>
      <c r="C1565" s="37"/>
      <c r="D1565" s="37"/>
    </row>
    <row r="1566" ht="15.75" customHeight="1">
      <c r="B1566" s="37"/>
      <c r="C1566" s="37"/>
      <c r="D1566" s="37"/>
    </row>
    <row r="1567" ht="15.75" customHeight="1">
      <c r="B1567" s="37"/>
      <c r="C1567" s="37"/>
      <c r="D1567" s="37"/>
    </row>
    <row r="1568" ht="15.75" customHeight="1">
      <c r="B1568" s="37"/>
      <c r="C1568" s="37"/>
      <c r="D1568" s="37"/>
    </row>
    <row r="1569" ht="15.75" customHeight="1">
      <c r="B1569" s="37"/>
      <c r="C1569" s="37"/>
      <c r="D1569" s="37"/>
    </row>
    <row r="1570" ht="15.75" customHeight="1">
      <c r="B1570" s="37"/>
      <c r="C1570" s="37"/>
      <c r="D1570" s="37"/>
    </row>
    <row r="1571" ht="15.75" customHeight="1">
      <c r="B1571" s="37"/>
      <c r="C1571" s="37"/>
      <c r="D1571" s="37"/>
    </row>
    <row r="1572" ht="15.75" customHeight="1">
      <c r="B1572" s="37"/>
      <c r="C1572" s="37"/>
      <c r="D1572" s="37"/>
    </row>
    <row r="1573" ht="15.75" customHeight="1">
      <c r="B1573" s="37"/>
      <c r="C1573" s="37"/>
      <c r="D1573" s="37"/>
    </row>
    <row r="1574" ht="15.75" customHeight="1">
      <c r="B1574" s="37"/>
      <c r="C1574" s="37"/>
      <c r="D1574" s="37"/>
    </row>
    <row r="1575" ht="15.75" customHeight="1">
      <c r="B1575" s="37"/>
      <c r="C1575" s="37"/>
      <c r="D1575" s="37"/>
    </row>
    <row r="1576" ht="15.75" customHeight="1">
      <c r="B1576" s="37"/>
      <c r="C1576" s="37"/>
      <c r="D1576" s="37"/>
    </row>
    <row r="1577" ht="15.75" customHeight="1">
      <c r="B1577" s="37"/>
      <c r="C1577" s="37"/>
      <c r="D1577" s="37"/>
    </row>
    <row r="1578" ht="15.75" customHeight="1">
      <c r="B1578" s="37"/>
      <c r="C1578" s="37"/>
      <c r="D1578" s="37"/>
    </row>
    <row r="1579" ht="15.75" customHeight="1">
      <c r="B1579" s="37"/>
      <c r="C1579" s="37"/>
      <c r="D1579" s="37"/>
    </row>
    <row r="1580" ht="15.75" customHeight="1">
      <c r="B1580" s="37"/>
      <c r="C1580" s="37"/>
      <c r="D1580" s="37"/>
    </row>
    <row r="1581" ht="15.75" customHeight="1">
      <c r="B1581" s="37"/>
      <c r="C1581" s="37"/>
      <c r="D1581" s="37"/>
    </row>
    <row r="1582" ht="15.75" customHeight="1">
      <c r="B1582" s="37"/>
      <c r="C1582" s="37"/>
      <c r="D1582" s="37"/>
    </row>
    <row r="1583" ht="15.75" customHeight="1">
      <c r="B1583" s="37"/>
      <c r="C1583" s="37"/>
      <c r="D1583" s="37"/>
    </row>
    <row r="1584" ht="15.75" customHeight="1">
      <c r="B1584" s="37"/>
      <c r="C1584" s="37"/>
      <c r="D1584" s="37"/>
    </row>
    <row r="1585" ht="15.75" customHeight="1">
      <c r="B1585" s="37"/>
      <c r="C1585" s="37"/>
      <c r="D1585" s="37"/>
    </row>
    <row r="1586" ht="15.75" customHeight="1">
      <c r="B1586" s="37"/>
      <c r="C1586" s="37"/>
      <c r="D1586" s="37"/>
    </row>
    <row r="1587" ht="15.75" customHeight="1">
      <c r="B1587" s="37"/>
      <c r="C1587" s="37"/>
      <c r="D1587" s="37"/>
    </row>
    <row r="1588" ht="15.75" customHeight="1">
      <c r="B1588" s="37"/>
      <c r="C1588" s="37"/>
      <c r="D1588" s="37"/>
    </row>
    <row r="1589" ht="15.75" customHeight="1">
      <c r="B1589" s="37"/>
      <c r="C1589" s="37"/>
      <c r="D1589" s="37"/>
    </row>
    <row r="1590" ht="15.75" customHeight="1">
      <c r="B1590" s="37"/>
      <c r="C1590" s="37"/>
      <c r="D1590" s="37"/>
    </row>
    <row r="1591" ht="15.75" customHeight="1">
      <c r="B1591" s="37"/>
      <c r="C1591" s="37"/>
      <c r="D1591" s="37"/>
    </row>
    <row r="1592" ht="15.75" customHeight="1">
      <c r="B1592" s="37"/>
      <c r="C1592" s="37"/>
      <c r="D1592" s="37"/>
    </row>
    <row r="1593" ht="15.75" customHeight="1">
      <c r="B1593" s="37"/>
      <c r="C1593" s="37"/>
      <c r="D1593" s="37"/>
    </row>
    <row r="1594" ht="15.75" customHeight="1">
      <c r="B1594" s="37"/>
      <c r="C1594" s="37"/>
      <c r="D1594" s="37"/>
    </row>
    <row r="1595" ht="15.75" customHeight="1">
      <c r="B1595" s="37"/>
      <c r="C1595" s="37"/>
      <c r="D1595" s="37"/>
    </row>
    <row r="1596" ht="15.75" customHeight="1">
      <c r="B1596" s="37"/>
      <c r="C1596" s="37"/>
      <c r="D1596" s="37"/>
    </row>
    <row r="1597" ht="15.75" customHeight="1">
      <c r="B1597" s="37"/>
      <c r="C1597" s="37"/>
      <c r="D1597" s="37"/>
    </row>
    <row r="1598" ht="15.75" customHeight="1">
      <c r="B1598" s="37"/>
      <c r="C1598" s="37"/>
      <c r="D1598" s="37"/>
    </row>
    <row r="1599" ht="15.75" customHeight="1">
      <c r="B1599" s="37"/>
      <c r="C1599" s="37"/>
      <c r="D1599" s="37"/>
    </row>
    <row r="1600" ht="15.75" customHeight="1">
      <c r="B1600" s="37"/>
      <c r="C1600" s="37"/>
      <c r="D1600" s="37"/>
    </row>
    <row r="1601" ht="15.75" customHeight="1">
      <c r="B1601" s="37"/>
      <c r="C1601" s="37"/>
      <c r="D1601" s="37"/>
    </row>
    <row r="1602" ht="15.75" customHeight="1">
      <c r="B1602" s="37"/>
      <c r="C1602" s="37"/>
      <c r="D1602" s="37"/>
    </row>
    <row r="1603" ht="15.75" customHeight="1">
      <c r="B1603" s="37"/>
      <c r="C1603" s="37"/>
      <c r="D1603" s="37"/>
    </row>
    <row r="1604" ht="15.75" customHeight="1">
      <c r="B1604" s="37"/>
      <c r="C1604" s="37"/>
      <c r="D1604" s="37"/>
    </row>
    <row r="1605" ht="15.75" customHeight="1">
      <c r="B1605" s="37"/>
      <c r="C1605" s="37"/>
      <c r="D1605" s="37"/>
    </row>
    <row r="1606" ht="15.75" customHeight="1">
      <c r="B1606" s="37"/>
      <c r="C1606" s="37"/>
      <c r="D1606" s="37"/>
    </row>
    <row r="1607" ht="15.75" customHeight="1">
      <c r="B1607" s="37"/>
      <c r="C1607" s="37"/>
      <c r="D1607" s="37"/>
    </row>
    <row r="1608" ht="15.75" customHeight="1">
      <c r="B1608" s="37"/>
      <c r="C1608" s="37"/>
      <c r="D1608" s="37"/>
    </row>
    <row r="1609" ht="15.75" customHeight="1">
      <c r="B1609" s="37"/>
      <c r="C1609" s="37"/>
      <c r="D1609" s="37"/>
    </row>
    <row r="1610" ht="15.75" customHeight="1">
      <c r="B1610" s="37"/>
      <c r="C1610" s="37"/>
      <c r="D1610" s="37"/>
    </row>
    <row r="1611" ht="15.75" customHeight="1">
      <c r="B1611" s="37"/>
      <c r="C1611" s="37"/>
      <c r="D1611" s="37"/>
    </row>
    <row r="1612" ht="15.75" customHeight="1">
      <c r="B1612" s="37"/>
      <c r="C1612" s="37"/>
      <c r="D1612" s="37"/>
    </row>
    <row r="1613" ht="15.75" customHeight="1">
      <c r="B1613" s="37"/>
      <c r="C1613" s="37"/>
      <c r="D1613" s="37"/>
    </row>
    <row r="1614" ht="15.75" customHeight="1">
      <c r="B1614" s="37"/>
      <c r="C1614" s="37"/>
      <c r="D1614" s="37"/>
    </row>
    <row r="1615" ht="15.75" customHeight="1">
      <c r="B1615" s="37"/>
      <c r="C1615" s="37"/>
      <c r="D1615" s="37"/>
    </row>
    <row r="1616" ht="15.75" customHeight="1">
      <c r="B1616" s="37"/>
      <c r="C1616" s="37"/>
      <c r="D1616" s="37"/>
    </row>
    <row r="1617" ht="15.75" customHeight="1">
      <c r="B1617" s="37"/>
      <c r="C1617" s="37"/>
      <c r="D1617" s="37"/>
    </row>
    <row r="1618" ht="15.75" customHeight="1">
      <c r="B1618" s="37"/>
      <c r="C1618" s="37"/>
      <c r="D1618" s="37"/>
    </row>
    <row r="1619" ht="15.75" customHeight="1">
      <c r="B1619" s="37"/>
      <c r="C1619" s="37"/>
      <c r="D1619" s="37"/>
    </row>
    <row r="1620" ht="15.75" customHeight="1">
      <c r="B1620" s="37"/>
      <c r="C1620" s="37"/>
      <c r="D1620" s="37"/>
    </row>
    <row r="1621" ht="15.75" customHeight="1">
      <c r="B1621" s="37"/>
      <c r="C1621" s="37"/>
      <c r="D1621" s="37"/>
    </row>
    <row r="1622" ht="15.75" customHeight="1">
      <c r="B1622" s="37"/>
      <c r="C1622" s="37"/>
      <c r="D1622" s="37"/>
    </row>
    <row r="1623" ht="15.75" customHeight="1">
      <c r="B1623" s="37"/>
      <c r="C1623" s="37"/>
      <c r="D1623" s="37"/>
    </row>
    <row r="1624" ht="15.75" customHeight="1">
      <c r="B1624" s="37"/>
      <c r="C1624" s="37"/>
      <c r="D1624" s="37"/>
    </row>
    <row r="1625" ht="15.75" customHeight="1">
      <c r="B1625" s="37"/>
      <c r="C1625" s="37"/>
      <c r="D1625" s="37"/>
    </row>
    <row r="1626" ht="15.75" customHeight="1">
      <c r="B1626" s="37"/>
      <c r="C1626" s="37"/>
      <c r="D1626" s="37"/>
    </row>
    <row r="1627" ht="15.75" customHeight="1">
      <c r="B1627" s="37"/>
      <c r="C1627" s="37"/>
      <c r="D1627" s="37"/>
    </row>
    <row r="1628" ht="15.75" customHeight="1">
      <c r="B1628" s="37"/>
      <c r="C1628" s="37"/>
      <c r="D1628" s="37"/>
    </row>
    <row r="1629" ht="15.75" customHeight="1">
      <c r="B1629" s="37"/>
      <c r="C1629" s="37"/>
      <c r="D1629" s="37"/>
    </row>
    <row r="1630" ht="15.75" customHeight="1">
      <c r="B1630" s="37"/>
      <c r="C1630" s="37"/>
      <c r="D1630" s="37"/>
    </row>
    <row r="1631" ht="15.75" customHeight="1">
      <c r="B1631" s="37"/>
      <c r="C1631" s="37"/>
      <c r="D1631" s="37"/>
    </row>
    <row r="1632" ht="15.75" customHeight="1">
      <c r="B1632" s="37"/>
      <c r="C1632" s="37"/>
      <c r="D1632" s="37"/>
    </row>
    <row r="1633" ht="15.75" customHeight="1">
      <c r="B1633" s="37"/>
      <c r="C1633" s="37"/>
      <c r="D1633" s="37"/>
    </row>
    <row r="1634" ht="15.75" customHeight="1">
      <c r="B1634" s="37"/>
      <c r="C1634" s="37"/>
      <c r="D1634" s="37"/>
    </row>
    <row r="1635" ht="15.75" customHeight="1">
      <c r="B1635" s="37"/>
      <c r="C1635" s="37"/>
      <c r="D1635" s="37"/>
    </row>
    <row r="1636" ht="15.75" customHeight="1">
      <c r="B1636" s="37"/>
      <c r="C1636" s="37"/>
      <c r="D1636" s="37"/>
    </row>
    <row r="1637" ht="15.75" customHeight="1">
      <c r="B1637" s="37"/>
      <c r="C1637" s="37"/>
      <c r="D1637" s="37"/>
    </row>
    <row r="1638" ht="15.75" customHeight="1">
      <c r="B1638" s="37"/>
      <c r="C1638" s="37"/>
      <c r="D1638" s="37"/>
    </row>
    <row r="1639" ht="15.75" customHeight="1">
      <c r="B1639" s="37"/>
      <c r="C1639" s="37"/>
      <c r="D1639" s="37"/>
    </row>
    <row r="1640" ht="15.75" customHeight="1">
      <c r="B1640" s="37"/>
      <c r="C1640" s="37"/>
      <c r="D1640" s="37"/>
    </row>
    <row r="1641" ht="15.75" customHeight="1">
      <c r="B1641" s="37"/>
      <c r="C1641" s="37"/>
      <c r="D1641" s="37"/>
    </row>
    <row r="1642" ht="15.75" customHeight="1">
      <c r="B1642" s="37"/>
      <c r="C1642" s="37"/>
      <c r="D1642" s="37"/>
    </row>
    <row r="1643" ht="15.75" customHeight="1">
      <c r="B1643" s="37"/>
      <c r="C1643" s="37"/>
      <c r="D1643" s="37"/>
    </row>
    <row r="1644" ht="15.75" customHeight="1">
      <c r="B1644" s="37"/>
      <c r="C1644" s="37"/>
      <c r="D1644" s="37"/>
    </row>
    <row r="1645" ht="15.75" customHeight="1">
      <c r="B1645" s="37"/>
      <c r="C1645" s="37"/>
      <c r="D1645" s="37"/>
    </row>
    <row r="1646" ht="15.75" customHeight="1">
      <c r="B1646" s="37"/>
      <c r="C1646" s="37"/>
      <c r="D1646" s="37"/>
    </row>
    <row r="1647" ht="15.75" customHeight="1">
      <c r="B1647" s="37"/>
      <c r="C1647" s="37"/>
      <c r="D1647" s="37"/>
    </row>
    <row r="1648" ht="15.75" customHeight="1">
      <c r="B1648" s="37"/>
      <c r="C1648" s="37"/>
      <c r="D1648" s="37"/>
    </row>
    <row r="1649" ht="15.75" customHeight="1">
      <c r="B1649" s="37"/>
      <c r="C1649" s="37"/>
      <c r="D1649" s="37"/>
    </row>
    <row r="1650" ht="15.75" customHeight="1">
      <c r="B1650" s="37"/>
      <c r="C1650" s="37"/>
      <c r="D1650" s="37"/>
    </row>
    <row r="1651" ht="15.75" customHeight="1">
      <c r="B1651" s="37"/>
      <c r="C1651" s="37"/>
      <c r="D1651" s="37"/>
    </row>
    <row r="1652" ht="15.75" customHeight="1">
      <c r="B1652" s="37"/>
      <c r="C1652" s="37"/>
      <c r="D1652" s="37"/>
    </row>
    <row r="1653" ht="15.75" customHeight="1">
      <c r="B1653" s="37"/>
      <c r="C1653" s="37"/>
      <c r="D1653" s="37"/>
    </row>
    <row r="1654" ht="15.75" customHeight="1">
      <c r="B1654" s="37"/>
      <c r="C1654" s="37"/>
      <c r="D1654" s="37"/>
    </row>
    <row r="1655" ht="15.75" customHeight="1">
      <c r="B1655" s="37"/>
      <c r="C1655" s="37"/>
      <c r="D1655" s="37"/>
    </row>
    <row r="1656" ht="15.75" customHeight="1">
      <c r="B1656" s="37"/>
      <c r="C1656" s="37"/>
      <c r="D1656" s="37"/>
    </row>
    <row r="1657" ht="15.75" customHeight="1">
      <c r="B1657" s="37"/>
      <c r="C1657" s="37"/>
      <c r="D1657" s="37"/>
    </row>
    <row r="1658" ht="15.75" customHeight="1">
      <c r="B1658" s="37"/>
      <c r="C1658" s="37"/>
      <c r="D1658" s="37"/>
    </row>
    <row r="1659" ht="15.75" customHeight="1">
      <c r="B1659" s="37"/>
      <c r="C1659" s="37"/>
      <c r="D1659" s="37"/>
    </row>
    <row r="1660" ht="15.75" customHeight="1">
      <c r="B1660" s="37"/>
      <c r="C1660" s="37"/>
      <c r="D1660" s="37"/>
    </row>
    <row r="1661" ht="15.75" customHeight="1">
      <c r="B1661" s="37"/>
      <c r="C1661" s="37"/>
      <c r="D1661" s="37"/>
    </row>
    <row r="1662" ht="15.75" customHeight="1">
      <c r="B1662" s="37"/>
      <c r="C1662" s="37"/>
      <c r="D1662" s="37"/>
    </row>
    <row r="1663" ht="15.75" customHeight="1">
      <c r="B1663" s="37"/>
      <c r="C1663" s="37"/>
      <c r="D1663" s="37"/>
    </row>
    <row r="1664" ht="15.75" customHeight="1">
      <c r="B1664" s="37"/>
      <c r="C1664" s="37"/>
      <c r="D1664" s="37"/>
    </row>
    <row r="1665" ht="15.75" customHeight="1">
      <c r="B1665" s="37"/>
      <c r="C1665" s="37"/>
      <c r="D1665" s="37"/>
    </row>
    <row r="1666" ht="15.75" customHeight="1">
      <c r="B1666" s="37"/>
      <c r="C1666" s="37"/>
      <c r="D1666" s="37"/>
    </row>
    <row r="1667" ht="15.75" customHeight="1">
      <c r="B1667" s="37"/>
      <c r="C1667" s="37"/>
      <c r="D1667" s="37"/>
    </row>
    <row r="1668" ht="15.75" customHeight="1">
      <c r="B1668" s="37"/>
      <c r="C1668" s="37"/>
      <c r="D1668" s="37"/>
    </row>
    <row r="1669" ht="15.75" customHeight="1">
      <c r="B1669" s="37"/>
      <c r="C1669" s="37"/>
      <c r="D1669" s="37"/>
    </row>
    <row r="1670" ht="15.75" customHeight="1">
      <c r="B1670" s="37"/>
      <c r="C1670" s="37"/>
      <c r="D1670" s="37"/>
    </row>
    <row r="1671" ht="15.75" customHeight="1">
      <c r="B1671" s="37"/>
      <c r="C1671" s="37"/>
      <c r="D1671" s="37"/>
    </row>
    <row r="1672" ht="15.75" customHeight="1">
      <c r="B1672" s="37"/>
      <c r="C1672" s="37"/>
      <c r="D1672" s="37"/>
    </row>
    <row r="1673" ht="15.75" customHeight="1">
      <c r="B1673" s="37"/>
      <c r="C1673" s="37"/>
      <c r="D1673" s="37"/>
    </row>
    <row r="1674" ht="15.75" customHeight="1">
      <c r="B1674" s="37"/>
      <c r="C1674" s="37"/>
      <c r="D1674" s="37"/>
    </row>
    <row r="1675" ht="15.75" customHeight="1">
      <c r="B1675" s="37"/>
      <c r="C1675" s="37"/>
      <c r="D1675" s="37"/>
    </row>
    <row r="1676" ht="15.75" customHeight="1">
      <c r="B1676" s="37"/>
      <c r="C1676" s="37"/>
      <c r="D1676" s="37"/>
    </row>
    <row r="1677" ht="15.75" customHeight="1">
      <c r="B1677" s="37"/>
      <c r="C1677" s="37"/>
      <c r="D1677" s="37"/>
    </row>
    <row r="1678" ht="15.75" customHeight="1">
      <c r="B1678" s="37"/>
      <c r="C1678" s="37"/>
      <c r="D1678" s="37"/>
    </row>
    <row r="1679" ht="15.75" customHeight="1">
      <c r="B1679" s="37"/>
      <c r="C1679" s="37"/>
      <c r="D1679" s="37"/>
    </row>
    <row r="1680" ht="15.75" customHeight="1">
      <c r="B1680" s="37"/>
      <c r="C1680" s="37"/>
      <c r="D1680" s="37"/>
    </row>
    <row r="1681" ht="15.75" customHeight="1">
      <c r="B1681" s="37"/>
      <c r="C1681" s="37"/>
      <c r="D1681" s="37"/>
    </row>
    <row r="1682" ht="15.75" customHeight="1">
      <c r="B1682" s="37"/>
      <c r="C1682" s="37"/>
      <c r="D1682" s="37"/>
    </row>
    <row r="1683" ht="15.75" customHeight="1">
      <c r="B1683" s="37"/>
      <c r="C1683" s="37"/>
      <c r="D1683" s="37"/>
    </row>
    <row r="1684" ht="15.75" customHeight="1">
      <c r="B1684" s="37"/>
      <c r="C1684" s="37"/>
      <c r="D1684" s="37"/>
    </row>
    <row r="1685" ht="15.75" customHeight="1">
      <c r="B1685" s="37"/>
      <c r="C1685" s="37"/>
      <c r="D1685" s="37"/>
    </row>
    <row r="1686" ht="15.75" customHeight="1">
      <c r="B1686" s="37"/>
      <c r="C1686" s="37"/>
      <c r="D1686" s="37"/>
    </row>
    <row r="1687" ht="15.75" customHeight="1">
      <c r="B1687" s="37"/>
      <c r="C1687" s="37"/>
      <c r="D1687" s="37"/>
    </row>
    <row r="1688" ht="15.75" customHeight="1">
      <c r="B1688" s="37"/>
      <c r="C1688" s="37"/>
      <c r="D1688" s="37"/>
    </row>
    <row r="1689" ht="15.75" customHeight="1">
      <c r="B1689" s="37"/>
      <c r="C1689" s="37"/>
      <c r="D1689" s="37"/>
    </row>
    <row r="1690" ht="15.75" customHeight="1">
      <c r="B1690" s="37"/>
      <c r="C1690" s="37"/>
      <c r="D1690" s="37"/>
    </row>
    <row r="1691" ht="15.75" customHeight="1">
      <c r="B1691" s="37"/>
      <c r="C1691" s="37"/>
      <c r="D1691" s="37"/>
    </row>
    <row r="1692" ht="15.75" customHeight="1">
      <c r="B1692" s="37"/>
      <c r="C1692" s="37"/>
      <c r="D1692" s="37"/>
    </row>
    <row r="1693" ht="15.75" customHeight="1">
      <c r="B1693" s="37"/>
      <c r="C1693" s="37"/>
      <c r="D1693" s="37"/>
    </row>
    <row r="1694" ht="15.75" customHeight="1">
      <c r="B1694" s="37"/>
      <c r="C1694" s="37"/>
      <c r="D1694" s="37"/>
    </row>
    <row r="1695" ht="15.75" customHeight="1">
      <c r="B1695" s="37"/>
      <c r="C1695" s="37"/>
      <c r="D1695" s="37"/>
    </row>
    <row r="1696" ht="15.75" customHeight="1">
      <c r="B1696" s="37"/>
      <c r="C1696" s="37"/>
      <c r="D1696" s="37"/>
    </row>
    <row r="1697" ht="15.75" customHeight="1">
      <c r="B1697" s="37"/>
      <c r="C1697" s="37"/>
      <c r="D1697" s="37"/>
    </row>
    <row r="1698" ht="15.75" customHeight="1">
      <c r="B1698" s="37"/>
      <c r="C1698" s="37"/>
      <c r="D1698" s="37"/>
    </row>
    <row r="1699" ht="15.75" customHeight="1">
      <c r="B1699" s="37"/>
      <c r="C1699" s="37"/>
      <c r="D1699" s="37"/>
    </row>
    <row r="1700" ht="15.75" customHeight="1">
      <c r="B1700" s="37"/>
      <c r="C1700" s="37"/>
      <c r="D1700" s="37"/>
    </row>
    <row r="1701" ht="15.75" customHeight="1">
      <c r="B1701" s="37"/>
      <c r="C1701" s="37"/>
      <c r="D1701" s="37"/>
    </row>
    <row r="1702" ht="15.75" customHeight="1">
      <c r="B1702" s="37"/>
      <c r="C1702" s="37"/>
      <c r="D1702" s="37"/>
    </row>
    <row r="1703" ht="15.75" customHeight="1">
      <c r="B1703" s="37"/>
      <c r="C1703" s="37"/>
      <c r="D1703" s="37"/>
    </row>
    <row r="1704" ht="15.75" customHeight="1">
      <c r="B1704" s="37"/>
      <c r="C1704" s="37"/>
      <c r="D1704" s="37"/>
    </row>
    <row r="1705" ht="15.75" customHeight="1">
      <c r="B1705" s="37"/>
      <c r="C1705" s="37"/>
      <c r="D1705" s="37"/>
    </row>
    <row r="1706" ht="15.75" customHeight="1">
      <c r="B1706" s="37"/>
      <c r="C1706" s="37"/>
      <c r="D1706" s="37"/>
    </row>
    <row r="1707" ht="15.75" customHeight="1">
      <c r="B1707" s="37"/>
      <c r="C1707" s="37"/>
      <c r="D1707" s="37"/>
    </row>
    <row r="1708" ht="15.75" customHeight="1">
      <c r="B1708" s="37"/>
      <c r="C1708" s="37"/>
      <c r="D1708" s="37"/>
    </row>
    <row r="1709" ht="15.75" customHeight="1">
      <c r="B1709" s="37"/>
      <c r="C1709" s="37"/>
      <c r="D1709" s="37"/>
    </row>
    <row r="1710" ht="15.75" customHeight="1">
      <c r="B1710" s="37"/>
      <c r="C1710" s="37"/>
      <c r="D1710" s="37"/>
    </row>
    <row r="1711" ht="15.75" customHeight="1">
      <c r="B1711" s="37"/>
      <c r="C1711" s="37"/>
      <c r="D1711" s="37"/>
    </row>
    <row r="1712" ht="15.75" customHeight="1">
      <c r="B1712" s="37"/>
      <c r="C1712" s="37"/>
      <c r="D1712" s="37"/>
    </row>
    <row r="1713" ht="15.75" customHeight="1">
      <c r="B1713" s="37"/>
      <c r="C1713" s="37"/>
      <c r="D1713" s="37"/>
    </row>
    <row r="1714" ht="15.75" customHeight="1">
      <c r="B1714" s="37"/>
      <c r="C1714" s="37"/>
      <c r="D1714" s="37"/>
    </row>
    <row r="1715" ht="15.75" customHeight="1">
      <c r="B1715" s="37"/>
      <c r="C1715" s="37"/>
      <c r="D1715" s="37"/>
    </row>
    <row r="1716" ht="15.75" customHeight="1">
      <c r="B1716" s="37"/>
      <c r="C1716" s="37"/>
      <c r="D1716" s="37"/>
    </row>
    <row r="1717" ht="15.75" customHeight="1">
      <c r="B1717" s="37"/>
      <c r="C1717" s="37"/>
      <c r="D1717" s="37"/>
    </row>
    <row r="1718" ht="15.75" customHeight="1">
      <c r="B1718" s="37"/>
      <c r="C1718" s="37"/>
      <c r="D1718" s="37"/>
    </row>
    <row r="1719" ht="15.75" customHeight="1">
      <c r="B1719" s="37"/>
      <c r="C1719" s="37"/>
      <c r="D1719" s="37"/>
    </row>
    <row r="1720" ht="15.75" customHeight="1">
      <c r="B1720" s="37"/>
      <c r="C1720" s="37"/>
      <c r="D1720" s="37"/>
    </row>
    <row r="1721" ht="15.75" customHeight="1">
      <c r="B1721" s="37"/>
      <c r="C1721" s="37"/>
      <c r="D1721" s="37"/>
    </row>
    <row r="1722" ht="15.75" customHeight="1">
      <c r="B1722" s="37"/>
      <c r="C1722" s="37"/>
      <c r="D1722" s="37"/>
    </row>
    <row r="1723" ht="15.75" customHeight="1">
      <c r="B1723" s="37"/>
      <c r="C1723" s="37"/>
      <c r="D1723" s="37"/>
    </row>
    <row r="1724" ht="15.75" customHeight="1">
      <c r="B1724" s="37"/>
      <c r="C1724" s="37"/>
      <c r="D1724" s="37"/>
    </row>
    <row r="1725" ht="15.75" customHeight="1">
      <c r="B1725" s="37"/>
      <c r="C1725" s="37"/>
      <c r="D1725" s="37"/>
    </row>
    <row r="1726" ht="15.75" customHeight="1">
      <c r="B1726" s="37"/>
      <c r="C1726" s="37"/>
      <c r="D1726" s="37"/>
    </row>
    <row r="1727" ht="15.75" customHeight="1">
      <c r="B1727" s="37"/>
      <c r="C1727" s="37"/>
      <c r="D1727" s="37"/>
    </row>
    <row r="1728" ht="15.75" customHeight="1">
      <c r="B1728" s="37"/>
      <c r="C1728" s="37"/>
      <c r="D1728" s="37"/>
    </row>
    <row r="1729" ht="15.75" customHeight="1">
      <c r="B1729" s="37"/>
      <c r="C1729" s="37"/>
      <c r="D1729" s="37"/>
    </row>
    <row r="1730" ht="15.75" customHeight="1">
      <c r="B1730" s="37"/>
      <c r="C1730" s="37"/>
      <c r="D1730" s="37"/>
    </row>
    <row r="1731" ht="15.75" customHeight="1">
      <c r="B1731" s="37"/>
      <c r="C1731" s="37"/>
      <c r="D1731" s="37"/>
    </row>
    <row r="1732" ht="15.75" customHeight="1">
      <c r="B1732" s="37"/>
      <c r="C1732" s="37"/>
      <c r="D1732" s="37"/>
    </row>
    <row r="1733" ht="15.75" customHeight="1">
      <c r="B1733" s="37"/>
      <c r="C1733" s="37"/>
      <c r="D1733" s="37"/>
    </row>
    <row r="1734" ht="15.75" customHeight="1">
      <c r="B1734" s="37"/>
      <c r="C1734" s="37"/>
      <c r="D1734" s="37"/>
    </row>
    <row r="1735" ht="15.75" customHeight="1">
      <c r="B1735" s="37"/>
      <c r="C1735" s="37"/>
      <c r="D1735" s="37"/>
    </row>
    <row r="1736" ht="15.75" customHeight="1">
      <c r="B1736" s="37"/>
      <c r="C1736" s="37"/>
      <c r="D1736" s="37"/>
    </row>
    <row r="1737" ht="15.75" customHeight="1">
      <c r="B1737" s="37"/>
      <c r="C1737" s="37"/>
      <c r="D1737" s="37"/>
    </row>
    <row r="1738" ht="15.75" customHeight="1">
      <c r="B1738" s="37"/>
      <c r="C1738" s="37"/>
      <c r="D1738" s="37"/>
    </row>
    <row r="1739" ht="15.75" customHeight="1">
      <c r="B1739" s="37"/>
      <c r="C1739" s="37"/>
      <c r="D1739" s="37"/>
    </row>
    <row r="1740" ht="15.75" customHeight="1">
      <c r="B1740" s="37"/>
      <c r="C1740" s="37"/>
      <c r="D1740" s="37"/>
    </row>
    <row r="1741" ht="15.75" customHeight="1">
      <c r="B1741" s="37"/>
      <c r="C1741" s="37"/>
      <c r="D1741" s="37"/>
    </row>
    <row r="1742" ht="15.75" customHeight="1">
      <c r="B1742" s="37"/>
      <c r="C1742" s="37"/>
      <c r="D1742" s="37"/>
    </row>
    <row r="1743" ht="15.75" customHeight="1">
      <c r="B1743" s="37"/>
      <c r="C1743" s="37"/>
      <c r="D1743" s="37"/>
    </row>
    <row r="1744" ht="15.75" customHeight="1">
      <c r="B1744" s="37"/>
      <c r="C1744" s="37"/>
      <c r="D1744" s="37"/>
    </row>
    <row r="1745" ht="15.75" customHeight="1">
      <c r="B1745" s="37"/>
      <c r="C1745" s="37"/>
      <c r="D1745" s="37"/>
    </row>
    <row r="1746" ht="15.75" customHeight="1">
      <c r="B1746" s="37"/>
      <c r="C1746" s="37"/>
      <c r="D1746" s="37"/>
    </row>
    <row r="1747" ht="15.75" customHeight="1">
      <c r="B1747" s="37"/>
      <c r="C1747" s="37"/>
      <c r="D1747" s="37"/>
    </row>
    <row r="1748" ht="15.75" customHeight="1">
      <c r="B1748" s="37"/>
      <c r="C1748" s="37"/>
      <c r="D1748" s="37"/>
    </row>
    <row r="1749" ht="15.75" customHeight="1">
      <c r="B1749" s="37"/>
      <c r="C1749" s="37"/>
      <c r="D1749" s="37"/>
    </row>
    <row r="1750" ht="15.75" customHeight="1">
      <c r="B1750" s="37"/>
      <c r="C1750" s="37"/>
      <c r="D1750" s="37"/>
    </row>
    <row r="1751" ht="15.75" customHeight="1">
      <c r="B1751" s="37"/>
      <c r="C1751" s="37"/>
      <c r="D1751" s="37"/>
    </row>
    <row r="1752" ht="15.75" customHeight="1">
      <c r="B1752" s="37"/>
      <c r="C1752" s="37"/>
      <c r="D1752" s="37"/>
    </row>
    <row r="1753" ht="15.75" customHeight="1">
      <c r="B1753" s="37"/>
      <c r="C1753" s="37"/>
      <c r="D1753" s="37"/>
    </row>
    <row r="1754" ht="15.75" customHeight="1">
      <c r="B1754" s="37"/>
      <c r="C1754" s="37"/>
      <c r="D1754" s="37"/>
    </row>
    <row r="1755" ht="15.75" customHeight="1">
      <c r="B1755" s="37"/>
      <c r="C1755" s="37"/>
      <c r="D1755" s="37"/>
    </row>
    <row r="1756" ht="15.75" customHeight="1">
      <c r="B1756" s="37"/>
      <c r="C1756" s="37"/>
      <c r="D1756" s="37"/>
    </row>
    <row r="1757" ht="15.75" customHeight="1">
      <c r="B1757" s="37"/>
      <c r="C1757" s="37"/>
      <c r="D1757" s="37"/>
    </row>
    <row r="1758" ht="15.75" customHeight="1">
      <c r="B1758" s="37"/>
      <c r="C1758" s="37"/>
      <c r="D1758" s="37"/>
    </row>
    <row r="1759" ht="15.75" customHeight="1">
      <c r="B1759" s="37"/>
      <c r="C1759" s="37"/>
      <c r="D1759" s="37"/>
    </row>
    <row r="1760" ht="15.75" customHeight="1">
      <c r="B1760" s="37"/>
      <c r="C1760" s="37"/>
      <c r="D1760" s="37"/>
    </row>
    <row r="1761" ht="15.75" customHeight="1">
      <c r="B1761" s="37"/>
      <c r="C1761" s="37"/>
      <c r="D1761" s="37"/>
    </row>
    <row r="1762" ht="15.75" customHeight="1">
      <c r="B1762" s="37"/>
      <c r="C1762" s="37"/>
      <c r="D1762" s="37"/>
    </row>
    <row r="1763" ht="15.75" customHeight="1">
      <c r="B1763" s="37"/>
      <c r="C1763" s="37"/>
      <c r="D1763" s="37"/>
    </row>
    <row r="1764" ht="15.75" customHeight="1">
      <c r="B1764" s="37"/>
      <c r="C1764" s="37"/>
      <c r="D1764" s="37"/>
    </row>
    <row r="1765" ht="15.75" customHeight="1">
      <c r="B1765" s="37"/>
      <c r="C1765" s="37"/>
      <c r="D1765" s="37"/>
    </row>
    <row r="1766" ht="15.75" customHeight="1">
      <c r="B1766" s="37"/>
      <c r="C1766" s="37"/>
      <c r="D1766" s="37"/>
    </row>
    <row r="1767" ht="15.75" customHeight="1">
      <c r="B1767" s="37"/>
      <c r="C1767" s="37"/>
      <c r="D1767" s="37"/>
    </row>
    <row r="1768" ht="15.75" customHeight="1">
      <c r="B1768" s="37"/>
      <c r="C1768" s="37"/>
      <c r="D1768" s="37"/>
    </row>
    <row r="1769" ht="15.75" customHeight="1">
      <c r="B1769" s="37"/>
      <c r="C1769" s="37"/>
      <c r="D1769" s="37"/>
    </row>
    <row r="1770" ht="15.75" customHeight="1">
      <c r="B1770" s="37"/>
      <c r="C1770" s="37"/>
      <c r="D1770" s="37"/>
    </row>
    <row r="1771" ht="15.75" customHeight="1">
      <c r="B1771" s="37"/>
      <c r="C1771" s="37"/>
      <c r="D1771" s="37"/>
    </row>
    <row r="1772" ht="15.75" customHeight="1">
      <c r="B1772" s="37"/>
      <c r="C1772" s="37"/>
      <c r="D1772" s="37"/>
    </row>
    <row r="1773" ht="15.75" customHeight="1">
      <c r="B1773" s="37"/>
      <c r="C1773" s="37"/>
      <c r="D1773" s="37"/>
    </row>
    <row r="1774" ht="15.75" customHeight="1">
      <c r="B1774" s="37"/>
      <c r="C1774" s="37"/>
      <c r="D1774" s="37"/>
    </row>
    <row r="1775" ht="15.75" customHeight="1">
      <c r="B1775" s="37"/>
      <c r="C1775" s="37"/>
      <c r="D1775" s="37"/>
    </row>
    <row r="1776" ht="15.75" customHeight="1">
      <c r="B1776" s="37"/>
      <c r="C1776" s="37"/>
      <c r="D1776" s="37"/>
    </row>
    <row r="1777" ht="15.75" customHeight="1">
      <c r="B1777" s="37"/>
      <c r="C1777" s="37"/>
      <c r="D1777" s="37"/>
    </row>
    <row r="1778" ht="15.75" customHeight="1">
      <c r="B1778" s="37"/>
      <c r="C1778" s="37"/>
      <c r="D1778" s="37"/>
    </row>
    <row r="1779" ht="15.75" customHeight="1">
      <c r="B1779" s="37"/>
      <c r="C1779" s="37"/>
      <c r="D1779" s="37"/>
    </row>
    <row r="1780" ht="15.75" customHeight="1">
      <c r="B1780" s="37"/>
      <c r="C1780" s="37"/>
      <c r="D1780" s="37"/>
    </row>
    <row r="1781" ht="15.75" customHeight="1">
      <c r="B1781" s="37"/>
      <c r="C1781" s="37"/>
      <c r="D1781" s="37"/>
    </row>
    <row r="1782" ht="15.75" customHeight="1">
      <c r="B1782" s="37"/>
      <c r="C1782" s="37"/>
      <c r="D1782" s="37"/>
    </row>
    <row r="1783" ht="15.75" customHeight="1">
      <c r="B1783" s="37"/>
      <c r="C1783" s="37"/>
      <c r="D1783" s="37"/>
    </row>
    <row r="1784" ht="15.75" customHeight="1">
      <c r="B1784" s="37"/>
      <c r="C1784" s="37"/>
      <c r="D1784" s="37"/>
    </row>
    <row r="1785" ht="15.75" customHeight="1">
      <c r="B1785" s="37"/>
      <c r="C1785" s="37"/>
      <c r="D1785" s="37"/>
    </row>
    <row r="1786" ht="15.75" customHeight="1">
      <c r="B1786" s="37"/>
      <c r="C1786" s="37"/>
      <c r="D1786" s="37"/>
    </row>
    <row r="1787" ht="15.75" customHeight="1">
      <c r="B1787" s="37"/>
      <c r="C1787" s="37"/>
      <c r="D1787" s="37"/>
    </row>
    <row r="1788" ht="15.75" customHeight="1">
      <c r="B1788" s="37"/>
      <c r="C1788" s="37"/>
      <c r="D1788" s="37"/>
    </row>
    <row r="1789" ht="15.75" customHeight="1">
      <c r="B1789" s="37"/>
      <c r="C1789" s="37"/>
      <c r="D1789" s="37"/>
    </row>
    <row r="1790" ht="15.75" customHeight="1">
      <c r="B1790" s="37"/>
      <c r="C1790" s="37"/>
      <c r="D1790" s="37"/>
    </row>
    <row r="1791" ht="15.75" customHeight="1">
      <c r="B1791" s="37"/>
      <c r="C1791" s="37"/>
      <c r="D1791" s="37"/>
    </row>
    <row r="1792" ht="15.75" customHeight="1">
      <c r="B1792" s="37"/>
      <c r="C1792" s="37"/>
      <c r="D1792" s="37"/>
    </row>
    <row r="1793" ht="15.75" customHeight="1">
      <c r="B1793" s="37"/>
      <c r="C1793" s="37"/>
      <c r="D1793" s="37"/>
    </row>
    <row r="1794" ht="15.75" customHeight="1">
      <c r="B1794" s="37"/>
      <c r="C1794" s="37"/>
      <c r="D1794" s="37"/>
    </row>
    <row r="1795" ht="15.75" customHeight="1">
      <c r="B1795" s="37"/>
      <c r="C1795" s="37"/>
      <c r="D1795" s="37"/>
    </row>
    <row r="1796" ht="15.75" customHeight="1">
      <c r="B1796" s="37"/>
      <c r="C1796" s="37"/>
      <c r="D1796" s="37"/>
    </row>
    <row r="1797" ht="15.75" customHeight="1">
      <c r="B1797" s="37"/>
      <c r="C1797" s="37"/>
      <c r="D1797" s="37"/>
    </row>
    <row r="1798" ht="15.75" customHeight="1">
      <c r="B1798" s="37"/>
      <c r="C1798" s="37"/>
      <c r="D1798" s="37"/>
    </row>
    <row r="1799" ht="15.75" customHeight="1">
      <c r="B1799" s="37"/>
      <c r="C1799" s="37"/>
      <c r="D1799" s="37"/>
    </row>
    <row r="1800" ht="15.75" customHeight="1">
      <c r="B1800" s="37"/>
      <c r="C1800" s="37"/>
      <c r="D1800" s="37"/>
    </row>
    <row r="1801" ht="15.75" customHeight="1">
      <c r="B1801" s="37"/>
      <c r="C1801" s="37"/>
      <c r="D1801" s="37"/>
    </row>
    <row r="1802" ht="15.75" customHeight="1">
      <c r="B1802" s="37"/>
      <c r="C1802" s="37"/>
      <c r="D1802" s="37"/>
    </row>
    <row r="1803" ht="15.75" customHeight="1">
      <c r="B1803" s="37"/>
      <c r="C1803" s="37"/>
      <c r="D1803" s="37"/>
    </row>
    <row r="1804" ht="15.75" customHeight="1">
      <c r="B1804" s="37"/>
      <c r="C1804" s="37"/>
      <c r="D1804" s="37"/>
    </row>
    <row r="1805" ht="15.75" customHeight="1">
      <c r="B1805" s="37"/>
      <c r="C1805" s="37"/>
      <c r="D1805" s="37"/>
    </row>
    <row r="1806" ht="15.75" customHeight="1">
      <c r="B1806" s="37"/>
      <c r="C1806" s="37"/>
      <c r="D1806" s="37"/>
    </row>
    <row r="1807" ht="15.75" customHeight="1">
      <c r="B1807" s="37"/>
      <c r="C1807" s="37"/>
      <c r="D1807" s="37"/>
    </row>
    <row r="1808" ht="15.75" customHeight="1">
      <c r="B1808" s="37"/>
      <c r="C1808" s="37"/>
      <c r="D1808" s="37"/>
    </row>
    <row r="1809" ht="15.75" customHeight="1">
      <c r="B1809" s="37"/>
      <c r="C1809" s="37"/>
      <c r="D1809" s="37"/>
    </row>
    <row r="1810" ht="15.75" customHeight="1">
      <c r="B1810" s="37"/>
      <c r="C1810" s="37"/>
      <c r="D1810" s="37"/>
    </row>
    <row r="1811" ht="15.75" customHeight="1">
      <c r="B1811" s="37"/>
      <c r="C1811" s="37"/>
      <c r="D1811" s="37"/>
    </row>
    <row r="1812" ht="15.75" customHeight="1">
      <c r="B1812" s="37"/>
      <c r="C1812" s="37"/>
      <c r="D1812" s="37"/>
    </row>
    <row r="1813" ht="15.75" customHeight="1">
      <c r="B1813" s="37"/>
      <c r="C1813" s="37"/>
      <c r="D1813" s="37"/>
    </row>
    <row r="1814" ht="15.75" customHeight="1">
      <c r="B1814" s="37"/>
      <c r="C1814" s="37"/>
      <c r="D1814" s="37"/>
    </row>
    <row r="1815" ht="15.75" customHeight="1">
      <c r="B1815" s="37"/>
      <c r="C1815" s="37"/>
      <c r="D1815" s="37"/>
    </row>
    <row r="1816" ht="15.75" customHeight="1">
      <c r="B1816" s="37"/>
      <c r="C1816" s="37"/>
      <c r="D1816" s="37"/>
    </row>
    <row r="1817" ht="15.75" customHeight="1">
      <c r="B1817" s="37"/>
      <c r="C1817" s="37"/>
      <c r="D1817" s="37"/>
    </row>
    <row r="1818" ht="15.75" customHeight="1">
      <c r="B1818" s="37"/>
      <c r="C1818" s="37"/>
      <c r="D1818" s="37"/>
    </row>
    <row r="1819" ht="15.75" customHeight="1">
      <c r="B1819" s="37"/>
      <c r="C1819" s="37"/>
      <c r="D1819" s="37"/>
    </row>
    <row r="1820" ht="15.75" customHeight="1">
      <c r="B1820" s="37"/>
      <c r="C1820" s="37"/>
      <c r="D1820" s="37"/>
    </row>
    <row r="1821" ht="15.75" customHeight="1">
      <c r="B1821" s="37"/>
      <c r="C1821" s="37"/>
      <c r="D1821" s="37"/>
    </row>
    <row r="1822" ht="15.75" customHeight="1">
      <c r="B1822" s="37"/>
      <c r="C1822" s="37"/>
      <c r="D1822" s="37"/>
    </row>
    <row r="1823" ht="15.75" customHeight="1">
      <c r="B1823" s="37"/>
      <c r="C1823" s="37"/>
      <c r="D1823" s="37"/>
    </row>
    <row r="1824" ht="15.75" customHeight="1">
      <c r="B1824" s="37"/>
      <c r="C1824" s="37"/>
      <c r="D1824" s="37"/>
    </row>
    <row r="1825" ht="15.75" customHeight="1">
      <c r="B1825" s="37"/>
      <c r="C1825" s="37"/>
      <c r="D1825" s="37"/>
    </row>
    <row r="1826" ht="15.75" customHeight="1">
      <c r="B1826" s="37"/>
      <c r="C1826" s="37"/>
      <c r="D1826" s="37"/>
    </row>
    <row r="1827" ht="15.75" customHeight="1">
      <c r="B1827" s="37"/>
      <c r="C1827" s="37"/>
      <c r="D1827" s="37"/>
    </row>
    <row r="1828" ht="15.75" customHeight="1">
      <c r="B1828" s="37"/>
      <c r="C1828" s="37"/>
      <c r="D1828" s="37"/>
    </row>
    <row r="1829" ht="15.75" customHeight="1">
      <c r="B1829" s="37"/>
      <c r="C1829" s="37"/>
      <c r="D1829" s="37"/>
    </row>
    <row r="1830" ht="15.75" customHeight="1">
      <c r="B1830" s="37"/>
      <c r="C1830" s="37"/>
      <c r="D1830" s="37"/>
    </row>
    <row r="1831" ht="15.75" customHeight="1">
      <c r="B1831" s="37"/>
      <c r="C1831" s="37"/>
      <c r="D1831" s="37"/>
    </row>
    <row r="1832" ht="15.75" customHeight="1">
      <c r="B1832" s="37"/>
      <c r="C1832" s="37"/>
      <c r="D1832" s="37"/>
    </row>
    <row r="1833" ht="15.75" customHeight="1">
      <c r="B1833" s="37"/>
      <c r="C1833" s="37"/>
      <c r="D1833" s="37"/>
    </row>
    <row r="1834" ht="15.75" customHeight="1">
      <c r="B1834" s="37"/>
      <c r="C1834" s="37"/>
      <c r="D1834" s="37"/>
    </row>
    <row r="1835" ht="15.75" customHeight="1">
      <c r="B1835" s="37"/>
      <c r="C1835" s="37"/>
      <c r="D1835" s="37"/>
    </row>
    <row r="1836" ht="15.75" customHeight="1">
      <c r="B1836" s="37"/>
      <c r="C1836" s="37"/>
      <c r="D1836" s="37"/>
    </row>
    <row r="1837" ht="15.75" customHeight="1">
      <c r="B1837" s="37"/>
      <c r="C1837" s="37"/>
      <c r="D1837" s="37"/>
    </row>
    <row r="1838" ht="15.75" customHeight="1">
      <c r="B1838" s="37"/>
      <c r="C1838" s="37"/>
      <c r="D1838" s="37"/>
    </row>
    <row r="1839" ht="15.75" customHeight="1">
      <c r="B1839" s="37"/>
      <c r="C1839" s="37"/>
      <c r="D1839" s="37"/>
    </row>
    <row r="1840" ht="15.75" customHeight="1">
      <c r="B1840" s="37"/>
      <c r="C1840" s="37"/>
      <c r="D1840" s="37"/>
    </row>
    <row r="1841" ht="15.75" customHeight="1">
      <c r="B1841" s="37"/>
      <c r="C1841" s="37"/>
      <c r="D1841" s="37"/>
    </row>
    <row r="1842" ht="15.75" customHeight="1">
      <c r="B1842" s="37"/>
      <c r="C1842" s="37"/>
      <c r="D1842" s="37"/>
    </row>
    <row r="1843" ht="15.75" customHeight="1">
      <c r="B1843" s="37"/>
      <c r="C1843" s="37"/>
      <c r="D1843" s="37"/>
    </row>
    <row r="1844" ht="15.75" customHeight="1">
      <c r="B1844" s="37"/>
      <c r="C1844" s="37"/>
      <c r="D1844" s="37"/>
    </row>
    <row r="1845" ht="15.75" customHeight="1">
      <c r="B1845" s="37"/>
      <c r="C1845" s="37"/>
      <c r="D1845" s="37"/>
    </row>
    <row r="1846" ht="15.75" customHeight="1">
      <c r="B1846" s="37"/>
      <c r="C1846" s="37"/>
      <c r="D1846" s="37"/>
    </row>
    <row r="1847" ht="15.75" customHeight="1">
      <c r="B1847" s="37"/>
      <c r="C1847" s="37"/>
      <c r="D1847" s="37"/>
    </row>
    <row r="1848" ht="15.75" customHeight="1">
      <c r="B1848" s="37"/>
      <c r="C1848" s="37"/>
      <c r="D1848" s="37"/>
    </row>
    <row r="1849" ht="15.75" customHeight="1">
      <c r="B1849" s="37"/>
      <c r="C1849" s="37"/>
      <c r="D1849" s="37"/>
    </row>
    <row r="1850" ht="15.75" customHeight="1">
      <c r="B1850" s="37"/>
      <c r="C1850" s="37"/>
      <c r="D1850" s="37"/>
    </row>
    <row r="1851" ht="15.75" customHeight="1">
      <c r="B1851" s="37"/>
      <c r="C1851" s="37"/>
      <c r="D1851" s="37"/>
    </row>
    <row r="1852" ht="15.75" customHeight="1">
      <c r="B1852" s="37"/>
      <c r="C1852" s="37"/>
      <c r="D1852" s="37"/>
    </row>
    <row r="1853" ht="15.75" customHeight="1">
      <c r="B1853" s="37"/>
      <c r="C1853" s="37"/>
      <c r="D1853" s="37"/>
    </row>
    <row r="1854" ht="15.75" customHeight="1">
      <c r="B1854" s="37"/>
      <c r="C1854" s="37"/>
      <c r="D1854" s="37"/>
    </row>
    <row r="1855" ht="15.75" customHeight="1">
      <c r="B1855" s="37"/>
      <c r="C1855" s="37"/>
      <c r="D1855" s="37"/>
    </row>
    <row r="1856" ht="15.75" customHeight="1">
      <c r="B1856" s="37"/>
      <c r="C1856" s="37"/>
      <c r="D1856" s="37"/>
    </row>
    <row r="1857" ht="15.75" customHeight="1">
      <c r="B1857" s="37"/>
      <c r="C1857" s="37"/>
      <c r="D1857" s="37"/>
    </row>
    <row r="1858" ht="15.75" customHeight="1">
      <c r="B1858" s="37"/>
      <c r="C1858" s="37"/>
      <c r="D1858" s="37"/>
    </row>
    <row r="1859" ht="15.75" customHeight="1">
      <c r="B1859" s="37"/>
      <c r="C1859" s="37"/>
      <c r="D1859" s="37"/>
    </row>
    <row r="1860" ht="15.75" customHeight="1">
      <c r="B1860" s="37"/>
      <c r="C1860" s="37"/>
      <c r="D1860" s="37"/>
    </row>
    <row r="1861" ht="15.75" customHeight="1">
      <c r="B1861" s="37"/>
      <c r="C1861" s="37"/>
      <c r="D1861" s="37"/>
    </row>
  </sheetData>
  <autoFilter ref="$A$1:$N$359">
    <sortState ref="A1:N359">
      <sortCondition ref="A1:A359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0.29"/>
  </cols>
  <sheetData>
    <row r="1">
      <c r="A1" s="70" t="s">
        <v>938</v>
      </c>
      <c r="B1" s="71" t="s">
        <v>939</v>
      </c>
      <c r="C1" s="72" t="s">
        <v>940</v>
      </c>
      <c r="D1" s="73" t="s">
        <v>941</v>
      </c>
      <c r="E1" s="73" t="s">
        <v>942</v>
      </c>
      <c r="F1" s="73" t="s">
        <v>943</v>
      </c>
      <c r="G1" s="73" t="s">
        <v>944</v>
      </c>
      <c r="H1" s="72" t="s">
        <v>945</v>
      </c>
      <c r="I1" s="72" t="s">
        <v>946</v>
      </c>
      <c r="J1" s="72" t="s">
        <v>947</v>
      </c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hidden="1">
      <c r="A2" s="75">
        <v>1.0</v>
      </c>
      <c r="B2" s="76" t="s">
        <v>621</v>
      </c>
      <c r="C2" s="76" t="s">
        <v>948</v>
      </c>
      <c r="D2" s="77">
        <v>45215.0</v>
      </c>
      <c r="E2" s="78">
        <v>0.0</v>
      </c>
      <c r="F2" s="79"/>
      <c r="G2" s="78">
        <v>2.0</v>
      </c>
      <c r="H2" s="80">
        <v>15000.0</v>
      </c>
      <c r="I2" s="45">
        <v>0.0</v>
      </c>
      <c r="J2" s="45">
        <f t="shared" ref="J2:J6" si="1">G2-I2</f>
        <v>2</v>
      </c>
      <c r="L2" s="81"/>
    </row>
    <row r="3" hidden="1">
      <c r="A3" s="75">
        <v>2.0</v>
      </c>
      <c r="B3" s="76" t="s">
        <v>61</v>
      </c>
      <c r="C3" s="76" t="s">
        <v>948</v>
      </c>
      <c r="D3" s="77">
        <v>45404.0</v>
      </c>
      <c r="E3" s="78">
        <v>0.0</v>
      </c>
      <c r="F3" s="79"/>
      <c r="G3" s="81">
        <v>9.0</v>
      </c>
      <c r="H3" s="80">
        <v>36000.0</v>
      </c>
      <c r="I3" s="45">
        <v>1.0</v>
      </c>
      <c r="J3" s="45">
        <f t="shared" si="1"/>
        <v>8</v>
      </c>
      <c r="L3" s="82"/>
    </row>
    <row r="4" hidden="1">
      <c r="A4" s="75">
        <v>3.0</v>
      </c>
      <c r="B4" s="76" t="s">
        <v>188</v>
      </c>
      <c r="C4" s="76" t="s">
        <v>948</v>
      </c>
      <c r="D4" s="83">
        <v>45428.0</v>
      </c>
      <c r="E4" s="78">
        <v>0.0</v>
      </c>
      <c r="F4" s="79"/>
      <c r="G4" s="78">
        <v>1.0</v>
      </c>
      <c r="H4" s="84"/>
      <c r="I4" s="45">
        <v>0.0</v>
      </c>
      <c r="J4" s="45">
        <f t="shared" si="1"/>
        <v>1</v>
      </c>
      <c r="L4" s="82"/>
    </row>
    <row r="5" hidden="1">
      <c r="A5" s="75">
        <v>4.0</v>
      </c>
      <c r="B5" s="76" t="s">
        <v>463</v>
      </c>
      <c r="C5" s="76" t="s">
        <v>948</v>
      </c>
      <c r="D5" s="83">
        <v>45429.0</v>
      </c>
      <c r="E5" s="78">
        <v>0.0</v>
      </c>
      <c r="F5" s="79"/>
      <c r="G5" s="78">
        <v>3.0</v>
      </c>
      <c r="H5" s="80">
        <v>25000.0</v>
      </c>
      <c r="I5" s="45">
        <v>0.0</v>
      </c>
      <c r="J5" s="45">
        <f t="shared" si="1"/>
        <v>3</v>
      </c>
      <c r="L5" s="82"/>
    </row>
    <row r="6" hidden="1">
      <c r="A6" s="75">
        <v>5.0</v>
      </c>
      <c r="B6" s="76" t="s">
        <v>559</v>
      </c>
      <c r="C6" s="76" t="s">
        <v>948</v>
      </c>
      <c r="D6" s="83">
        <v>45433.0</v>
      </c>
      <c r="E6" s="78">
        <v>0.0</v>
      </c>
      <c r="F6" s="79"/>
      <c r="G6" s="78">
        <v>1.0</v>
      </c>
      <c r="H6" s="80">
        <v>125000.0</v>
      </c>
      <c r="I6" s="45">
        <v>0.0</v>
      </c>
      <c r="J6" s="45">
        <f t="shared" si="1"/>
        <v>1</v>
      </c>
      <c r="L6" s="82"/>
    </row>
    <row r="7">
      <c r="A7" s="75">
        <v>6.0</v>
      </c>
      <c r="B7" s="85" t="s">
        <v>91</v>
      </c>
      <c r="C7" s="76" t="s">
        <v>949</v>
      </c>
      <c r="D7" s="77">
        <v>45446.0</v>
      </c>
      <c r="E7" s="78">
        <v>1.0</v>
      </c>
      <c r="F7" s="75">
        <v>9.5</v>
      </c>
      <c r="G7" s="78">
        <v>0.0</v>
      </c>
      <c r="H7" s="84"/>
      <c r="I7" s="45">
        <v>0.0</v>
      </c>
      <c r="J7" s="45">
        <v>1.0</v>
      </c>
      <c r="L7" s="82"/>
    </row>
    <row r="8" hidden="1">
      <c r="A8" s="75">
        <v>7.0</v>
      </c>
      <c r="B8" s="76" t="s">
        <v>349</v>
      </c>
      <c r="C8" s="76" t="s">
        <v>948</v>
      </c>
      <c r="D8" s="77">
        <v>45456.0</v>
      </c>
      <c r="E8" s="78">
        <v>0.0</v>
      </c>
      <c r="F8" s="79"/>
      <c r="G8" s="78">
        <v>3.0</v>
      </c>
      <c r="H8" s="80">
        <v>10000.0</v>
      </c>
      <c r="I8" s="45">
        <v>2.0</v>
      </c>
      <c r="J8" s="45">
        <f>G8-I8</f>
        <v>1</v>
      </c>
      <c r="L8" s="82"/>
    </row>
    <row r="9">
      <c r="A9" s="75">
        <v>8.0</v>
      </c>
      <c r="B9" s="76" t="s">
        <v>57</v>
      </c>
      <c r="C9" s="76" t="s">
        <v>949</v>
      </c>
      <c r="D9" s="77">
        <v>45516.0</v>
      </c>
      <c r="E9" s="78">
        <v>11.0</v>
      </c>
      <c r="F9" s="75">
        <v>6.0</v>
      </c>
      <c r="G9" s="78">
        <v>0.0</v>
      </c>
      <c r="H9" s="84"/>
      <c r="I9" s="45">
        <v>4.0</v>
      </c>
      <c r="J9" s="28">
        <f>E9-I9</f>
        <v>7</v>
      </c>
      <c r="L9" s="82"/>
    </row>
    <row r="10" hidden="1">
      <c r="A10" s="75">
        <v>9.0</v>
      </c>
      <c r="B10" s="85" t="s">
        <v>747</v>
      </c>
      <c r="C10" s="85" t="s">
        <v>948</v>
      </c>
      <c r="D10" s="86">
        <v>45139.0</v>
      </c>
      <c r="E10" s="78">
        <v>0.0</v>
      </c>
      <c r="F10" s="87"/>
      <c r="G10" s="88">
        <v>1.0</v>
      </c>
      <c r="H10" s="89">
        <v>10000.0</v>
      </c>
      <c r="I10" s="45">
        <v>0.0</v>
      </c>
      <c r="J10" s="45">
        <f>G10-I10</f>
        <v>1</v>
      </c>
      <c r="L10" s="90"/>
    </row>
    <row r="11">
      <c r="A11" s="75">
        <v>10.0</v>
      </c>
      <c r="B11" s="76" t="s">
        <v>87</v>
      </c>
      <c r="C11" s="76" t="s">
        <v>949</v>
      </c>
      <c r="D11" s="77">
        <v>45518.0</v>
      </c>
      <c r="E11" s="78">
        <v>4.0</v>
      </c>
      <c r="F11" s="75">
        <v>10.0</v>
      </c>
      <c r="G11" s="78">
        <v>0.0</v>
      </c>
      <c r="H11" s="84"/>
      <c r="I11" s="45">
        <v>3.0</v>
      </c>
      <c r="J11" s="28">
        <f>E11-I11</f>
        <v>1</v>
      </c>
      <c r="L11" s="82"/>
    </row>
    <row r="12" hidden="1">
      <c r="A12" s="75">
        <v>11.0</v>
      </c>
      <c r="B12" s="76" t="s">
        <v>950</v>
      </c>
      <c r="C12" s="76" t="s">
        <v>948</v>
      </c>
      <c r="D12" s="77">
        <v>45518.0</v>
      </c>
      <c r="E12" s="78">
        <v>0.0</v>
      </c>
      <c r="F12" s="79"/>
      <c r="G12" s="78">
        <v>2.0</v>
      </c>
      <c r="H12" s="84"/>
      <c r="I12" s="45">
        <v>0.0</v>
      </c>
      <c r="J12" s="45">
        <f t="shared" ref="J12:J13" si="2">G12-I12</f>
        <v>2</v>
      </c>
      <c r="L12" s="82"/>
    </row>
    <row r="13" hidden="1">
      <c r="A13" s="75">
        <v>12.0</v>
      </c>
      <c r="B13" s="91" t="s">
        <v>416</v>
      </c>
      <c r="C13" s="76" t="s">
        <v>948</v>
      </c>
      <c r="D13" s="77">
        <v>45523.0</v>
      </c>
      <c r="E13" s="78">
        <v>0.0</v>
      </c>
      <c r="F13" s="79"/>
      <c r="G13" s="78">
        <v>1.0</v>
      </c>
      <c r="H13" s="80">
        <v>15000.0</v>
      </c>
      <c r="I13" s="45">
        <v>0.0</v>
      </c>
      <c r="J13" s="45">
        <f t="shared" si="2"/>
        <v>1</v>
      </c>
      <c r="L13" s="82"/>
    </row>
    <row r="14">
      <c r="A14" s="75">
        <v>13.0</v>
      </c>
      <c r="B14" s="76" t="s">
        <v>69</v>
      </c>
      <c r="C14" s="76" t="s">
        <v>951</v>
      </c>
      <c r="D14" s="77">
        <v>45530.0</v>
      </c>
      <c r="E14" s="78">
        <v>1.0</v>
      </c>
      <c r="F14" s="75">
        <v>8.0</v>
      </c>
      <c r="G14" s="78">
        <v>1.0</v>
      </c>
      <c r="H14" s="80">
        <v>10000.0</v>
      </c>
      <c r="I14" s="45">
        <v>1.0</v>
      </c>
      <c r="J14" s="45">
        <f t="shared" ref="J14:J35" si="3">E14-I14</f>
        <v>0</v>
      </c>
      <c r="L14" s="82"/>
    </row>
    <row r="15">
      <c r="A15" s="75">
        <v>14.0</v>
      </c>
      <c r="B15" s="76" t="s">
        <v>75</v>
      </c>
      <c r="C15" s="92" t="s">
        <v>951</v>
      </c>
      <c r="D15" s="77">
        <v>45559.0</v>
      </c>
      <c r="E15" s="78">
        <v>4.0</v>
      </c>
      <c r="F15" s="75">
        <v>8.6</v>
      </c>
      <c r="G15" s="78">
        <v>4.0</v>
      </c>
      <c r="H15" s="80">
        <v>30000.0</v>
      </c>
      <c r="I15" s="45">
        <v>1.0</v>
      </c>
      <c r="J15" s="45">
        <f t="shared" si="3"/>
        <v>3</v>
      </c>
      <c r="L15" s="82"/>
    </row>
    <row r="16">
      <c r="A16" s="75">
        <v>15.0</v>
      </c>
      <c r="B16" s="76" t="s">
        <v>952</v>
      </c>
      <c r="C16" s="76" t="s">
        <v>949</v>
      </c>
      <c r="D16" s="77">
        <v>45565.0</v>
      </c>
      <c r="E16" s="78">
        <v>101.0</v>
      </c>
      <c r="F16" s="75">
        <v>4.5</v>
      </c>
      <c r="G16" s="78">
        <v>0.0</v>
      </c>
      <c r="H16" s="84"/>
      <c r="I16" s="45">
        <v>32.0</v>
      </c>
      <c r="J16" s="28">
        <f t="shared" si="3"/>
        <v>69</v>
      </c>
      <c r="L16" s="82"/>
    </row>
    <row r="17">
      <c r="A17" s="75">
        <v>16.0</v>
      </c>
      <c r="B17" s="76" t="s">
        <v>953</v>
      </c>
      <c r="C17" s="76" t="s">
        <v>949</v>
      </c>
      <c r="D17" s="77">
        <v>45565.0</v>
      </c>
      <c r="E17" s="78">
        <v>1.0</v>
      </c>
      <c r="F17" s="75">
        <v>6.5</v>
      </c>
      <c r="G17" s="78">
        <v>0.0</v>
      </c>
      <c r="H17" s="84"/>
      <c r="I17" s="45">
        <v>0.0</v>
      </c>
      <c r="J17" s="28">
        <f t="shared" si="3"/>
        <v>1</v>
      </c>
      <c r="L17" s="82"/>
    </row>
    <row r="18">
      <c r="A18" s="75">
        <v>17.0</v>
      </c>
      <c r="B18" s="76" t="s">
        <v>94</v>
      </c>
      <c r="C18" s="92" t="s">
        <v>951</v>
      </c>
      <c r="D18" s="77">
        <v>45566.0</v>
      </c>
      <c r="E18" s="78">
        <v>3.0</v>
      </c>
      <c r="F18" s="75">
        <v>7.0</v>
      </c>
      <c r="G18" s="78">
        <v>3.0</v>
      </c>
      <c r="H18" s="80">
        <v>30000.0</v>
      </c>
      <c r="I18" s="45">
        <v>1.0</v>
      </c>
      <c r="J18" s="45">
        <f t="shared" si="3"/>
        <v>2</v>
      </c>
      <c r="L18" s="82"/>
    </row>
    <row r="19">
      <c r="A19" s="75">
        <v>18.0</v>
      </c>
      <c r="B19" s="76" t="s">
        <v>99</v>
      </c>
      <c r="C19" s="92" t="s">
        <v>949</v>
      </c>
      <c r="D19" s="77">
        <v>45569.0</v>
      </c>
      <c r="E19" s="78">
        <v>1.0</v>
      </c>
      <c r="F19" s="75">
        <v>7.5</v>
      </c>
      <c r="G19" s="78">
        <v>0.0</v>
      </c>
      <c r="H19" s="84"/>
      <c r="I19" s="45">
        <v>0.0</v>
      </c>
      <c r="J19" s="28">
        <f t="shared" si="3"/>
        <v>1</v>
      </c>
      <c r="L19" s="82"/>
    </row>
    <row r="20">
      <c r="A20" s="75">
        <v>19.0</v>
      </c>
      <c r="B20" s="76" t="s">
        <v>48</v>
      </c>
      <c r="C20" s="92" t="s">
        <v>949</v>
      </c>
      <c r="D20" s="77">
        <v>45576.0</v>
      </c>
      <c r="E20" s="78">
        <v>51.0</v>
      </c>
      <c r="F20" s="75">
        <v>5.5</v>
      </c>
      <c r="G20" s="78">
        <v>0.0</v>
      </c>
      <c r="H20" s="84"/>
      <c r="I20" s="45">
        <v>6.0</v>
      </c>
      <c r="J20" s="28">
        <f t="shared" si="3"/>
        <v>45</v>
      </c>
      <c r="L20" s="82"/>
    </row>
    <row r="21">
      <c r="A21" s="75">
        <v>20.0</v>
      </c>
      <c r="B21" s="93" t="s">
        <v>136</v>
      </c>
      <c r="C21" s="93" t="s">
        <v>951</v>
      </c>
      <c r="D21" s="94">
        <v>45580.0</v>
      </c>
      <c r="E21" s="78">
        <v>19.0</v>
      </c>
      <c r="F21" s="75">
        <v>11.0</v>
      </c>
      <c r="G21" s="78"/>
      <c r="H21" s="84"/>
      <c r="I21" s="45">
        <v>2.0</v>
      </c>
      <c r="J21" s="45">
        <f t="shared" si="3"/>
        <v>17</v>
      </c>
      <c r="L21" s="82"/>
      <c r="M21" s="95">
        <v>19.0</v>
      </c>
    </row>
    <row r="22">
      <c r="A22" s="75">
        <v>21.0</v>
      </c>
      <c r="B22" s="76" t="s">
        <v>106</v>
      </c>
      <c r="C22" s="92" t="s">
        <v>949</v>
      </c>
      <c r="D22" s="77">
        <v>45582.0</v>
      </c>
      <c r="E22" s="78">
        <v>2.0</v>
      </c>
      <c r="F22" s="75">
        <v>9.5</v>
      </c>
      <c r="G22" s="78">
        <v>0.0</v>
      </c>
      <c r="H22" s="84"/>
      <c r="I22" s="45">
        <v>0.0</v>
      </c>
      <c r="J22" s="28">
        <f t="shared" si="3"/>
        <v>2</v>
      </c>
      <c r="L22" s="82"/>
    </row>
    <row r="23">
      <c r="A23" s="75">
        <v>22.0</v>
      </c>
      <c r="B23" s="76" t="s">
        <v>111</v>
      </c>
      <c r="C23" s="92" t="s">
        <v>951</v>
      </c>
      <c r="D23" s="77">
        <v>45582.0</v>
      </c>
      <c r="E23" s="78">
        <v>2.0</v>
      </c>
      <c r="F23" s="75">
        <v>17.0</v>
      </c>
      <c r="G23" s="78">
        <v>2.0</v>
      </c>
      <c r="H23" s="80">
        <v>80000.0</v>
      </c>
      <c r="I23" s="45">
        <v>0.0</v>
      </c>
      <c r="J23" s="45">
        <f t="shared" si="3"/>
        <v>2</v>
      </c>
      <c r="L23" s="82"/>
    </row>
    <row r="24">
      <c r="A24" s="75">
        <v>23.0</v>
      </c>
      <c r="B24" s="76" t="s">
        <v>115</v>
      </c>
      <c r="C24" s="92" t="s">
        <v>951</v>
      </c>
      <c r="D24" s="77">
        <v>45582.0</v>
      </c>
      <c r="E24" s="78">
        <v>1.0</v>
      </c>
      <c r="F24" s="75">
        <v>13.0</v>
      </c>
      <c r="G24" s="78">
        <v>1.0</v>
      </c>
      <c r="H24" s="80">
        <v>50000.0</v>
      </c>
      <c r="I24" s="45">
        <v>0.0</v>
      </c>
      <c r="J24" s="45">
        <f t="shared" si="3"/>
        <v>1</v>
      </c>
      <c r="L24" s="82"/>
    </row>
    <row r="25">
      <c r="A25" s="75">
        <v>24.0</v>
      </c>
      <c r="B25" s="76" t="s">
        <v>103</v>
      </c>
      <c r="C25" s="92" t="s">
        <v>949</v>
      </c>
      <c r="D25" s="77">
        <v>45587.0</v>
      </c>
      <c r="E25" s="78">
        <v>4.0</v>
      </c>
      <c r="F25" s="75">
        <v>6.45</v>
      </c>
      <c r="G25" s="78">
        <v>0.0</v>
      </c>
      <c r="H25" s="84"/>
      <c r="I25" s="45">
        <v>0.0</v>
      </c>
      <c r="J25" s="28">
        <f t="shared" si="3"/>
        <v>4</v>
      </c>
      <c r="L25" s="82"/>
    </row>
    <row r="26">
      <c r="A26" s="75">
        <v>25.0</v>
      </c>
      <c r="B26" s="76" t="s">
        <v>79</v>
      </c>
      <c r="C26" s="92" t="s">
        <v>949</v>
      </c>
      <c r="D26" s="77">
        <v>45588.0</v>
      </c>
      <c r="E26" s="78">
        <v>19.0</v>
      </c>
      <c r="F26" s="75">
        <v>18.56</v>
      </c>
      <c r="G26" s="78"/>
      <c r="H26" s="84"/>
      <c r="I26" s="45">
        <v>2.0</v>
      </c>
      <c r="J26" s="28">
        <f t="shared" si="3"/>
        <v>17</v>
      </c>
      <c r="L26" s="82"/>
    </row>
    <row r="27">
      <c r="A27" s="75">
        <v>26.0</v>
      </c>
      <c r="B27" s="76" t="s">
        <v>228</v>
      </c>
      <c r="C27" s="92" t="s">
        <v>949</v>
      </c>
      <c r="D27" s="77">
        <v>45599.0</v>
      </c>
      <c r="E27" s="78">
        <v>13.0</v>
      </c>
      <c r="F27" s="75">
        <v>4.25</v>
      </c>
      <c r="G27" s="78"/>
      <c r="H27" s="84"/>
      <c r="I27" s="45">
        <v>0.0</v>
      </c>
      <c r="J27" s="28">
        <f t="shared" si="3"/>
        <v>13</v>
      </c>
      <c r="L27" s="82"/>
    </row>
    <row r="28">
      <c r="A28" s="75">
        <v>27.0</v>
      </c>
      <c r="B28" s="76" t="s">
        <v>954</v>
      </c>
      <c r="C28" s="92" t="s">
        <v>951</v>
      </c>
      <c r="D28" s="77">
        <v>45610.0</v>
      </c>
      <c r="E28" s="78">
        <v>1.0</v>
      </c>
      <c r="F28" s="75">
        <v>8.0</v>
      </c>
      <c r="G28" s="78">
        <v>1.0</v>
      </c>
      <c r="H28" s="80">
        <v>25000.0</v>
      </c>
      <c r="I28" s="45">
        <v>0.0</v>
      </c>
      <c r="J28" s="45">
        <f t="shared" si="3"/>
        <v>1</v>
      </c>
      <c r="L28" s="82"/>
    </row>
    <row r="29">
      <c r="A29" s="75">
        <v>28.0</v>
      </c>
      <c r="B29" s="76" t="s">
        <v>119</v>
      </c>
      <c r="C29" s="92" t="s">
        <v>951</v>
      </c>
      <c r="D29" s="77">
        <v>45614.0</v>
      </c>
      <c r="E29" s="78">
        <v>1.0</v>
      </c>
      <c r="F29" s="75">
        <v>10.0</v>
      </c>
      <c r="G29" s="78">
        <v>1.0</v>
      </c>
      <c r="H29" s="80">
        <v>30000.0</v>
      </c>
      <c r="I29" s="45">
        <v>0.0</v>
      </c>
      <c r="J29" s="45">
        <f t="shared" si="3"/>
        <v>1</v>
      </c>
      <c r="L29" s="82"/>
    </row>
    <row r="30">
      <c r="A30" s="75">
        <v>29.0</v>
      </c>
      <c r="B30" s="76" t="s">
        <v>66</v>
      </c>
      <c r="C30" s="92" t="s">
        <v>949</v>
      </c>
      <c r="D30" s="77">
        <v>45614.0</v>
      </c>
      <c r="E30" s="78">
        <v>8.0</v>
      </c>
      <c r="F30" s="75">
        <v>4.4</v>
      </c>
      <c r="G30" s="78">
        <v>0.0</v>
      </c>
      <c r="H30" s="84"/>
      <c r="I30" s="45">
        <v>1.0</v>
      </c>
      <c r="J30" s="28">
        <f t="shared" si="3"/>
        <v>7</v>
      </c>
      <c r="L30" s="82"/>
    </row>
    <row r="31">
      <c r="A31" s="75">
        <v>30.0</v>
      </c>
      <c r="B31" s="76" t="s">
        <v>80</v>
      </c>
      <c r="C31" s="92" t="s">
        <v>949</v>
      </c>
      <c r="D31" s="77">
        <v>45612.0</v>
      </c>
      <c r="E31" s="78">
        <v>4.0</v>
      </c>
      <c r="F31" s="75">
        <v>4.0</v>
      </c>
      <c r="G31" s="78">
        <v>0.0</v>
      </c>
      <c r="H31" s="84"/>
      <c r="I31" s="45">
        <v>0.0</v>
      </c>
      <c r="J31" s="28">
        <f t="shared" si="3"/>
        <v>4</v>
      </c>
      <c r="L31" s="82"/>
    </row>
    <row r="32">
      <c r="A32" s="75">
        <v>31.0</v>
      </c>
      <c r="B32" s="76" t="s">
        <v>210</v>
      </c>
      <c r="C32" s="92" t="s">
        <v>949</v>
      </c>
      <c r="D32" s="77">
        <v>45618.0</v>
      </c>
      <c r="E32" s="78">
        <v>53.0</v>
      </c>
      <c r="F32" s="75">
        <v>4.05</v>
      </c>
      <c r="G32" s="78">
        <v>0.0</v>
      </c>
      <c r="H32" s="84"/>
      <c r="I32" s="45">
        <v>7.0</v>
      </c>
      <c r="J32" s="28">
        <f t="shared" si="3"/>
        <v>46</v>
      </c>
      <c r="L32" s="82"/>
    </row>
    <row r="33">
      <c r="A33" s="75">
        <v>32.0</v>
      </c>
      <c r="B33" s="76" t="s">
        <v>237</v>
      </c>
      <c r="C33" s="92" t="s">
        <v>949</v>
      </c>
      <c r="D33" s="77">
        <v>45618.0</v>
      </c>
      <c r="E33" s="78">
        <v>28.0</v>
      </c>
      <c r="F33" s="75">
        <v>3.6</v>
      </c>
      <c r="G33" s="78">
        <v>0.0</v>
      </c>
      <c r="H33" s="84"/>
      <c r="I33" s="45">
        <v>16.0</v>
      </c>
      <c r="J33" s="28">
        <f t="shared" si="3"/>
        <v>12</v>
      </c>
      <c r="L33" s="81"/>
    </row>
    <row r="34">
      <c r="A34" s="75">
        <v>33.0</v>
      </c>
      <c r="B34" s="76" t="s">
        <v>701</v>
      </c>
      <c r="C34" s="92" t="s">
        <v>949</v>
      </c>
      <c r="D34" s="77">
        <v>45622.0</v>
      </c>
      <c r="E34" s="78">
        <v>1.0</v>
      </c>
      <c r="F34" s="75">
        <v>8.8</v>
      </c>
      <c r="G34" s="78">
        <v>0.0</v>
      </c>
      <c r="H34" s="84"/>
      <c r="I34" s="45">
        <v>0.0</v>
      </c>
      <c r="J34" s="28">
        <f t="shared" si="3"/>
        <v>1</v>
      </c>
      <c r="L34" s="82"/>
    </row>
    <row r="35">
      <c r="A35" s="75">
        <v>34.0</v>
      </c>
      <c r="B35" s="76" t="s">
        <v>255</v>
      </c>
      <c r="C35" s="92" t="s">
        <v>949</v>
      </c>
      <c r="D35" s="77">
        <v>45628.0</v>
      </c>
      <c r="E35" s="78">
        <v>34.0</v>
      </c>
      <c r="F35" s="75">
        <v>4.0</v>
      </c>
      <c r="G35" s="78">
        <v>0.0</v>
      </c>
      <c r="H35" s="84"/>
      <c r="I35" s="45">
        <v>4.0</v>
      </c>
      <c r="J35" s="28">
        <f t="shared" si="3"/>
        <v>30</v>
      </c>
      <c r="L35" s="82"/>
    </row>
    <row r="36" hidden="1">
      <c r="A36" s="75">
        <v>35.0</v>
      </c>
      <c r="B36" s="76" t="s">
        <v>955</v>
      </c>
      <c r="C36" s="92" t="s">
        <v>948</v>
      </c>
      <c r="D36" s="77">
        <v>45628.0</v>
      </c>
      <c r="E36" s="78">
        <v>0.0</v>
      </c>
      <c r="F36" s="79"/>
      <c r="G36" s="78">
        <v>1.0</v>
      </c>
      <c r="H36" s="80">
        <v>110000.0</v>
      </c>
      <c r="I36" s="45">
        <v>0.0</v>
      </c>
      <c r="J36" s="45">
        <f>G36-I36</f>
        <v>1</v>
      </c>
      <c r="L36" s="82"/>
    </row>
    <row r="37">
      <c r="A37" s="75">
        <v>36.0</v>
      </c>
      <c r="B37" s="76" t="s">
        <v>956</v>
      </c>
      <c r="C37" s="92" t="s">
        <v>949</v>
      </c>
      <c r="D37" s="77">
        <v>45632.0</v>
      </c>
      <c r="E37" s="78">
        <v>1.0</v>
      </c>
      <c r="F37" s="75">
        <v>9.5</v>
      </c>
      <c r="G37" s="78">
        <v>0.0</v>
      </c>
      <c r="H37" s="84"/>
      <c r="I37" s="45">
        <v>0.0</v>
      </c>
      <c r="J37" s="28">
        <f t="shared" ref="J37:J46" si="4">E37-I37</f>
        <v>1</v>
      </c>
      <c r="L37" s="82"/>
    </row>
    <row r="38">
      <c r="A38" s="75">
        <v>37.0</v>
      </c>
      <c r="B38" s="76" t="s">
        <v>873</v>
      </c>
      <c r="C38" s="92" t="s">
        <v>951</v>
      </c>
      <c r="D38" s="77">
        <v>45640.0</v>
      </c>
      <c r="E38" s="78">
        <v>1.0</v>
      </c>
      <c r="F38" s="75">
        <v>5.0</v>
      </c>
      <c r="G38" s="78">
        <v>1.0</v>
      </c>
      <c r="H38" s="80">
        <v>25000.0</v>
      </c>
      <c r="I38" s="45">
        <v>1.0</v>
      </c>
      <c r="J38" s="45">
        <f t="shared" si="4"/>
        <v>0</v>
      </c>
      <c r="L38" s="82"/>
    </row>
    <row r="39">
      <c r="A39" s="75">
        <v>38.0</v>
      </c>
      <c r="B39" s="76" t="s">
        <v>440</v>
      </c>
      <c r="C39" s="92" t="s">
        <v>951</v>
      </c>
      <c r="D39" s="77">
        <v>45640.0</v>
      </c>
      <c r="E39" s="78">
        <v>12.0</v>
      </c>
      <c r="F39" s="75">
        <v>3.5</v>
      </c>
      <c r="G39" s="78">
        <v>12.0</v>
      </c>
      <c r="H39" s="80">
        <v>15000.0</v>
      </c>
      <c r="I39" s="45">
        <v>7.0</v>
      </c>
      <c r="J39" s="45">
        <f t="shared" si="4"/>
        <v>5</v>
      </c>
      <c r="L39" s="82"/>
    </row>
    <row r="40">
      <c r="A40" s="75">
        <v>39.0</v>
      </c>
      <c r="B40" s="76" t="s">
        <v>194</v>
      </c>
      <c r="C40" s="92" t="s">
        <v>949</v>
      </c>
      <c r="D40" s="77">
        <v>45646.0</v>
      </c>
      <c r="E40" s="78">
        <v>1.0</v>
      </c>
      <c r="F40" s="75">
        <v>4.0</v>
      </c>
      <c r="G40" s="78">
        <v>0.0</v>
      </c>
      <c r="H40" s="84"/>
      <c r="I40" s="45">
        <v>0.0</v>
      </c>
      <c r="J40" s="28">
        <f t="shared" si="4"/>
        <v>1</v>
      </c>
      <c r="L40" s="82"/>
    </row>
    <row r="41">
      <c r="A41" s="75">
        <v>40.0</v>
      </c>
      <c r="B41" s="76" t="s">
        <v>271</v>
      </c>
      <c r="C41" s="92" t="s">
        <v>949</v>
      </c>
      <c r="D41" s="77">
        <v>45646.0</v>
      </c>
      <c r="E41" s="78">
        <v>15.0</v>
      </c>
      <c r="F41" s="75">
        <v>4.0</v>
      </c>
      <c r="G41" s="78">
        <v>0.0</v>
      </c>
      <c r="H41" s="84"/>
      <c r="I41" s="45">
        <v>9.0</v>
      </c>
      <c r="J41" s="28">
        <f t="shared" si="4"/>
        <v>6</v>
      </c>
      <c r="L41" s="82"/>
    </row>
    <row r="42">
      <c r="A42" s="75">
        <v>41.0</v>
      </c>
      <c r="B42" s="76" t="s">
        <v>644</v>
      </c>
      <c r="C42" s="92" t="s">
        <v>951</v>
      </c>
      <c r="D42" s="77">
        <v>45649.0</v>
      </c>
      <c r="E42" s="78">
        <v>4.0</v>
      </c>
      <c r="F42" s="75">
        <v>3.5</v>
      </c>
      <c r="G42" s="78">
        <v>4.0</v>
      </c>
      <c r="H42" s="80">
        <v>15000.0</v>
      </c>
      <c r="I42" s="45">
        <v>1.0</v>
      </c>
      <c r="J42" s="45">
        <f t="shared" si="4"/>
        <v>3</v>
      </c>
      <c r="L42" s="82"/>
    </row>
    <row r="43">
      <c r="A43" s="75">
        <v>42.0</v>
      </c>
      <c r="B43" s="76" t="s">
        <v>957</v>
      </c>
      <c r="C43" s="92" t="s">
        <v>951</v>
      </c>
      <c r="D43" s="77">
        <v>45649.0</v>
      </c>
      <c r="E43" s="78">
        <v>5.0</v>
      </c>
      <c r="F43" s="75">
        <v>10.0</v>
      </c>
      <c r="G43" s="78">
        <v>5.0</v>
      </c>
      <c r="H43" s="80">
        <v>15000.0</v>
      </c>
      <c r="I43" s="45">
        <v>0.0</v>
      </c>
      <c r="J43" s="45">
        <f t="shared" si="4"/>
        <v>5</v>
      </c>
      <c r="L43" s="82"/>
    </row>
    <row r="44">
      <c r="A44" s="75">
        <v>43.0</v>
      </c>
      <c r="B44" s="76" t="s">
        <v>958</v>
      </c>
      <c r="C44" s="92" t="s">
        <v>951</v>
      </c>
      <c r="D44" s="77">
        <v>45649.0</v>
      </c>
      <c r="E44" s="78">
        <v>1.0</v>
      </c>
      <c r="F44" s="75">
        <v>32.0</v>
      </c>
      <c r="G44" s="78">
        <v>1.0</v>
      </c>
      <c r="H44" s="80">
        <v>100000.0</v>
      </c>
      <c r="J44" s="45">
        <f t="shared" si="4"/>
        <v>1</v>
      </c>
      <c r="L44" s="82"/>
    </row>
    <row r="45">
      <c r="A45" s="75">
        <v>44.0</v>
      </c>
      <c r="B45" s="76" t="s">
        <v>715</v>
      </c>
      <c r="C45" s="92" t="s">
        <v>949</v>
      </c>
      <c r="D45" s="77">
        <v>45661.0</v>
      </c>
      <c r="E45" s="78">
        <v>3.0</v>
      </c>
      <c r="F45" s="75">
        <v>6.75</v>
      </c>
      <c r="G45" s="78">
        <v>0.0</v>
      </c>
      <c r="H45" s="84"/>
      <c r="I45" s="45">
        <v>1.0</v>
      </c>
      <c r="J45" s="28">
        <f t="shared" si="4"/>
        <v>2</v>
      </c>
      <c r="L45" s="82"/>
    </row>
    <row r="46">
      <c r="A46" s="75">
        <v>45.0</v>
      </c>
      <c r="B46" s="96" t="s">
        <v>959</v>
      </c>
      <c r="C46" s="96" t="s">
        <v>949</v>
      </c>
      <c r="D46" s="97">
        <v>45661.0</v>
      </c>
      <c r="E46" s="78">
        <v>18.0</v>
      </c>
      <c r="F46" s="26">
        <v>3.6</v>
      </c>
      <c r="G46" s="78">
        <v>0.0</v>
      </c>
      <c r="H46" s="27"/>
      <c r="I46" s="45">
        <v>1.0</v>
      </c>
      <c r="J46" s="28">
        <f t="shared" si="4"/>
        <v>17</v>
      </c>
      <c r="L46" s="82"/>
    </row>
    <row r="47">
      <c r="A47" s="75">
        <v>46.0</v>
      </c>
      <c r="B47" s="45" t="s">
        <v>515</v>
      </c>
      <c r="C47" s="45" t="s">
        <v>951</v>
      </c>
      <c r="D47" s="98">
        <v>45687.0</v>
      </c>
      <c r="E47" s="78">
        <v>4.0</v>
      </c>
      <c r="F47" s="45">
        <v>2.5</v>
      </c>
      <c r="G47" s="78">
        <v>4.0</v>
      </c>
    </row>
    <row r="48" hidden="1">
      <c r="A48" s="75">
        <v>47.0</v>
      </c>
      <c r="B48" s="45" t="s">
        <v>306</v>
      </c>
      <c r="C48" s="45" t="s">
        <v>948</v>
      </c>
      <c r="D48" s="98">
        <v>45695.0</v>
      </c>
      <c r="E48" s="78"/>
      <c r="G48" s="78">
        <v>3.0</v>
      </c>
    </row>
    <row r="49">
      <c r="A49" s="75">
        <v>48.0</v>
      </c>
      <c r="B49" s="45" t="s">
        <v>90</v>
      </c>
      <c r="C49" s="45" t="s">
        <v>951</v>
      </c>
      <c r="D49" s="98">
        <v>45716.0</v>
      </c>
      <c r="E49" s="78">
        <v>12.0</v>
      </c>
      <c r="F49" s="45">
        <v>5.0</v>
      </c>
      <c r="G49" s="78">
        <v>12.0</v>
      </c>
      <c r="H49" s="45">
        <v>18000.0</v>
      </c>
    </row>
    <row r="50">
      <c r="D50" s="99"/>
      <c r="E50" s="100"/>
    </row>
    <row r="51">
      <c r="D51" s="99" t="s">
        <v>960</v>
      </c>
      <c r="E51" s="100">
        <f>SUM(E2:E49)</f>
        <v>445</v>
      </c>
    </row>
    <row r="52">
      <c r="E52" s="101"/>
    </row>
    <row r="53">
      <c r="E53" s="101"/>
    </row>
    <row r="54">
      <c r="E54" s="101"/>
    </row>
    <row r="55">
      <c r="E55" s="101"/>
    </row>
    <row r="56">
      <c r="E56" s="101"/>
    </row>
    <row r="57">
      <c r="E57" s="101"/>
    </row>
    <row r="58">
      <c r="E58" s="101"/>
    </row>
    <row r="59">
      <c r="E59" s="101"/>
    </row>
    <row r="60">
      <c r="E60" s="101"/>
    </row>
    <row r="61">
      <c r="E61" s="101"/>
    </row>
    <row r="62">
      <c r="E62" s="101"/>
    </row>
    <row r="63">
      <c r="E63" s="101"/>
    </row>
    <row r="64">
      <c r="E64" s="101"/>
    </row>
    <row r="65">
      <c r="E65" s="101"/>
    </row>
    <row r="66">
      <c r="E66" s="101"/>
    </row>
    <row r="67">
      <c r="E67" s="101"/>
    </row>
    <row r="68">
      <c r="E68" s="101"/>
    </row>
    <row r="69">
      <c r="E69" s="101"/>
    </row>
    <row r="70">
      <c r="E70" s="101"/>
    </row>
    <row r="71">
      <c r="E71" s="101"/>
    </row>
    <row r="72">
      <c r="E72" s="101"/>
    </row>
    <row r="73">
      <c r="E73" s="101"/>
    </row>
    <row r="74">
      <c r="E74" s="101"/>
    </row>
    <row r="75">
      <c r="E75" s="101"/>
    </row>
    <row r="76">
      <c r="E76" s="101"/>
    </row>
    <row r="77">
      <c r="E77" s="101"/>
    </row>
    <row r="78">
      <c r="E78" s="101"/>
    </row>
    <row r="79">
      <c r="E79" s="101"/>
    </row>
    <row r="80">
      <c r="E80" s="101"/>
    </row>
    <row r="81">
      <c r="E81" s="101"/>
    </row>
    <row r="82">
      <c r="E82" s="101"/>
    </row>
    <row r="83">
      <c r="E83" s="101"/>
    </row>
    <row r="84">
      <c r="E84" s="101"/>
    </row>
    <row r="85">
      <c r="E85" s="101"/>
    </row>
    <row r="86">
      <c r="E86" s="101"/>
    </row>
    <row r="87">
      <c r="E87" s="101"/>
    </row>
    <row r="88">
      <c r="E88" s="101"/>
    </row>
    <row r="89">
      <c r="E89" s="101"/>
    </row>
    <row r="90">
      <c r="E90" s="101"/>
    </row>
    <row r="91">
      <c r="E91" s="101"/>
    </row>
    <row r="92">
      <c r="E92" s="101"/>
    </row>
    <row r="93">
      <c r="E93" s="101"/>
    </row>
    <row r="94">
      <c r="E94" s="101"/>
    </row>
    <row r="95">
      <c r="E95" s="101"/>
    </row>
    <row r="96">
      <c r="E96" s="101"/>
    </row>
    <row r="97">
      <c r="E97" s="101"/>
    </row>
    <row r="98">
      <c r="E98" s="101"/>
    </row>
    <row r="99">
      <c r="E99" s="101"/>
    </row>
    <row r="100">
      <c r="E100" s="101"/>
    </row>
    <row r="101">
      <c r="E101" s="101"/>
    </row>
    <row r="102">
      <c r="E102" s="101"/>
    </row>
    <row r="103">
      <c r="E103" s="101"/>
    </row>
    <row r="104">
      <c r="E104" s="101"/>
    </row>
    <row r="105">
      <c r="E105" s="101"/>
    </row>
    <row r="106">
      <c r="E106" s="101"/>
    </row>
    <row r="107">
      <c r="E107" s="101"/>
    </row>
    <row r="108">
      <c r="E108" s="101"/>
    </row>
    <row r="109">
      <c r="E109" s="101"/>
    </row>
    <row r="110">
      <c r="E110" s="101"/>
    </row>
    <row r="111">
      <c r="E111" s="101"/>
    </row>
    <row r="112">
      <c r="E112" s="101"/>
    </row>
    <row r="113">
      <c r="E113" s="101"/>
    </row>
    <row r="114">
      <c r="E114" s="101"/>
    </row>
    <row r="115">
      <c r="E115" s="101"/>
    </row>
    <row r="116">
      <c r="E116" s="101"/>
    </row>
    <row r="117">
      <c r="E117" s="101"/>
    </row>
    <row r="118">
      <c r="E118" s="101"/>
    </row>
    <row r="119">
      <c r="E119" s="101"/>
    </row>
    <row r="120">
      <c r="E120" s="101"/>
    </row>
    <row r="121">
      <c r="E121" s="101"/>
    </row>
    <row r="122">
      <c r="E122" s="101"/>
    </row>
    <row r="123">
      <c r="E123" s="101"/>
    </row>
    <row r="124">
      <c r="E124" s="101"/>
    </row>
    <row r="125">
      <c r="E125" s="101"/>
    </row>
    <row r="126">
      <c r="E126" s="101"/>
    </row>
    <row r="127">
      <c r="E127" s="101"/>
    </row>
    <row r="128">
      <c r="E128" s="101"/>
    </row>
    <row r="129">
      <c r="E129" s="101"/>
    </row>
    <row r="130">
      <c r="E130" s="101"/>
    </row>
    <row r="131">
      <c r="E131" s="101"/>
    </row>
    <row r="132">
      <c r="E132" s="101"/>
    </row>
    <row r="133">
      <c r="E133" s="101"/>
    </row>
    <row r="134">
      <c r="E134" s="101"/>
    </row>
    <row r="135">
      <c r="E135" s="101"/>
    </row>
    <row r="136">
      <c r="E136" s="101"/>
    </row>
    <row r="137">
      <c r="E137" s="101"/>
    </row>
    <row r="138">
      <c r="E138" s="101"/>
    </row>
    <row r="139">
      <c r="E139" s="101"/>
    </row>
    <row r="140">
      <c r="E140" s="101"/>
    </row>
    <row r="141">
      <c r="E141" s="101"/>
    </row>
    <row r="142">
      <c r="E142" s="101"/>
    </row>
    <row r="143">
      <c r="E143" s="101"/>
    </row>
    <row r="144">
      <c r="E144" s="101"/>
    </row>
    <row r="145">
      <c r="E145" s="101"/>
    </row>
    <row r="146">
      <c r="E146" s="101"/>
    </row>
    <row r="147">
      <c r="E147" s="101"/>
    </row>
    <row r="148">
      <c r="E148" s="101"/>
    </row>
    <row r="149">
      <c r="E149" s="101"/>
    </row>
    <row r="150">
      <c r="E150" s="101"/>
    </row>
    <row r="151">
      <c r="E151" s="101"/>
    </row>
    <row r="152">
      <c r="E152" s="101"/>
    </row>
    <row r="153">
      <c r="E153" s="101"/>
    </row>
    <row r="154">
      <c r="E154" s="101"/>
    </row>
    <row r="155">
      <c r="E155" s="101"/>
    </row>
    <row r="156">
      <c r="E156" s="101"/>
    </row>
    <row r="157">
      <c r="E157" s="101"/>
    </row>
    <row r="158">
      <c r="E158" s="101"/>
    </row>
    <row r="159">
      <c r="E159" s="101"/>
    </row>
    <row r="160">
      <c r="E160" s="101"/>
    </row>
    <row r="161">
      <c r="E161" s="101"/>
    </row>
    <row r="162">
      <c r="E162" s="101"/>
    </row>
    <row r="163">
      <c r="E163" s="101"/>
    </row>
    <row r="164">
      <c r="E164" s="101"/>
    </row>
    <row r="165">
      <c r="E165" s="101"/>
    </row>
    <row r="166">
      <c r="E166" s="101"/>
    </row>
    <row r="167">
      <c r="E167" s="101"/>
    </row>
    <row r="168">
      <c r="E168" s="101"/>
    </row>
    <row r="169">
      <c r="E169" s="101"/>
    </row>
    <row r="170">
      <c r="E170" s="101"/>
    </row>
    <row r="171">
      <c r="E171" s="101"/>
    </row>
    <row r="172">
      <c r="E172" s="101"/>
    </row>
    <row r="173">
      <c r="E173" s="101"/>
    </row>
    <row r="174">
      <c r="E174" s="101"/>
    </row>
    <row r="175">
      <c r="E175" s="101"/>
    </row>
    <row r="176">
      <c r="E176" s="101"/>
    </row>
    <row r="177">
      <c r="E177" s="101"/>
    </row>
    <row r="178">
      <c r="E178" s="101"/>
    </row>
    <row r="179">
      <c r="E179" s="101"/>
    </row>
    <row r="180">
      <c r="E180" s="101"/>
    </row>
    <row r="181">
      <c r="E181" s="101"/>
    </row>
    <row r="182">
      <c r="E182" s="101"/>
    </row>
    <row r="183">
      <c r="E183" s="101"/>
    </row>
    <row r="184">
      <c r="E184" s="101"/>
    </row>
    <row r="185">
      <c r="E185" s="101"/>
    </row>
    <row r="186">
      <c r="E186" s="101"/>
    </row>
    <row r="187">
      <c r="E187" s="101"/>
    </row>
    <row r="188">
      <c r="E188" s="101"/>
    </row>
    <row r="189">
      <c r="E189" s="101"/>
    </row>
    <row r="190">
      <c r="E190" s="101"/>
    </row>
    <row r="191">
      <c r="E191" s="101"/>
    </row>
    <row r="192">
      <c r="E192" s="101"/>
    </row>
    <row r="193">
      <c r="E193" s="101"/>
    </row>
    <row r="194">
      <c r="E194" s="101"/>
    </row>
    <row r="195">
      <c r="E195" s="101"/>
    </row>
    <row r="196">
      <c r="E196" s="101"/>
    </row>
    <row r="197">
      <c r="E197" s="101"/>
    </row>
    <row r="198">
      <c r="E198" s="101"/>
    </row>
    <row r="199">
      <c r="E199" s="101"/>
    </row>
    <row r="200">
      <c r="E200" s="101"/>
    </row>
    <row r="201">
      <c r="E201" s="101"/>
    </row>
    <row r="202">
      <c r="E202" s="101"/>
    </row>
    <row r="203">
      <c r="E203" s="101"/>
    </row>
    <row r="204">
      <c r="E204" s="101"/>
    </row>
    <row r="205">
      <c r="E205" s="101"/>
    </row>
    <row r="206">
      <c r="E206" s="101"/>
    </row>
    <row r="207">
      <c r="E207" s="101"/>
    </row>
    <row r="208">
      <c r="E208" s="101"/>
    </row>
    <row r="209">
      <c r="E209" s="101"/>
    </row>
    <row r="210">
      <c r="E210" s="101"/>
    </row>
    <row r="211">
      <c r="E211" s="101"/>
    </row>
    <row r="212">
      <c r="E212" s="101"/>
    </row>
    <row r="213">
      <c r="E213" s="101"/>
    </row>
    <row r="214">
      <c r="E214" s="101"/>
    </row>
    <row r="215">
      <c r="E215" s="101"/>
    </row>
    <row r="216">
      <c r="E216" s="101"/>
    </row>
    <row r="217">
      <c r="E217" s="101"/>
    </row>
    <row r="218">
      <c r="E218" s="101"/>
    </row>
    <row r="219">
      <c r="E219" s="101"/>
    </row>
    <row r="220">
      <c r="E220" s="101"/>
    </row>
    <row r="221">
      <c r="E221" s="101"/>
    </row>
    <row r="222">
      <c r="E222" s="101"/>
    </row>
    <row r="223">
      <c r="E223" s="101"/>
    </row>
    <row r="224">
      <c r="E224" s="101"/>
    </row>
    <row r="225">
      <c r="E225" s="101"/>
    </row>
    <row r="226">
      <c r="E226" s="101"/>
    </row>
    <row r="227">
      <c r="E227" s="101"/>
    </row>
    <row r="228">
      <c r="E228" s="101"/>
    </row>
    <row r="229">
      <c r="E229" s="101"/>
    </row>
    <row r="230">
      <c r="E230" s="101"/>
    </row>
    <row r="231">
      <c r="E231" s="101"/>
    </row>
    <row r="232">
      <c r="E232" s="101"/>
    </row>
    <row r="233">
      <c r="E233" s="101"/>
    </row>
    <row r="234">
      <c r="E234" s="101"/>
    </row>
    <row r="235">
      <c r="E235" s="101"/>
    </row>
    <row r="236">
      <c r="E236" s="101"/>
    </row>
    <row r="237">
      <c r="E237" s="101"/>
    </row>
    <row r="238">
      <c r="E238" s="101"/>
    </row>
    <row r="239">
      <c r="E239" s="101"/>
    </row>
    <row r="240">
      <c r="E240" s="101"/>
    </row>
    <row r="241">
      <c r="E241" s="101"/>
    </row>
    <row r="242">
      <c r="E242" s="101"/>
    </row>
    <row r="243">
      <c r="E243" s="101"/>
    </row>
    <row r="244">
      <c r="E244" s="101"/>
    </row>
    <row r="245">
      <c r="E245" s="101"/>
    </row>
    <row r="246">
      <c r="E246" s="101"/>
    </row>
    <row r="247">
      <c r="E247" s="101"/>
    </row>
    <row r="248">
      <c r="E248" s="101"/>
    </row>
    <row r="249">
      <c r="E249" s="101"/>
    </row>
    <row r="250">
      <c r="E250" s="101"/>
    </row>
    <row r="251">
      <c r="E251" s="101"/>
    </row>
    <row r="252">
      <c r="E252" s="101"/>
    </row>
    <row r="253">
      <c r="E253" s="101"/>
    </row>
    <row r="254">
      <c r="E254" s="101"/>
    </row>
    <row r="255">
      <c r="E255" s="101"/>
    </row>
    <row r="256">
      <c r="E256" s="101"/>
    </row>
    <row r="257">
      <c r="E257" s="101"/>
    </row>
    <row r="258">
      <c r="E258" s="101"/>
    </row>
    <row r="259">
      <c r="E259" s="101"/>
    </row>
    <row r="260">
      <c r="E260" s="101"/>
    </row>
    <row r="261">
      <c r="E261" s="101"/>
    </row>
    <row r="262">
      <c r="E262" s="101"/>
    </row>
    <row r="263">
      <c r="E263" s="101"/>
    </row>
    <row r="264">
      <c r="E264" s="101"/>
    </row>
    <row r="265">
      <c r="E265" s="101"/>
    </row>
    <row r="266">
      <c r="E266" s="101"/>
    </row>
    <row r="267">
      <c r="E267" s="101"/>
    </row>
    <row r="268">
      <c r="E268" s="101"/>
    </row>
    <row r="269">
      <c r="E269" s="101"/>
    </row>
    <row r="270">
      <c r="E270" s="101"/>
    </row>
    <row r="271">
      <c r="E271" s="101"/>
    </row>
    <row r="272">
      <c r="E272" s="101"/>
    </row>
    <row r="273">
      <c r="E273" s="101"/>
    </row>
    <row r="274">
      <c r="E274" s="101"/>
    </row>
    <row r="275">
      <c r="E275" s="101"/>
    </row>
    <row r="276">
      <c r="E276" s="101"/>
    </row>
    <row r="277">
      <c r="E277" s="101"/>
    </row>
    <row r="278">
      <c r="E278" s="101"/>
    </row>
    <row r="279">
      <c r="E279" s="101"/>
    </row>
    <row r="280">
      <c r="E280" s="101"/>
    </row>
    <row r="281">
      <c r="E281" s="101"/>
    </row>
    <row r="282">
      <c r="E282" s="101"/>
    </row>
    <row r="283">
      <c r="E283" s="101"/>
    </row>
    <row r="284">
      <c r="E284" s="101"/>
    </row>
    <row r="285">
      <c r="E285" s="101"/>
    </row>
    <row r="286">
      <c r="E286" s="101"/>
    </row>
    <row r="287">
      <c r="E287" s="101"/>
    </row>
    <row r="288">
      <c r="E288" s="101"/>
    </row>
    <row r="289">
      <c r="E289" s="101"/>
    </row>
    <row r="290">
      <c r="E290" s="101"/>
    </row>
    <row r="291">
      <c r="E291" s="101"/>
    </row>
    <row r="292">
      <c r="E292" s="101"/>
    </row>
    <row r="293">
      <c r="E293" s="101"/>
    </row>
    <row r="294">
      <c r="E294" s="101"/>
    </row>
    <row r="295">
      <c r="E295" s="101"/>
    </row>
    <row r="296">
      <c r="E296" s="101"/>
    </row>
    <row r="297">
      <c r="E297" s="101"/>
    </row>
    <row r="298">
      <c r="E298" s="101"/>
    </row>
    <row r="299">
      <c r="E299" s="101"/>
    </row>
    <row r="300">
      <c r="E300" s="101"/>
    </row>
    <row r="301">
      <c r="E301" s="101"/>
    </row>
    <row r="302">
      <c r="E302" s="101"/>
    </row>
    <row r="303">
      <c r="E303" s="101"/>
    </row>
    <row r="304">
      <c r="E304" s="101"/>
    </row>
    <row r="305">
      <c r="E305" s="101"/>
    </row>
    <row r="306">
      <c r="E306" s="101"/>
    </row>
    <row r="307">
      <c r="E307" s="101"/>
    </row>
    <row r="308">
      <c r="E308" s="101"/>
    </row>
    <row r="309">
      <c r="E309" s="101"/>
    </row>
    <row r="310">
      <c r="E310" s="101"/>
    </row>
    <row r="311">
      <c r="E311" s="101"/>
    </row>
    <row r="312">
      <c r="E312" s="101"/>
    </row>
    <row r="313">
      <c r="E313" s="101"/>
    </row>
    <row r="314">
      <c r="E314" s="101"/>
    </row>
    <row r="315">
      <c r="E315" s="101"/>
    </row>
    <row r="316">
      <c r="E316" s="101"/>
    </row>
    <row r="317">
      <c r="E317" s="101"/>
    </row>
    <row r="318">
      <c r="E318" s="101"/>
    </row>
    <row r="319">
      <c r="E319" s="101"/>
    </row>
    <row r="320">
      <c r="E320" s="101"/>
    </row>
    <row r="321">
      <c r="E321" s="101"/>
    </row>
    <row r="322">
      <c r="E322" s="101"/>
    </row>
    <row r="323">
      <c r="E323" s="101"/>
    </row>
    <row r="324">
      <c r="E324" s="101"/>
    </row>
    <row r="325">
      <c r="E325" s="101"/>
    </row>
    <row r="326">
      <c r="E326" s="101"/>
    </row>
    <row r="327">
      <c r="E327" s="101"/>
    </row>
    <row r="328">
      <c r="E328" s="101"/>
    </row>
    <row r="329">
      <c r="E329" s="101"/>
    </row>
    <row r="330">
      <c r="E330" s="101"/>
    </row>
    <row r="331">
      <c r="E331" s="101"/>
    </row>
    <row r="332">
      <c r="E332" s="101"/>
    </row>
    <row r="333">
      <c r="E333" s="101"/>
    </row>
    <row r="334">
      <c r="E334" s="101"/>
    </row>
    <row r="335">
      <c r="E335" s="101"/>
    </row>
    <row r="336">
      <c r="E336" s="101"/>
    </row>
    <row r="337">
      <c r="E337" s="101"/>
    </row>
    <row r="338">
      <c r="E338" s="101"/>
    </row>
    <row r="339">
      <c r="E339" s="101"/>
    </row>
    <row r="340">
      <c r="E340" s="101"/>
    </row>
    <row r="341">
      <c r="E341" s="101"/>
    </row>
    <row r="342">
      <c r="E342" s="101"/>
    </row>
    <row r="343">
      <c r="E343" s="101"/>
    </row>
    <row r="344">
      <c r="E344" s="101"/>
    </row>
    <row r="345">
      <c r="E345" s="101"/>
    </row>
    <row r="346">
      <c r="E346" s="101"/>
    </row>
    <row r="347">
      <c r="E347" s="101"/>
    </row>
    <row r="348">
      <c r="E348" s="101"/>
    </row>
    <row r="349">
      <c r="E349" s="101"/>
    </row>
    <row r="350">
      <c r="E350" s="101"/>
    </row>
    <row r="351">
      <c r="E351" s="101"/>
    </row>
    <row r="352">
      <c r="E352" s="101"/>
    </row>
    <row r="353">
      <c r="E353" s="101"/>
    </row>
    <row r="354">
      <c r="E354" s="101"/>
    </row>
    <row r="355">
      <c r="E355" s="101"/>
    </row>
    <row r="356">
      <c r="E356" s="101"/>
    </row>
    <row r="357">
      <c r="E357" s="101"/>
    </row>
    <row r="358">
      <c r="E358" s="101"/>
    </row>
    <row r="359">
      <c r="E359" s="101"/>
    </row>
    <row r="360">
      <c r="E360" s="101"/>
    </row>
    <row r="361">
      <c r="E361" s="101"/>
    </row>
    <row r="362">
      <c r="E362" s="101"/>
    </row>
    <row r="363">
      <c r="E363" s="101"/>
    </row>
    <row r="364">
      <c r="E364" s="101"/>
    </row>
    <row r="365">
      <c r="E365" s="101"/>
    </row>
    <row r="366">
      <c r="E366" s="101"/>
    </row>
    <row r="367">
      <c r="E367" s="101"/>
    </row>
    <row r="368">
      <c r="E368" s="101"/>
    </row>
    <row r="369">
      <c r="E369" s="101"/>
    </row>
    <row r="370">
      <c r="E370" s="101"/>
    </row>
    <row r="371">
      <c r="E371" s="101"/>
    </row>
    <row r="372">
      <c r="E372" s="101"/>
    </row>
    <row r="373">
      <c r="E373" s="101"/>
    </row>
    <row r="374">
      <c r="E374" s="101"/>
    </row>
    <row r="375">
      <c r="E375" s="101"/>
    </row>
    <row r="376">
      <c r="E376" s="101"/>
    </row>
    <row r="377">
      <c r="E377" s="101"/>
    </row>
    <row r="378">
      <c r="E378" s="101"/>
    </row>
    <row r="379">
      <c r="E379" s="101"/>
    </row>
    <row r="380">
      <c r="E380" s="101"/>
    </row>
    <row r="381">
      <c r="E381" s="101"/>
    </row>
    <row r="382">
      <c r="E382" s="101"/>
    </row>
    <row r="383">
      <c r="E383" s="101"/>
    </row>
    <row r="384">
      <c r="E384" s="101"/>
    </row>
    <row r="385">
      <c r="E385" s="101"/>
    </row>
    <row r="386">
      <c r="E386" s="101"/>
    </row>
    <row r="387">
      <c r="E387" s="101"/>
    </row>
    <row r="388">
      <c r="E388" s="101"/>
    </row>
    <row r="389">
      <c r="E389" s="101"/>
    </row>
    <row r="390">
      <c r="E390" s="101"/>
    </row>
    <row r="391">
      <c r="E391" s="101"/>
    </row>
    <row r="392">
      <c r="E392" s="101"/>
    </row>
    <row r="393">
      <c r="E393" s="101"/>
    </row>
    <row r="394">
      <c r="E394" s="101"/>
    </row>
    <row r="395">
      <c r="E395" s="101"/>
    </row>
    <row r="396">
      <c r="E396" s="101"/>
    </row>
    <row r="397">
      <c r="E397" s="101"/>
    </row>
    <row r="398">
      <c r="E398" s="101"/>
    </row>
    <row r="399">
      <c r="E399" s="101"/>
    </row>
    <row r="400">
      <c r="E400" s="101"/>
    </row>
    <row r="401">
      <c r="E401" s="101"/>
    </row>
    <row r="402">
      <c r="E402" s="101"/>
    </row>
    <row r="403">
      <c r="E403" s="101"/>
    </row>
    <row r="404">
      <c r="E404" s="101"/>
    </row>
    <row r="405">
      <c r="E405" s="101"/>
    </row>
    <row r="406">
      <c r="E406" s="101"/>
    </row>
    <row r="407">
      <c r="E407" s="101"/>
    </row>
    <row r="408">
      <c r="E408" s="101"/>
    </row>
    <row r="409">
      <c r="E409" s="101"/>
    </row>
    <row r="410">
      <c r="E410" s="101"/>
    </row>
    <row r="411">
      <c r="E411" s="101"/>
    </row>
    <row r="412">
      <c r="E412" s="101"/>
    </row>
    <row r="413">
      <c r="E413" s="101"/>
    </row>
    <row r="414">
      <c r="E414" s="101"/>
    </row>
    <row r="415">
      <c r="E415" s="101"/>
    </row>
    <row r="416">
      <c r="E416" s="101"/>
    </row>
    <row r="417">
      <c r="E417" s="101"/>
    </row>
    <row r="418">
      <c r="E418" s="101"/>
    </row>
    <row r="419">
      <c r="E419" s="101"/>
    </row>
    <row r="420">
      <c r="E420" s="101"/>
    </row>
    <row r="421">
      <c r="E421" s="101"/>
    </row>
    <row r="422">
      <c r="E422" s="101"/>
    </row>
    <row r="423">
      <c r="E423" s="101"/>
    </row>
    <row r="424">
      <c r="E424" s="101"/>
    </row>
    <row r="425">
      <c r="E425" s="101"/>
    </row>
    <row r="426">
      <c r="E426" s="101"/>
    </row>
    <row r="427">
      <c r="E427" s="101"/>
    </row>
    <row r="428">
      <c r="E428" s="101"/>
    </row>
    <row r="429">
      <c r="E429" s="101"/>
    </row>
    <row r="430">
      <c r="E430" s="101"/>
    </row>
    <row r="431">
      <c r="E431" s="101"/>
    </row>
    <row r="432">
      <c r="E432" s="101"/>
    </row>
    <row r="433">
      <c r="E433" s="101"/>
    </row>
    <row r="434">
      <c r="E434" s="101"/>
    </row>
    <row r="435">
      <c r="E435" s="101"/>
    </row>
    <row r="436">
      <c r="E436" s="101"/>
    </row>
    <row r="437">
      <c r="E437" s="101"/>
    </row>
    <row r="438">
      <c r="E438" s="101"/>
    </row>
    <row r="439">
      <c r="E439" s="101"/>
    </row>
    <row r="440">
      <c r="E440" s="101"/>
    </row>
    <row r="441">
      <c r="E441" s="101"/>
    </row>
    <row r="442">
      <c r="E442" s="101"/>
    </row>
    <row r="443">
      <c r="E443" s="101"/>
    </row>
    <row r="444">
      <c r="E444" s="101"/>
    </row>
    <row r="445">
      <c r="E445" s="101"/>
    </row>
    <row r="446">
      <c r="E446" s="101"/>
    </row>
    <row r="447">
      <c r="E447" s="101"/>
    </row>
    <row r="448">
      <c r="E448" s="101"/>
    </row>
    <row r="449">
      <c r="E449" s="101"/>
    </row>
    <row r="450">
      <c r="E450" s="101"/>
    </row>
    <row r="451">
      <c r="E451" s="101"/>
    </row>
    <row r="452">
      <c r="E452" s="101"/>
    </row>
    <row r="453">
      <c r="E453" s="101"/>
    </row>
    <row r="454">
      <c r="E454" s="101"/>
    </row>
    <row r="455">
      <c r="E455" s="101"/>
    </row>
    <row r="456">
      <c r="E456" s="101"/>
    </row>
    <row r="457">
      <c r="E457" s="101"/>
    </row>
    <row r="458">
      <c r="E458" s="101"/>
    </row>
    <row r="459">
      <c r="E459" s="101"/>
    </row>
    <row r="460">
      <c r="E460" s="101"/>
    </row>
    <row r="461">
      <c r="E461" s="101"/>
    </row>
    <row r="462">
      <c r="E462" s="101"/>
    </row>
    <row r="463">
      <c r="E463" s="101"/>
    </row>
    <row r="464">
      <c r="E464" s="101"/>
    </row>
    <row r="465">
      <c r="E465" s="101"/>
    </row>
    <row r="466">
      <c r="E466" s="101"/>
    </row>
    <row r="467">
      <c r="E467" s="101"/>
    </row>
    <row r="468">
      <c r="E468" s="101"/>
    </row>
    <row r="469">
      <c r="E469" s="101"/>
    </row>
    <row r="470">
      <c r="E470" s="101"/>
    </row>
    <row r="471">
      <c r="E471" s="101"/>
    </row>
    <row r="472">
      <c r="E472" s="101"/>
    </row>
    <row r="473">
      <c r="E473" s="101"/>
    </row>
    <row r="474">
      <c r="E474" s="101"/>
    </row>
    <row r="475">
      <c r="E475" s="101"/>
    </row>
    <row r="476">
      <c r="E476" s="101"/>
    </row>
    <row r="477">
      <c r="E477" s="101"/>
    </row>
    <row r="478">
      <c r="E478" s="101"/>
    </row>
    <row r="479">
      <c r="E479" s="101"/>
    </row>
    <row r="480">
      <c r="E480" s="101"/>
    </row>
    <row r="481">
      <c r="E481" s="101"/>
    </row>
    <row r="482">
      <c r="E482" s="101"/>
    </row>
    <row r="483">
      <c r="E483" s="101"/>
    </row>
    <row r="484">
      <c r="E484" s="101"/>
    </row>
    <row r="485">
      <c r="E485" s="101"/>
    </row>
    <row r="486">
      <c r="E486" s="101"/>
    </row>
    <row r="487">
      <c r="E487" s="101"/>
    </row>
    <row r="488">
      <c r="E488" s="101"/>
    </row>
    <row r="489">
      <c r="E489" s="101"/>
    </row>
    <row r="490">
      <c r="E490" s="101"/>
    </row>
    <row r="491">
      <c r="E491" s="101"/>
    </row>
    <row r="492">
      <c r="E492" s="101"/>
    </row>
    <row r="493">
      <c r="E493" s="101"/>
    </row>
    <row r="494">
      <c r="E494" s="101"/>
    </row>
    <row r="495">
      <c r="E495" s="101"/>
    </row>
    <row r="496">
      <c r="E496" s="101"/>
    </row>
    <row r="497">
      <c r="E497" s="101"/>
    </row>
    <row r="498">
      <c r="E498" s="101"/>
    </row>
    <row r="499">
      <c r="E499" s="101"/>
    </row>
    <row r="500">
      <c r="E500" s="101"/>
    </row>
    <row r="501">
      <c r="E501" s="101"/>
    </row>
    <row r="502">
      <c r="E502" s="101"/>
    </row>
    <row r="503">
      <c r="E503" s="101"/>
    </row>
    <row r="504">
      <c r="E504" s="101"/>
    </row>
    <row r="505">
      <c r="E505" s="101"/>
    </row>
    <row r="506">
      <c r="E506" s="101"/>
    </row>
    <row r="507">
      <c r="E507" s="101"/>
    </row>
    <row r="508">
      <c r="E508" s="101"/>
    </row>
    <row r="509">
      <c r="E509" s="101"/>
    </row>
    <row r="510">
      <c r="E510" s="101"/>
    </row>
    <row r="511">
      <c r="E511" s="101"/>
    </row>
    <row r="512">
      <c r="E512" s="101"/>
    </row>
    <row r="513">
      <c r="E513" s="101"/>
    </row>
    <row r="514">
      <c r="E514" s="101"/>
    </row>
    <row r="515">
      <c r="E515" s="101"/>
    </row>
    <row r="516">
      <c r="E516" s="101"/>
    </row>
    <row r="517">
      <c r="E517" s="101"/>
    </row>
    <row r="518">
      <c r="E518" s="101"/>
    </row>
    <row r="519">
      <c r="E519" s="101"/>
    </row>
    <row r="520">
      <c r="E520" s="101"/>
    </row>
    <row r="521">
      <c r="E521" s="101"/>
    </row>
    <row r="522">
      <c r="E522" s="101"/>
    </row>
    <row r="523">
      <c r="E523" s="101"/>
    </row>
    <row r="524">
      <c r="E524" s="101"/>
    </row>
    <row r="525">
      <c r="E525" s="101"/>
    </row>
    <row r="526">
      <c r="E526" s="101"/>
    </row>
    <row r="527">
      <c r="E527" s="101"/>
    </row>
    <row r="528">
      <c r="E528" s="101"/>
    </row>
    <row r="529">
      <c r="E529" s="101"/>
    </row>
    <row r="530">
      <c r="E530" s="101"/>
    </row>
    <row r="531">
      <c r="E531" s="101"/>
    </row>
    <row r="532">
      <c r="E532" s="101"/>
    </row>
    <row r="533">
      <c r="E533" s="101"/>
    </row>
    <row r="534">
      <c r="E534" s="101"/>
    </row>
    <row r="535">
      <c r="E535" s="101"/>
    </row>
    <row r="536">
      <c r="E536" s="101"/>
    </row>
    <row r="537">
      <c r="E537" s="101"/>
    </row>
    <row r="538">
      <c r="E538" s="101"/>
    </row>
    <row r="539">
      <c r="E539" s="101"/>
    </row>
    <row r="540">
      <c r="E540" s="101"/>
    </row>
    <row r="541">
      <c r="E541" s="101"/>
    </row>
    <row r="542">
      <c r="E542" s="101"/>
    </row>
    <row r="543">
      <c r="E543" s="101"/>
    </row>
    <row r="544">
      <c r="E544" s="101"/>
    </row>
    <row r="545">
      <c r="E545" s="101"/>
    </row>
    <row r="546">
      <c r="E546" s="101"/>
    </row>
    <row r="547">
      <c r="E547" s="101"/>
    </row>
    <row r="548">
      <c r="E548" s="101"/>
    </row>
    <row r="549">
      <c r="E549" s="101"/>
    </row>
    <row r="550">
      <c r="E550" s="101"/>
    </row>
    <row r="551">
      <c r="E551" s="101"/>
    </row>
    <row r="552">
      <c r="E552" s="101"/>
    </row>
    <row r="553">
      <c r="E553" s="101"/>
    </row>
    <row r="554">
      <c r="E554" s="101"/>
    </row>
    <row r="555">
      <c r="E555" s="101"/>
    </row>
    <row r="556">
      <c r="E556" s="101"/>
    </row>
    <row r="557">
      <c r="E557" s="101"/>
    </row>
    <row r="558">
      <c r="E558" s="101"/>
    </row>
    <row r="559">
      <c r="E559" s="101"/>
    </row>
    <row r="560">
      <c r="E560" s="101"/>
    </row>
    <row r="561">
      <c r="E561" s="101"/>
    </row>
    <row r="562">
      <c r="E562" s="101"/>
    </row>
    <row r="563">
      <c r="E563" s="101"/>
    </row>
    <row r="564">
      <c r="E564" s="101"/>
    </row>
    <row r="565">
      <c r="E565" s="101"/>
    </row>
    <row r="566">
      <c r="E566" s="101"/>
    </row>
    <row r="567">
      <c r="E567" s="101"/>
    </row>
    <row r="568">
      <c r="E568" s="101"/>
    </row>
    <row r="569">
      <c r="E569" s="101"/>
    </row>
    <row r="570">
      <c r="E570" s="101"/>
    </row>
    <row r="571">
      <c r="E571" s="101"/>
    </row>
    <row r="572">
      <c r="E572" s="101"/>
    </row>
    <row r="573">
      <c r="E573" s="101"/>
    </row>
    <row r="574">
      <c r="E574" s="101"/>
    </row>
    <row r="575">
      <c r="E575" s="101"/>
    </row>
    <row r="576">
      <c r="E576" s="101"/>
    </row>
    <row r="577">
      <c r="E577" s="101"/>
    </row>
    <row r="578">
      <c r="E578" s="101"/>
    </row>
    <row r="579">
      <c r="E579" s="101"/>
    </row>
    <row r="580">
      <c r="E580" s="101"/>
    </row>
    <row r="581">
      <c r="E581" s="101"/>
    </row>
    <row r="582">
      <c r="E582" s="101"/>
    </row>
    <row r="583">
      <c r="E583" s="101"/>
    </row>
    <row r="584">
      <c r="E584" s="101"/>
    </row>
    <row r="585">
      <c r="E585" s="101"/>
    </row>
    <row r="586">
      <c r="E586" s="101"/>
    </row>
    <row r="587">
      <c r="E587" s="101"/>
    </row>
    <row r="588">
      <c r="E588" s="101"/>
    </row>
    <row r="589">
      <c r="E589" s="101"/>
    </row>
    <row r="590">
      <c r="E590" s="101"/>
    </row>
    <row r="591">
      <c r="E591" s="101"/>
    </row>
    <row r="592">
      <c r="E592" s="101"/>
    </row>
    <row r="593">
      <c r="E593" s="101"/>
    </row>
    <row r="594">
      <c r="E594" s="101"/>
    </row>
    <row r="595">
      <c r="E595" s="101"/>
    </row>
    <row r="596">
      <c r="E596" s="101"/>
    </row>
    <row r="597">
      <c r="E597" s="101"/>
    </row>
    <row r="598">
      <c r="E598" s="101"/>
    </row>
    <row r="599">
      <c r="E599" s="101"/>
    </row>
    <row r="600">
      <c r="E600" s="101"/>
    </row>
    <row r="601">
      <c r="E601" s="101"/>
    </row>
    <row r="602">
      <c r="E602" s="101"/>
    </row>
    <row r="603">
      <c r="E603" s="101"/>
    </row>
    <row r="604">
      <c r="E604" s="101"/>
    </row>
    <row r="605">
      <c r="E605" s="101"/>
    </row>
    <row r="606">
      <c r="E606" s="101"/>
    </row>
    <row r="607">
      <c r="E607" s="101"/>
    </row>
    <row r="608">
      <c r="E608" s="101"/>
    </row>
    <row r="609">
      <c r="E609" s="101"/>
    </row>
    <row r="610">
      <c r="E610" s="101"/>
    </row>
    <row r="611">
      <c r="E611" s="101"/>
    </row>
    <row r="612">
      <c r="E612" s="101"/>
    </row>
    <row r="613">
      <c r="E613" s="101"/>
    </row>
    <row r="614">
      <c r="E614" s="101"/>
    </row>
    <row r="615">
      <c r="E615" s="101"/>
    </row>
    <row r="616">
      <c r="E616" s="101"/>
    </row>
    <row r="617">
      <c r="E617" s="101"/>
    </row>
    <row r="618">
      <c r="E618" s="101"/>
    </row>
    <row r="619">
      <c r="E619" s="101"/>
    </row>
    <row r="620">
      <c r="E620" s="101"/>
    </row>
    <row r="621">
      <c r="E621" s="101"/>
    </row>
    <row r="622">
      <c r="E622" s="101"/>
    </row>
    <row r="623">
      <c r="E623" s="101"/>
    </row>
    <row r="624">
      <c r="E624" s="101"/>
    </row>
    <row r="625">
      <c r="E625" s="101"/>
    </row>
    <row r="626">
      <c r="E626" s="101"/>
    </row>
    <row r="627">
      <c r="E627" s="101"/>
    </row>
    <row r="628">
      <c r="E628" s="101"/>
    </row>
    <row r="629">
      <c r="E629" s="101"/>
    </row>
    <row r="630">
      <c r="E630" s="101"/>
    </row>
    <row r="631">
      <c r="E631" s="101"/>
    </row>
    <row r="632">
      <c r="E632" s="101"/>
    </row>
    <row r="633">
      <c r="E633" s="101"/>
    </row>
    <row r="634">
      <c r="E634" s="101"/>
    </row>
    <row r="635">
      <c r="E635" s="101"/>
    </row>
    <row r="636">
      <c r="E636" s="101"/>
    </row>
    <row r="637">
      <c r="E637" s="101"/>
    </row>
    <row r="638">
      <c r="E638" s="101"/>
    </row>
    <row r="639">
      <c r="E639" s="101"/>
    </row>
    <row r="640">
      <c r="E640" s="101"/>
    </row>
    <row r="641">
      <c r="E641" s="101"/>
    </row>
    <row r="642">
      <c r="E642" s="101"/>
    </row>
    <row r="643">
      <c r="E643" s="101"/>
    </row>
    <row r="644">
      <c r="E644" s="101"/>
    </row>
    <row r="645">
      <c r="E645" s="101"/>
    </row>
    <row r="646">
      <c r="E646" s="101"/>
    </row>
    <row r="647">
      <c r="E647" s="101"/>
    </row>
    <row r="648">
      <c r="E648" s="101"/>
    </row>
    <row r="649">
      <c r="E649" s="101"/>
    </row>
    <row r="650">
      <c r="E650" s="101"/>
    </row>
    <row r="651">
      <c r="E651" s="101"/>
    </row>
    <row r="652">
      <c r="E652" s="101"/>
    </row>
    <row r="653">
      <c r="E653" s="101"/>
    </row>
    <row r="654">
      <c r="E654" s="101"/>
    </row>
    <row r="655">
      <c r="E655" s="101"/>
    </row>
    <row r="656">
      <c r="E656" s="101"/>
    </row>
    <row r="657">
      <c r="E657" s="101"/>
    </row>
    <row r="658">
      <c r="E658" s="101"/>
    </row>
    <row r="659">
      <c r="E659" s="101"/>
    </row>
    <row r="660">
      <c r="E660" s="101"/>
    </row>
    <row r="661">
      <c r="E661" s="101"/>
    </row>
    <row r="662">
      <c r="E662" s="101"/>
    </row>
    <row r="663">
      <c r="E663" s="101"/>
    </row>
    <row r="664">
      <c r="E664" s="101"/>
    </row>
    <row r="665">
      <c r="E665" s="101"/>
    </row>
    <row r="666">
      <c r="E666" s="101"/>
    </row>
    <row r="667">
      <c r="E667" s="101"/>
    </row>
    <row r="668">
      <c r="E668" s="101"/>
    </row>
    <row r="669">
      <c r="E669" s="101"/>
    </row>
    <row r="670">
      <c r="E670" s="101"/>
    </row>
    <row r="671">
      <c r="E671" s="101"/>
    </row>
    <row r="672">
      <c r="E672" s="101"/>
    </row>
    <row r="673">
      <c r="E673" s="101"/>
    </row>
    <row r="674">
      <c r="E674" s="101"/>
    </row>
    <row r="675">
      <c r="E675" s="101"/>
    </row>
    <row r="676">
      <c r="E676" s="101"/>
    </row>
    <row r="677">
      <c r="E677" s="101"/>
    </row>
    <row r="678">
      <c r="E678" s="101"/>
    </row>
    <row r="679">
      <c r="E679" s="101"/>
    </row>
    <row r="680">
      <c r="E680" s="101"/>
    </row>
    <row r="681">
      <c r="E681" s="101"/>
    </row>
    <row r="682">
      <c r="E682" s="101"/>
    </row>
    <row r="683">
      <c r="E683" s="101"/>
    </row>
    <row r="684">
      <c r="E684" s="101"/>
    </row>
    <row r="685">
      <c r="E685" s="101"/>
    </row>
    <row r="686">
      <c r="E686" s="101"/>
    </row>
    <row r="687">
      <c r="E687" s="101"/>
    </row>
    <row r="688">
      <c r="E688" s="101"/>
    </row>
    <row r="689">
      <c r="E689" s="101"/>
    </row>
    <row r="690">
      <c r="E690" s="101"/>
    </row>
    <row r="691">
      <c r="E691" s="101"/>
    </row>
    <row r="692">
      <c r="E692" s="101"/>
    </row>
    <row r="693">
      <c r="E693" s="101"/>
    </row>
    <row r="694">
      <c r="E694" s="101"/>
    </row>
    <row r="695">
      <c r="E695" s="101"/>
    </row>
    <row r="696">
      <c r="E696" s="101"/>
    </row>
    <row r="697">
      <c r="E697" s="101"/>
    </row>
    <row r="698">
      <c r="E698" s="101"/>
    </row>
    <row r="699">
      <c r="E699" s="101"/>
    </row>
    <row r="700">
      <c r="E700" s="101"/>
    </row>
    <row r="701">
      <c r="E701" s="101"/>
    </row>
    <row r="702">
      <c r="E702" s="101"/>
    </row>
    <row r="703">
      <c r="E703" s="101"/>
    </row>
    <row r="704">
      <c r="E704" s="101"/>
    </row>
    <row r="705">
      <c r="E705" s="101"/>
    </row>
    <row r="706">
      <c r="E706" s="101"/>
    </row>
    <row r="707">
      <c r="E707" s="101"/>
    </row>
    <row r="708">
      <c r="E708" s="101"/>
    </row>
    <row r="709">
      <c r="E709" s="101"/>
    </row>
    <row r="710">
      <c r="E710" s="101"/>
    </row>
    <row r="711">
      <c r="E711" s="101"/>
    </row>
    <row r="712">
      <c r="E712" s="101"/>
    </row>
    <row r="713">
      <c r="E713" s="101"/>
    </row>
    <row r="714">
      <c r="E714" s="101"/>
    </row>
    <row r="715">
      <c r="E715" s="101"/>
    </row>
    <row r="716">
      <c r="E716" s="101"/>
    </row>
    <row r="717">
      <c r="E717" s="101"/>
    </row>
    <row r="718">
      <c r="E718" s="101"/>
    </row>
    <row r="719">
      <c r="E719" s="101"/>
    </row>
    <row r="720">
      <c r="E720" s="101"/>
    </row>
    <row r="721">
      <c r="E721" s="101"/>
    </row>
    <row r="722">
      <c r="E722" s="101"/>
    </row>
    <row r="723">
      <c r="E723" s="101"/>
    </row>
    <row r="724">
      <c r="E724" s="101"/>
    </row>
    <row r="725">
      <c r="E725" s="101"/>
    </row>
    <row r="726">
      <c r="E726" s="101"/>
    </row>
    <row r="727">
      <c r="E727" s="101"/>
    </row>
    <row r="728">
      <c r="E728" s="101"/>
    </row>
    <row r="729">
      <c r="E729" s="101"/>
    </row>
    <row r="730">
      <c r="E730" s="101"/>
    </row>
    <row r="731">
      <c r="E731" s="101"/>
    </row>
    <row r="732">
      <c r="E732" s="101"/>
    </row>
    <row r="733">
      <c r="E733" s="101"/>
    </row>
    <row r="734">
      <c r="E734" s="101"/>
    </row>
    <row r="735">
      <c r="E735" s="101"/>
    </row>
    <row r="736">
      <c r="E736" s="101"/>
    </row>
    <row r="737">
      <c r="E737" s="101"/>
    </row>
    <row r="738">
      <c r="E738" s="101"/>
    </row>
    <row r="739">
      <c r="E739" s="101"/>
    </row>
    <row r="740">
      <c r="E740" s="101"/>
    </row>
    <row r="741">
      <c r="E741" s="101"/>
    </row>
    <row r="742">
      <c r="E742" s="101"/>
    </row>
    <row r="743">
      <c r="E743" s="101"/>
    </row>
    <row r="744">
      <c r="E744" s="101"/>
    </row>
    <row r="745">
      <c r="E745" s="101"/>
    </row>
    <row r="746">
      <c r="E746" s="101"/>
    </row>
    <row r="747">
      <c r="E747" s="101"/>
    </row>
    <row r="748">
      <c r="E748" s="101"/>
    </row>
    <row r="749">
      <c r="E749" s="101"/>
    </row>
    <row r="750">
      <c r="E750" s="101"/>
    </row>
    <row r="751">
      <c r="E751" s="101"/>
    </row>
    <row r="752">
      <c r="E752" s="101"/>
    </row>
    <row r="753">
      <c r="E753" s="101"/>
    </row>
    <row r="754">
      <c r="E754" s="101"/>
    </row>
    <row r="755">
      <c r="E755" s="101"/>
    </row>
    <row r="756">
      <c r="E756" s="101"/>
    </row>
    <row r="757">
      <c r="E757" s="101"/>
    </row>
    <row r="758">
      <c r="E758" s="101"/>
    </row>
    <row r="759">
      <c r="E759" s="101"/>
    </row>
    <row r="760">
      <c r="E760" s="101"/>
    </row>
    <row r="761">
      <c r="E761" s="101"/>
    </row>
    <row r="762">
      <c r="E762" s="101"/>
    </row>
    <row r="763">
      <c r="E763" s="101"/>
    </row>
    <row r="764">
      <c r="E764" s="101"/>
    </row>
    <row r="765">
      <c r="E765" s="101"/>
    </row>
    <row r="766">
      <c r="E766" s="101"/>
    </row>
    <row r="767">
      <c r="E767" s="101"/>
    </row>
    <row r="768">
      <c r="E768" s="101"/>
    </row>
    <row r="769">
      <c r="E769" s="101"/>
    </row>
    <row r="770">
      <c r="E770" s="101"/>
    </row>
    <row r="771">
      <c r="E771" s="101"/>
    </row>
    <row r="772">
      <c r="E772" s="101"/>
    </row>
    <row r="773">
      <c r="E773" s="101"/>
    </row>
    <row r="774">
      <c r="E774" s="101"/>
    </row>
    <row r="775">
      <c r="E775" s="101"/>
    </row>
    <row r="776">
      <c r="E776" s="101"/>
    </row>
    <row r="777">
      <c r="E777" s="101"/>
    </row>
    <row r="778">
      <c r="E778" s="101"/>
    </row>
    <row r="779">
      <c r="E779" s="101"/>
    </row>
    <row r="780">
      <c r="E780" s="101"/>
    </row>
    <row r="781">
      <c r="E781" s="101"/>
    </row>
    <row r="782">
      <c r="E782" s="101"/>
    </row>
    <row r="783">
      <c r="E783" s="101"/>
    </row>
    <row r="784">
      <c r="E784" s="101"/>
    </row>
    <row r="785">
      <c r="E785" s="101"/>
    </row>
    <row r="786">
      <c r="E786" s="101"/>
    </row>
    <row r="787">
      <c r="E787" s="101"/>
    </row>
    <row r="788">
      <c r="E788" s="101"/>
    </row>
    <row r="789">
      <c r="E789" s="101"/>
    </row>
    <row r="790">
      <c r="E790" s="101"/>
    </row>
    <row r="791">
      <c r="E791" s="101"/>
    </row>
    <row r="792">
      <c r="E792" s="101"/>
    </row>
    <row r="793">
      <c r="E793" s="101"/>
    </row>
    <row r="794">
      <c r="E794" s="101"/>
    </row>
    <row r="795">
      <c r="E795" s="101"/>
    </row>
    <row r="796">
      <c r="E796" s="101"/>
    </row>
    <row r="797">
      <c r="E797" s="101"/>
    </row>
    <row r="798">
      <c r="E798" s="101"/>
    </row>
    <row r="799">
      <c r="E799" s="101"/>
    </row>
    <row r="800">
      <c r="E800" s="101"/>
    </row>
    <row r="801">
      <c r="E801" s="101"/>
    </row>
    <row r="802">
      <c r="E802" s="101"/>
    </row>
    <row r="803">
      <c r="E803" s="101"/>
    </row>
    <row r="804">
      <c r="E804" s="101"/>
    </row>
    <row r="805">
      <c r="E805" s="101"/>
    </row>
    <row r="806">
      <c r="E806" s="101"/>
    </row>
    <row r="807">
      <c r="E807" s="101"/>
    </row>
    <row r="808">
      <c r="E808" s="101"/>
    </row>
    <row r="809">
      <c r="E809" s="101"/>
    </row>
    <row r="810">
      <c r="E810" s="101"/>
    </row>
    <row r="811">
      <c r="E811" s="101"/>
    </row>
    <row r="812">
      <c r="E812" s="101"/>
    </row>
    <row r="813">
      <c r="E813" s="101"/>
    </row>
    <row r="814">
      <c r="E814" s="101"/>
    </row>
    <row r="815">
      <c r="E815" s="101"/>
    </row>
    <row r="816">
      <c r="E816" s="101"/>
    </row>
    <row r="817">
      <c r="E817" s="101"/>
    </row>
    <row r="818">
      <c r="E818" s="101"/>
    </row>
    <row r="819">
      <c r="E819" s="101"/>
    </row>
    <row r="820">
      <c r="E820" s="101"/>
    </row>
    <row r="821">
      <c r="E821" s="101"/>
    </row>
    <row r="822">
      <c r="E822" s="101"/>
    </row>
    <row r="823">
      <c r="E823" s="101"/>
    </row>
    <row r="824">
      <c r="E824" s="101"/>
    </row>
    <row r="825">
      <c r="E825" s="101"/>
    </row>
    <row r="826">
      <c r="E826" s="101"/>
    </row>
    <row r="827">
      <c r="E827" s="101"/>
    </row>
    <row r="828">
      <c r="E828" s="101"/>
    </row>
    <row r="829">
      <c r="E829" s="101"/>
    </row>
    <row r="830">
      <c r="E830" s="101"/>
    </row>
    <row r="831">
      <c r="E831" s="101"/>
    </row>
    <row r="832">
      <c r="E832" s="101"/>
    </row>
    <row r="833">
      <c r="E833" s="101"/>
    </row>
    <row r="834">
      <c r="E834" s="101"/>
    </row>
    <row r="835">
      <c r="E835" s="101"/>
    </row>
    <row r="836">
      <c r="E836" s="101"/>
    </row>
    <row r="837">
      <c r="E837" s="101"/>
    </row>
    <row r="838">
      <c r="E838" s="101"/>
    </row>
    <row r="839">
      <c r="E839" s="101"/>
    </row>
    <row r="840">
      <c r="E840" s="101"/>
    </row>
    <row r="841">
      <c r="E841" s="101"/>
    </row>
    <row r="842">
      <c r="E842" s="101"/>
    </row>
    <row r="843">
      <c r="E843" s="101"/>
    </row>
    <row r="844">
      <c r="E844" s="101"/>
    </row>
    <row r="845">
      <c r="E845" s="101"/>
    </row>
    <row r="846">
      <c r="E846" s="101"/>
    </row>
    <row r="847">
      <c r="E847" s="101"/>
    </row>
    <row r="848">
      <c r="E848" s="101"/>
    </row>
    <row r="849">
      <c r="E849" s="101"/>
    </row>
    <row r="850">
      <c r="E850" s="101"/>
    </row>
    <row r="851">
      <c r="E851" s="101"/>
    </row>
    <row r="852">
      <c r="E852" s="101"/>
    </row>
    <row r="853">
      <c r="E853" s="101"/>
    </row>
    <row r="854">
      <c r="E854" s="101"/>
    </row>
    <row r="855">
      <c r="E855" s="101"/>
    </row>
    <row r="856">
      <c r="E856" s="101"/>
    </row>
    <row r="857">
      <c r="E857" s="101"/>
    </row>
    <row r="858">
      <c r="E858" s="101"/>
    </row>
    <row r="859">
      <c r="E859" s="101"/>
    </row>
    <row r="860">
      <c r="E860" s="101"/>
    </row>
    <row r="861">
      <c r="E861" s="101"/>
    </row>
    <row r="862">
      <c r="E862" s="101"/>
    </row>
    <row r="863">
      <c r="E863" s="101"/>
    </row>
    <row r="864">
      <c r="E864" s="101"/>
    </row>
    <row r="865">
      <c r="E865" s="101"/>
    </row>
    <row r="866">
      <c r="E866" s="101"/>
    </row>
    <row r="867">
      <c r="E867" s="101"/>
    </row>
    <row r="868">
      <c r="E868" s="101"/>
    </row>
    <row r="869">
      <c r="E869" s="101"/>
    </row>
    <row r="870">
      <c r="E870" s="101"/>
    </row>
    <row r="871">
      <c r="E871" s="101"/>
    </row>
    <row r="872">
      <c r="E872" s="101"/>
    </row>
    <row r="873">
      <c r="E873" s="101"/>
    </row>
    <row r="874">
      <c r="E874" s="101"/>
    </row>
    <row r="875">
      <c r="E875" s="101"/>
    </row>
    <row r="876">
      <c r="E876" s="101"/>
    </row>
    <row r="877">
      <c r="E877" s="101"/>
    </row>
    <row r="878">
      <c r="E878" s="101"/>
    </row>
    <row r="879">
      <c r="E879" s="101"/>
    </row>
    <row r="880">
      <c r="E880" s="101"/>
    </row>
    <row r="881">
      <c r="E881" s="101"/>
    </row>
    <row r="882">
      <c r="E882" s="101"/>
    </row>
    <row r="883">
      <c r="E883" s="101"/>
    </row>
    <row r="884">
      <c r="E884" s="101"/>
    </row>
    <row r="885">
      <c r="E885" s="101"/>
    </row>
    <row r="886">
      <c r="E886" s="101"/>
    </row>
    <row r="887">
      <c r="E887" s="101"/>
    </row>
    <row r="888">
      <c r="E888" s="101"/>
    </row>
    <row r="889">
      <c r="E889" s="101"/>
    </row>
    <row r="890">
      <c r="E890" s="101"/>
    </row>
    <row r="891">
      <c r="E891" s="101"/>
    </row>
    <row r="892">
      <c r="E892" s="101"/>
    </row>
    <row r="893">
      <c r="E893" s="101"/>
    </row>
    <row r="894">
      <c r="E894" s="101"/>
    </row>
    <row r="895">
      <c r="E895" s="101"/>
    </row>
    <row r="896">
      <c r="E896" s="101"/>
    </row>
    <row r="897">
      <c r="E897" s="101"/>
    </row>
    <row r="898">
      <c r="E898" s="101"/>
    </row>
    <row r="899">
      <c r="E899" s="101"/>
    </row>
    <row r="900">
      <c r="E900" s="101"/>
    </row>
    <row r="901">
      <c r="E901" s="101"/>
    </row>
    <row r="902">
      <c r="E902" s="101"/>
    </row>
    <row r="903">
      <c r="E903" s="101"/>
    </row>
    <row r="904">
      <c r="E904" s="101"/>
    </row>
    <row r="905">
      <c r="E905" s="101"/>
    </row>
    <row r="906">
      <c r="E906" s="101"/>
    </row>
    <row r="907">
      <c r="E907" s="101"/>
    </row>
    <row r="908">
      <c r="E908" s="101"/>
    </row>
    <row r="909">
      <c r="E909" s="101"/>
    </row>
    <row r="910">
      <c r="E910" s="101"/>
    </row>
    <row r="911">
      <c r="E911" s="101"/>
    </row>
    <row r="912">
      <c r="E912" s="101"/>
    </row>
    <row r="913">
      <c r="E913" s="101"/>
    </row>
    <row r="914">
      <c r="E914" s="101"/>
    </row>
    <row r="915">
      <c r="E915" s="101"/>
    </row>
    <row r="916">
      <c r="E916" s="101"/>
    </row>
    <row r="917">
      <c r="E917" s="101"/>
    </row>
    <row r="918">
      <c r="E918" s="101"/>
    </row>
    <row r="919">
      <c r="E919" s="101"/>
    </row>
    <row r="920">
      <c r="E920" s="101"/>
    </row>
    <row r="921">
      <c r="E921" s="101"/>
    </row>
    <row r="922">
      <c r="E922" s="101"/>
    </row>
    <row r="923">
      <c r="E923" s="101"/>
    </row>
    <row r="924">
      <c r="E924" s="101"/>
    </row>
    <row r="925">
      <c r="E925" s="101"/>
    </row>
    <row r="926">
      <c r="E926" s="101"/>
    </row>
    <row r="927">
      <c r="E927" s="101"/>
    </row>
    <row r="928">
      <c r="E928" s="101"/>
    </row>
    <row r="929">
      <c r="E929" s="101"/>
    </row>
    <row r="930">
      <c r="E930" s="101"/>
    </row>
    <row r="931">
      <c r="E931" s="101"/>
    </row>
    <row r="932">
      <c r="E932" s="101"/>
    </row>
    <row r="933">
      <c r="E933" s="101"/>
    </row>
    <row r="934">
      <c r="E934" s="101"/>
    </row>
    <row r="935">
      <c r="E935" s="101"/>
    </row>
    <row r="936">
      <c r="E936" s="101"/>
    </row>
    <row r="937">
      <c r="E937" s="101"/>
    </row>
    <row r="938">
      <c r="E938" s="101"/>
    </row>
    <row r="939">
      <c r="E939" s="101"/>
    </row>
    <row r="940">
      <c r="E940" s="101"/>
    </row>
    <row r="941">
      <c r="E941" s="101"/>
    </row>
    <row r="942">
      <c r="E942" s="101"/>
    </row>
    <row r="943">
      <c r="E943" s="101"/>
    </row>
    <row r="944">
      <c r="E944" s="101"/>
    </row>
    <row r="945">
      <c r="E945" s="101"/>
    </row>
    <row r="946">
      <c r="E946" s="101"/>
    </row>
    <row r="947">
      <c r="E947" s="101"/>
    </row>
    <row r="948">
      <c r="E948" s="101"/>
    </row>
    <row r="949">
      <c r="E949" s="101"/>
    </row>
    <row r="950">
      <c r="E950" s="101"/>
    </row>
    <row r="951">
      <c r="E951" s="101"/>
    </row>
    <row r="952">
      <c r="E952" s="101"/>
    </row>
    <row r="953">
      <c r="E953" s="101"/>
    </row>
    <row r="954">
      <c r="E954" s="101"/>
    </row>
    <row r="955">
      <c r="E955" s="101"/>
    </row>
    <row r="956">
      <c r="E956" s="101"/>
    </row>
    <row r="957">
      <c r="E957" s="101"/>
    </row>
    <row r="958">
      <c r="E958" s="101"/>
    </row>
    <row r="959">
      <c r="E959" s="101"/>
    </row>
    <row r="960">
      <c r="E960" s="101"/>
    </row>
    <row r="961">
      <c r="E961" s="101"/>
    </row>
    <row r="962">
      <c r="E962" s="101"/>
    </row>
    <row r="963">
      <c r="E963" s="101"/>
    </row>
    <row r="964">
      <c r="E964" s="101"/>
    </row>
    <row r="965">
      <c r="E965" s="101"/>
    </row>
    <row r="966">
      <c r="E966" s="101"/>
    </row>
    <row r="967">
      <c r="E967" s="101"/>
    </row>
    <row r="968">
      <c r="E968" s="101"/>
    </row>
    <row r="969">
      <c r="E969" s="101"/>
    </row>
    <row r="970">
      <c r="E970" s="101"/>
    </row>
    <row r="971">
      <c r="E971" s="101"/>
    </row>
    <row r="972">
      <c r="E972" s="101"/>
    </row>
    <row r="973">
      <c r="E973" s="101"/>
    </row>
    <row r="974">
      <c r="E974" s="101"/>
    </row>
    <row r="975">
      <c r="E975" s="101"/>
    </row>
    <row r="976">
      <c r="E976" s="101"/>
    </row>
    <row r="977">
      <c r="E977" s="101"/>
    </row>
    <row r="978">
      <c r="E978" s="101"/>
    </row>
    <row r="979">
      <c r="E979" s="101"/>
    </row>
    <row r="980">
      <c r="E980" s="101"/>
    </row>
    <row r="981">
      <c r="E981" s="101"/>
    </row>
    <row r="982">
      <c r="E982" s="101"/>
    </row>
    <row r="983">
      <c r="E983" s="101"/>
    </row>
    <row r="984">
      <c r="E984" s="101"/>
    </row>
    <row r="985">
      <c r="E985" s="101"/>
    </row>
    <row r="986">
      <c r="E986" s="101"/>
    </row>
    <row r="987">
      <c r="E987" s="101"/>
    </row>
    <row r="988">
      <c r="E988" s="101"/>
    </row>
    <row r="989">
      <c r="E989" s="101"/>
    </row>
    <row r="990">
      <c r="E990" s="101"/>
    </row>
    <row r="991">
      <c r="E991" s="101"/>
    </row>
    <row r="992">
      <c r="E992" s="101"/>
    </row>
    <row r="993">
      <c r="E993" s="101"/>
    </row>
    <row r="994">
      <c r="E994" s="101"/>
    </row>
    <row r="995">
      <c r="E995" s="101"/>
    </row>
    <row r="996">
      <c r="E996" s="101"/>
    </row>
    <row r="997">
      <c r="E997" s="101"/>
    </row>
    <row r="998">
      <c r="E998" s="101"/>
    </row>
    <row r="999">
      <c r="E999" s="101"/>
    </row>
    <row r="1000">
      <c r="E1000" s="101"/>
    </row>
    <row r="1001">
      <c r="E1001" s="101"/>
    </row>
    <row r="1002">
      <c r="E1002" s="101"/>
    </row>
    <row r="1003">
      <c r="E1003" s="101"/>
    </row>
    <row r="1004">
      <c r="E1004" s="101"/>
    </row>
  </sheetData>
  <autoFilter ref="$A$1:$J$53">
    <filterColumn colId="2">
      <filters blank="1">
        <filter val="Fulltime"/>
        <filter val="PPO"/>
      </filters>
    </filterColumn>
  </autoFilter>
  <mergeCells count="1">
    <mergeCell ref="D51:D53"/>
  </mergeCells>
  <dataValidations>
    <dataValidation type="list" allowBlank="1" showErrorMessage="1" sqref="C21">
      <formula1>"Fulltime,Internship,PPO,"</formula1>
    </dataValidation>
    <dataValidation type="custom" allowBlank="1" showDropDown="1" showErrorMessage="1" sqref="D21">
      <formula1>OR(NOT(ISERROR(DATEVALUE(D21))), AND(ISNUMBER(D21), LEFT(CELL("format", D21))="D"))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4" max="4" width="29.14"/>
    <col customWidth="1" min="5" max="5" width="48.43"/>
    <col customWidth="1" min="7" max="7" width="12.86"/>
    <col customWidth="1" min="12" max="12" width="76.71"/>
    <col customWidth="1" min="31" max="31" width="76.57"/>
    <col customWidth="1" min="32" max="32" width="80.0"/>
  </cols>
  <sheetData>
    <row r="1">
      <c r="A1" s="102" t="s">
        <v>961</v>
      </c>
      <c r="B1" s="103" t="s">
        <v>962</v>
      </c>
      <c r="C1" s="103" t="s">
        <v>963</v>
      </c>
      <c r="D1" s="103" t="s">
        <v>964</v>
      </c>
      <c r="E1" s="103" t="s">
        <v>35</v>
      </c>
      <c r="F1" s="104"/>
      <c r="G1" s="103" t="s">
        <v>965</v>
      </c>
      <c r="H1" s="103" t="s">
        <v>966</v>
      </c>
      <c r="I1" s="103" t="s">
        <v>967</v>
      </c>
      <c r="J1" s="103" t="s">
        <v>968</v>
      </c>
      <c r="K1" s="105" t="s">
        <v>969</v>
      </c>
      <c r="L1" s="103" t="s">
        <v>970</v>
      </c>
      <c r="M1" s="106" t="s">
        <v>971</v>
      </c>
      <c r="N1" s="106" t="s">
        <v>972</v>
      </c>
      <c r="O1" s="106" t="s">
        <v>973</v>
      </c>
      <c r="P1" s="106" t="s">
        <v>39</v>
      </c>
      <c r="Q1" s="45" t="s">
        <v>974</v>
      </c>
      <c r="R1" s="45" t="s">
        <v>975</v>
      </c>
      <c r="S1" s="45" t="s">
        <v>976</v>
      </c>
      <c r="T1" s="45" t="s">
        <v>977</v>
      </c>
      <c r="U1" s="45" t="s">
        <v>978</v>
      </c>
      <c r="V1" s="45" t="s">
        <v>36</v>
      </c>
      <c r="W1" s="45" t="s">
        <v>979</v>
      </c>
      <c r="X1" s="45" t="s">
        <v>980</v>
      </c>
      <c r="Y1" s="45" t="s">
        <v>981</v>
      </c>
      <c r="Z1" s="45" t="s">
        <v>982</v>
      </c>
      <c r="AA1" s="45" t="s">
        <v>983</v>
      </c>
      <c r="AB1" s="45" t="s">
        <v>984</v>
      </c>
      <c r="AC1" s="45" t="s">
        <v>985</v>
      </c>
      <c r="AD1" s="45" t="s">
        <v>986</v>
      </c>
      <c r="AE1" s="45" t="s">
        <v>987</v>
      </c>
      <c r="AF1" s="45" t="s">
        <v>988</v>
      </c>
      <c r="AG1" s="45" t="s">
        <v>989</v>
      </c>
      <c r="AH1" s="45" t="s">
        <v>990</v>
      </c>
      <c r="AI1" s="45" t="s">
        <v>991</v>
      </c>
      <c r="AJ1" s="45" t="s">
        <v>992</v>
      </c>
      <c r="AK1" s="45" t="s">
        <v>993</v>
      </c>
      <c r="AL1" s="45" t="s">
        <v>994</v>
      </c>
      <c r="AM1" s="45" t="s">
        <v>995</v>
      </c>
      <c r="AN1" s="45" t="s">
        <v>996</v>
      </c>
      <c r="AO1" s="45" t="s">
        <v>40</v>
      </c>
      <c r="AP1" s="45" t="s">
        <v>997</v>
      </c>
      <c r="AQ1" s="45" t="s">
        <v>998</v>
      </c>
      <c r="AS1" s="45" t="s">
        <v>999</v>
      </c>
      <c r="AT1" s="45" t="s">
        <v>1000</v>
      </c>
      <c r="AU1" s="45" t="s">
        <v>1001</v>
      </c>
    </row>
    <row r="2">
      <c r="A2" s="107"/>
      <c r="B2" s="108" t="s">
        <v>44</v>
      </c>
      <c r="C2" s="109" t="s">
        <v>14</v>
      </c>
      <c r="D2" s="108" t="s">
        <v>1002</v>
      </c>
      <c r="E2" s="108" t="s">
        <v>45</v>
      </c>
      <c r="F2" s="108">
        <v>0.0</v>
      </c>
      <c r="G2" s="110">
        <v>5.5743E11</v>
      </c>
      <c r="H2" s="111" t="s">
        <v>1003</v>
      </c>
      <c r="I2" s="111">
        <v>1090.0</v>
      </c>
      <c r="J2" s="111" t="s">
        <v>1003</v>
      </c>
      <c r="K2" s="108" t="s">
        <v>1003</v>
      </c>
      <c r="L2" s="112" t="s">
        <v>1004</v>
      </c>
      <c r="M2" s="106">
        <v>11983.0</v>
      </c>
      <c r="N2" s="113">
        <v>0.0</v>
      </c>
      <c r="O2" s="113" t="s">
        <v>1005</v>
      </c>
      <c r="P2" s="113" t="s">
        <v>46</v>
      </c>
      <c r="Q2" s="45" t="s">
        <v>1006</v>
      </c>
      <c r="R2" s="45">
        <v>98.0</v>
      </c>
      <c r="S2" s="45">
        <v>2019.0</v>
      </c>
      <c r="T2" s="45">
        <v>97.8</v>
      </c>
      <c r="U2" s="45">
        <v>2021.0</v>
      </c>
      <c r="V2" s="45">
        <v>8.65</v>
      </c>
      <c r="W2" s="45">
        <v>81.5</v>
      </c>
      <c r="X2" s="45">
        <v>2025.0</v>
      </c>
      <c r="Y2" s="45">
        <v>0.0</v>
      </c>
      <c r="Z2" s="45">
        <v>0.0</v>
      </c>
      <c r="AA2" s="45" t="s">
        <v>1007</v>
      </c>
      <c r="AB2" s="45" t="s">
        <v>1008</v>
      </c>
      <c r="AC2" s="45">
        <v>6.304816805E9</v>
      </c>
      <c r="AD2" s="45">
        <v>9.848094847E9</v>
      </c>
      <c r="AE2" s="45" t="s">
        <v>48</v>
      </c>
      <c r="AF2" s="45">
        <v>0.0</v>
      </c>
      <c r="AG2" s="45" t="s">
        <v>1009</v>
      </c>
      <c r="AH2" s="45" t="s">
        <v>1010</v>
      </c>
      <c r="AI2" s="45">
        <v>9.3</v>
      </c>
      <c r="AJ2" s="45">
        <v>8.59</v>
      </c>
      <c r="AK2" s="45">
        <v>8.61</v>
      </c>
      <c r="AL2" s="45">
        <v>0.0</v>
      </c>
      <c r="AM2" s="45">
        <v>8.67</v>
      </c>
      <c r="AN2" s="45">
        <v>8.65</v>
      </c>
      <c r="AO2" s="45" t="s">
        <v>27</v>
      </c>
      <c r="AQ2" s="45" t="s">
        <v>1011</v>
      </c>
      <c r="AT2" s="45" t="s">
        <v>1012</v>
      </c>
    </row>
    <row r="3">
      <c r="A3" s="107"/>
      <c r="B3" s="108" t="s">
        <v>49</v>
      </c>
      <c r="C3" s="109" t="s">
        <v>14</v>
      </c>
      <c r="D3" s="108" t="s">
        <v>1013</v>
      </c>
      <c r="E3" s="108" t="s">
        <v>50</v>
      </c>
      <c r="F3" s="108">
        <v>0.0</v>
      </c>
      <c r="G3" s="110">
        <v>7.93377E11</v>
      </c>
      <c r="H3" s="111" t="s">
        <v>1003</v>
      </c>
      <c r="I3" s="111">
        <v>793.0</v>
      </c>
      <c r="J3" s="111" t="s">
        <v>1003</v>
      </c>
      <c r="K3" s="108" t="s">
        <v>1003</v>
      </c>
      <c r="L3" s="112" t="s">
        <v>1014</v>
      </c>
      <c r="M3" s="106">
        <v>18615.0</v>
      </c>
      <c r="N3" s="113">
        <v>0.0</v>
      </c>
      <c r="O3" s="113" t="s">
        <v>1015</v>
      </c>
      <c r="P3" s="113" t="s">
        <v>46</v>
      </c>
      <c r="Q3" s="45" t="s">
        <v>1006</v>
      </c>
      <c r="R3" s="45">
        <v>78.6</v>
      </c>
      <c r="S3" s="45">
        <v>2019.0</v>
      </c>
      <c r="T3" s="45">
        <v>92.3</v>
      </c>
      <c r="U3" s="45">
        <v>2021.0</v>
      </c>
      <c r="V3" s="45">
        <v>7.88</v>
      </c>
      <c r="W3" s="45">
        <v>73.8</v>
      </c>
      <c r="X3" s="45">
        <v>2025.0</v>
      </c>
      <c r="Y3" s="45">
        <v>0.0</v>
      </c>
      <c r="Z3" s="45">
        <v>0.0</v>
      </c>
      <c r="AA3" s="45" t="s">
        <v>1016</v>
      </c>
      <c r="AB3" s="45" t="s">
        <v>1017</v>
      </c>
      <c r="AC3" s="45">
        <v>9.113214584E9</v>
      </c>
      <c r="AD3" s="45">
        <v>8.050549769E9</v>
      </c>
      <c r="AE3" s="45" t="s">
        <v>733</v>
      </c>
      <c r="AF3" s="45">
        <v>0.0</v>
      </c>
      <c r="AG3" s="45" t="s">
        <v>1018</v>
      </c>
      <c r="AH3" s="45" t="s">
        <v>1019</v>
      </c>
      <c r="AI3" s="45">
        <v>7.95</v>
      </c>
      <c r="AJ3" s="45">
        <v>7.9</v>
      </c>
      <c r="AK3" s="45">
        <v>7.59</v>
      </c>
      <c r="AL3" s="45">
        <v>0.0</v>
      </c>
      <c r="AM3" s="45">
        <v>7.87</v>
      </c>
      <c r="AN3" s="45">
        <v>7.88</v>
      </c>
      <c r="AO3" s="45" t="s">
        <v>27</v>
      </c>
      <c r="AQ3" s="45" t="s">
        <v>1011</v>
      </c>
      <c r="AT3" s="45" t="s">
        <v>1012</v>
      </c>
    </row>
    <row r="4">
      <c r="A4" s="107"/>
      <c r="B4" s="108" t="s">
        <v>53</v>
      </c>
      <c r="C4" s="109" t="s">
        <v>1020</v>
      </c>
      <c r="D4" s="108" t="s">
        <v>1021</v>
      </c>
      <c r="E4" s="108" t="s">
        <v>54</v>
      </c>
      <c r="F4" s="108">
        <v>0.0</v>
      </c>
      <c r="G4" s="110">
        <v>8.22831E11</v>
      </c>
      <c r="H4" s="111" t="s">
        <v>1003</v>
      </c>
      <c r="I4" s="111" t="s">
        <v>1003</v>
      </c>
      <c r="J4" s="111" t="s">
        <v>1003</v>
      </c>
      <c r="K4" s="108" t="s">
        <v>1003</v>
      </c>
      <c r="L4" s="112" t="s">
        <v>1022</v>
      </c>
      <c r="M4" s="106">
        <v>9510.0</v>
      </c>
      <c r="N4" s="113">
        <v>0.0</v>
      </c>
      <c r="O4" s="113" t="s">
        <v>1023</v>
      </c>
      <c r="P4" s="113" t="s">
        <v>46</v>
      </c>
      <c r="Q4" s="45" t="s">
        <v>1006</v>
      </c>
      <c r="R4" s="45">
        <v>98.0</v>
      </c>
      <c r="S4" s="45">
        <v>2019.0</v>
      </c>
      <c r="T4" s="45">
        <v>98.2</v>
      </c>
      <c r="U4" s="45">
        <v>2021.0</v>
      </c>
      <c r="V4" s="45">
        <v>8.57</v>
      </c>
      <c r="W4" s="45">
        <v>80.7</v>
      </c>
      <c r="X4" s="45">
        <v>2025.0</v>
      </c>
      <c r="Y4" s="45">
        <v>0.0</v>
      </c>
      <c r="Z4" s="45">
        <v>0.0</v>
      </c>
      <c r="AA4" s="45" t="s">
        <v>1024</v>
      </c>
      <c r="AB4" s="45" t="s">
        <v>1025</v>
      </c>
      <c r="AC4" s="45">
        <v>7.207874156E9</v>
      </c>
      <c r="AD4" s="45">
        <v>9.866548969E9</v>
      </c>
      <c r="AE4" s="45" t="s">
        <v>52</v>
      </c>
      <c r="AF4" s="45">
        <v>0.0</v>
      </c>
      <c r="AG4" s="45" t="s">
        <v>1026</v>
      </c>
      <c r="AH4" s="45" t="s">
        <v>1027</v>
      </c>
      <c r="AI4" s="45">
        <v>8.65</v>
      </c>
      <c r="AJ4" s="45">
        <v>8.76</v>
      </c>
      <c r="AK4" s="45">
        <v>8.25</v>
      </c>
      <c r="AL4" s="45">
        <v>0.0</v>
      </c>
      <c r="AM4" s="45">
        <v>8.5</v>
      </c>
      <c r="AN4" s="45">
        <v>8.57</v>
      </c>
      <c r="AO4" s="45" t="s">
        <v>27</v>
      </c>
      <c r="AQ4" s="45" t="s">
        <v>1011</v>
      </c>
      <c r="AT4" s="45" t="s">
        <v>1028</v>
      </c>
    </row>
    <row r="5">
      <c r="A5" s="107"/>
      <c r="B5" s="108" t="s">
        <v>55</v>
      </c>
      <c r="C5" s="109" t="s">
        <v>1029</v>
      </c>
      <c r="D5" s="108" t="s">
        <v>1030</v>
      </c>
      <c r="E5" s="108" t="s">
        <v>56</v>
      </c>
      <c r="F5" s="108">
        <v>0.0</v>
      </c>
      <c r="G5" s="110">
        <v>4.71952E11</v>
      </c>
      <c r="H5" s="111" t="s">
        <v>1003</v>
      </c>
      <c r="I5" s="111" t="s">
        <v>1003</v>
      </c>
      <c r="J5" s="111" t="s">
        <v>1003</v>
      </c>
      <c r="K5" s="108" t="s">
        <v>1003</v>
      </c>
      <c r="L5" s="112" t="s">
        <v>1031</v>
      </c>
      <c r="M5" s="106">
        <v>0.0</v>
      </c>
      <c r="N5" s="113">
        <v>0.0</v>
      </c>
      <c r="O5" s="106" t="s">
        <v>1032</v>
      </c>
      <c r="P5" s="106" t="s">
        <v>46</v>
      </c>
      <c r="Q5" s="45" t="s">
        <v>1006</v>
      </c>
      <c r="R5" s="45">
        <v>65.6</v>
      </c>
      <c r="S5" s="45">
        <v>2019.0</v>
      </c>
      <c r="T5" s="45">
        <v>94.0</v>
      </c>
      <c r="U5" s="45">
        <v>2021.0</v>
      </c>
      <c r="V5" s="45">
        <v>0.0</v>
      </c>
      <c r="W5" s="45">
        <v>-5.0</v>
      </c>
      <c r="X5" s="45">
        <v>2025.0</v>
      </c>
      <c r="Y5" s="45">
        <v>2.0</v>
      </c>
      <c r="Z5" s="45">
        <v>4.0</v>
      </c>
      <c r="AA5" s="45" t="s">
        <v>1033</v>
      </c>
      <c r="AB5" s="45" t="s">
        <v>1034</v>
      </c>
      <c r="AC5" s="45">
        <v>7.989638007E9</v>
      </c>
      <c r="AD5" s="45">
        <v>9.989484569E9</v>
      </c>
      <c r="AE5" s="45">
        <v>0.0</v>
      </c>
      <c r="AF5" s="45">
        <v>0.0</v>
      </c>
      <c r="AG5" s="45" t="s">
        <v>1035</v>
      </c>
      <c r="AH5" s="45" t="s">
        <v>1036</v>
      </c>
      <c r="AI5" s="45">
        <v>0.0</v>
      </c>
      <c r="AJ5" s="45">
        <v>0.0</v>
      </c>
      <c r="AK5" s="45">
        <v>0.0</v>
      </c>
      <c r="AL5" s="45">
        <v>0.0</v>
      </c>
      <c r="AM5" s="45">
        <v>5.92</v>
      </c>
      <c r="AN5" s="45">
        <v>0.0</v>
      </c>
      <c r="AO5" s="45" t="s">
        <v>28</v>
      </c>
      <c r="AQ5" s="45" t="s">
        <v>1011</v>
      </c>
      <c r="AT5" s="45" t="s">
        <v>1012</v>
      </c>
    </row>
    <row r="6">
      <c r="A6" s="107"/>
      <c r="B6" s="108" t="s">
        <v>58</v>
      </c>
      <c r="C6" s="109" t="s">
        <v>1037</v>
      </c>
      <c r="D6" s="108" t="s">
        <v>1038</v>
      </c>
      <c r="E6" s="108" t="s">
        <v>59</v>
      </c>
      <c r="F6" s="108">
        <v>0.0</v>
      </c>
      <c r="G6" s="110">
        <v>7.63752E11</v>
      </c>
      <c r="H6" s="111" t="s">
        <v>1003</v>
      </c>
      <c r="I6" s="111">
        <v>817.0</v>
      </c>
      <c r="J6" s="111" t="s">
        <v>1003</v>
      </c>
      <c r="K6" s="108" t="s">
        <v>1003</v>
      </c>
      <c r="L6" s="112" t="s">
        <v>1039</v>
      </c>
      <c r="M6" s="106">
        <v>10417.0</v>
      </c>
      <c r="N6" s="113">
        <v>0.0</v>
      </c>
      <c r="O6" s="106" t="s">
        <v>1040</v>
      </c>
      <c r="P6" s="106" t="s">
        <v>60</v>
      </c>
      <c r="Q6" s="45" t="s">
        <v>1006</v>
      </c>
      <c r="R6" s="45">
        <v>97.0</v>
      </c>
      <c r="S6" s="45">
        <v>2019.0</v>
      </c>
      <c r="T6" s="45">
        <v>96.2</v>
      </c>
      <c r="U6" s="45">
        <v>2021.0</v>
      </c>
      <c r="V6" s="45">
        <v>9.03</v>
      </c>
      <c r="W6" s="45">
        <v>85.3</v>
      </c>
      <c r="X6" s="45">
        <v>2025.0</v>
      </c>
      <c r="Y6" s="45">
        <v>0.0</v>
      </c>
      <c r="Z6" s="45">
        <v>0.0</v>
      </c>
      <c r="AA6" s="45" t="s">
        <v>1041</v>
      </c>
      <c r="AB6" s="45" t="s">
        <v>1042</v>
      </c>
      <c r="AC6" s="45">
        <v>9.392288747E9</v>
      </c>
      <c r="AD6" s="45">
        <v>9.849317523E9</v>
      </c>
      <c r="AE6" s="45" t="s">
        <v>62</v>
      </c>
      <c r="AF6" s="45" t="s">
        <v>61</v>
      </c>
      <c r="AG6" s="45" t="s">
        <v>1043</v>
      </c>
      <c r="AH6" s="45" t="s">
        <v>1044</v>
      </c>
      <c r="AI6" s="45">
        <v>9.35</v>
      </c>
      <c r="AJ6" s="45">
        <v>8.88</v>
      </c>
      <c r="AK6" s="45">
        <v>8.59</v>
      </c>
      <c r="AL6" s="45">
        <v>0.0</v>
      </c>
      <c r="AM6" s="45">
        <v>9.02</v>
      </c>
      <c r="AN6" s="45">
        <v>9.03</v>
      </c>
      <c r="AO6" s="45" t="s">
        <v>27</v>
      </c>
      <c r="AQ6" s="45" t="s">
        <v>1011</v>
      </c>
      <c r="AT6" s="45" t="s">
        <v>1012</v>
      </c>
    </row>
    <row r="7">
      <c r="A7" s="107"/>
      <c r="B7" s="108" t="s">
        <v>64</v>
      </c>
      <c r="C7" s="109" t="s">
        <v>1045</v>
      </c>
      <c r="D7" s="108" t="s">
        <v>1046</v>
      </c>
      <c r="E7" s="108" t="s">
        <v>65</v>
      </c>
      <c r="F7" s="108">
        <v>0.0</v>
      </c>
      <c r="G7" s="110">
        <v>5.75172E11</v>
      </c>
      <c r="H7" s="111" t="s">
        <v>1003</v>
      </c>
      <c r="I7" s="111">
        <v>622.0</v>
      </c>
      <c r="J7" s="111" t="s">
        <v>1003</v>
      </c>
      <c r="K7" s="108" t="s">
        <v>1003</v>
      </c>
      <c r="L7" s="112" t="s">
        <v>1047</v>
      </c>
      <c r="M7" s="106">
        <v>13624.0</v>
      </c>
      <c r="N7" s="113">
        <v>0.0</v>
      </c>
      <c r="O7" s="106" t="s">
        <v>1048</v>
      </c>
      <c r="P7" s="106" t="s">
        <v>46</v>
      </c>
      <c r="Q7" s="45" t="s">
        <v>1006</v>
      </c>
      <c r="R7" s="45">
        <v>97.0</v>
      </c>
      <c r="S7" s="45">
        <v>2019.0</v>
      </c>
      <c r="T7" s="45">
        <v>98.0</v>
      </c>
      <c r="U7" s="45">
        <v>2021.0</v>
      </c>
      <c r="V7" s="45">
        <v>8.19</v>
      </c>
      <c r="W7" s="45">
        <v>76.9</v>
      </c>
      <c r="X7" s="45">
        <v>2025.0</v>
      </c>
      <c r="Y7" s="45">
        <v>0.0</v>
      </c>
      <c r="Z7" s="45">
        <v>0.0</v>
      </c>
      <c r="AA7" s="45" t="s">
        <v>1049</v>
      </c>
      <c r="AB7" s="45" t="s">
        <v>1050</v>
      </c>
      <c r="AC7" s="45">
        <v>8.328144785E9</v>
      </c>
      <c r="AD7" s="45">
        <v>8.106810384E9</v>
      </c>
      <c r="AE7" s="45" t="s">
        <v>62</v>
      </c>
      <c r="AF7" s="45">
        <v>0.0</v>
      </c>
      <c r="AG7" s="45" t="s">
        <v>1051</v>
      </c>
      <c r="AH7" s="45" t="s">
        <v>1052</v>
      </c>
      <c r="AI7" s="45">
        <v>8.68</v>
      </c>
      <c r="AJ7" s="45">
        <v>8.15</v>
      </c>
      <c r="AK7" s="45">
        <v>8.41</v>
      </c>
      <c r="AL7" s="45">
        <v>0.0</v>
      </c>
      <c r="AM7" s="45">
        <v>8.17</v>
      </c>
      <c r="AN7" s="45">
        <v>8.19</v>
      </c>
      <c r="AO7" s="45" t="s">
        <v>27</v>
      </c>
      <c r="AQ7" s="45" t="s">
        <v>1011</v>
      </c>
      <c r="AT7" s="45" t="s">
        <v>1012</v>
      </c>
    </row>
    <row r="8">
      <c r="A8" s="107"/>
      <c r="B8" s="108" t="s">
        <v>67</v>
      </c>
      <c r="C8" s="109" t="s">
        <v>1053</v>
      </c>
      <c r="D8" s="108" t="s">
        <v>1054</v>
      </c>
      <c r="E8" s="108" t="s">
        <v>68</v>
      </c>
      <c r="F8" s="108">
        <v>0.0</v>
      </c>
      <c r="G8" s="110">
        <v>6.52568E11</v>
      </c>
      <c r="H8" s="111" t="s">
        <v>1003</v>
      </c>
      <c r="I8" s="111">
        <v>980.0</v>
      </c>
      <c r="J8" s="111" t="s">
        <v>1003</v>
      </c>
      <c r="K8" s="108" t="s">
        <v>1003</v>
      </c>
      <c r="L8" s="112" t="s">
        <v>1055</v>
      </c>
      <c r="M8" s="106">
        <v>13864.0</v>
      </c>
      <c r="N8" s="113">
        <v>0.0</v>
      </c>
      <c r="O8" s="106" t="s">
        <v>1056</v>
      </c>
      <c r="P8" s="106" t="s">
        <v>46</v>
      </c>
      <c r="Q8" s="45" t="s">
        <v>1006</v>
      </c>
      <c r="R8" s="45">
        <v>100.0</v>
      </c>
      <c r="S8" s="45">
        <v>2019.0</v>
      </c>
      <c r="T8" s="45">
        <v>98.8</v>
      </c>
      <c r="U8" s="45">
        <v>2021.0</v>
      </c>
      <c r="V8" s="45">
        <v>9.06</v>
      </c>
      <c r="W8" s="45">
        <v>85.6</v>
      </c>
      <c r="X8" s="45">
        <v>2025.0</v>
      </c>
      <c r="Y8" s="45">
        <v>0.0</v>
      </c>
      <c r="Z8" s="45">
        <v>0.0</v>
      </c>
      <c r="AA8" s="45" t="s">
        <v>1057</v>
      </c>
      <c r="AB8" s="45" t="s">
        <v>1058</v>
      </c>
      <c r="AC8" s="45">
        <v>6.304690288E9</v>
      </c>
      <c r="AD8" s="45">
        <v>9.392464449E9</v>
      </c>
      <c r="AE8" s="45" t="s">
        <v>52</v>
      </c>
      <c r="AF8" s="45">
        <v>0.0</v>
      </c>
      <c r="AG8" s="45" t="s">
        <v>1059</v>
      </c>
      <c r="AH8" s="45" t="s">
        <v>1060</v>
      </c>
      <c r="AI8" s="45">
        <v>9.68</v>
      </c>
      <c r="AJ8" s="45">
        <v>9.1</v>
      </c>
      <c r="AK8" s="45">
        <v>8.73</v>
      </c>
      <c r="AL8" s="45">
        <v>0.0</v>
      </c>
      <c r="AM8" s="45">
        <v>9.08</v>
      </c>
      <c r="AN8" s="45">
        <v>9.06</v>
      </c>
      <c r="AO8" s="45" t="s">
        <v>27</v>
      </c>
      <c r="AQ8" s="45" t="s">
        <v>1011</v>
      </c>
      <c r="AT8" s="45" t="s">
        <v>1012</v>
      </c>
    </row>
    <row r="9">
      <c r="A9" s="107"/>
      <c r="B9" s="108" t="s">
        <v>70</v>
      </c>
      <c r="C9" s="109" t="s">
        <v>1061</v>
      </c>
      <c r="D9" s="108" t="s">
        <v>1062</v>
      </c>
      <c r="E9" s="108" t="s">
        <v>71</v>
      </c>
      <c r="F9" s="108">
        <v>0.0</v>
      </c>
      <c r="G9" s="110">
        <v>4.68008E11</v>
      </c>
      <c r="H9" s="111" t="s">
        <v>1003</v>
      </c>
      <c r="I9" s="111" t="s">
        <v>1003</v>
      </c>
      <c r="J9" s="111" t="s">
        <v>1003</v>
      </c>
      <c r="K9" s="108" t="s">
        <v>1003</v>
      </c>
      <c r="L9" s="112" t="s">
        <v>1031</v>
      </c>
      <c r="M9" s="106">
        <v>19000.0</v>
      </c>
      <c r="N9" s="113">
        <v>0.0</v>
      </c>
      <c r="O9" s="114">
        <v>37752.0</v>
      </c>
      <c r="P9" s="106" t="s">
        <v>46</v>
      </c>
      <c r="Q9" s="45" t="s">
        <v>1006</v>
      </c>
      <c r="R9" s="45">
        <v>88.0</v>
      </c>
      <c r="S9" s="45">
        <v>2019.0</v>
      </c>
      <c r="T9" s="45">
        <v>88.0</v>
      </c>
      <c r="U9" s="45">
        <v>2021.0</v>
      </c>
      <c r="V9" s="45">
        <v>6.91</v>
      </c>
      <c r="W9" s="45">
        <v>64.1</v>
      </c>
      <c r="X9" s="45">
        <v>2025.0</v>
      </c>
      <c r="Y9" s="45">
        <v>0.0</v>
      </c>
      <c r="Z9" s="45">
        <v>0.0</v>
      </c>
      <c r="AA9" s="45" t="s">
        <v>1063</v>
      </c>
      <c r="AB9" s="45" t="s">
        <v>1064</v>
      </c>
      <c r="AC9" s="45">
        <v>9.959296937E9</v>
      </c>
      <c r="AD9" s="45">
        <v>8.4979733E9</v>
      </c>
      <c r="AE9" s="45">
        <v>0.0</v>
      </c>
      <c r="AF9" s="45">
        <v>0.0</v>
      </c>
      <c r="AG9" s="45" t="s">
        <v>1065</v>
      </c>
      <c r="AH9" s="45" t="s">
        <v>1066</v>
      </c>
      <c r="AI9" s="45">
        <v>7.27</v>
      </c>
      <c r="AJ9" s="45">
        <v>7.22</v>
      </c>
      <c r="AK9" s="45">
        <v>6.95</v>
      </c>
      <c r="AL9" s="45">
        <v>0.0</v>
      </c>
      <c r="AM9" s="45">
        <v>6.92</v>
      </c>
      <c r="AN9" s="45">
        <v>6.91</v>
      </c>
      <c r="AO9" s="45" t="s">
        <v>27</v>
      </c>
      <c r="AQ9" s="45" t="s">
        <v>1011</v>
      </c>
      <c r="AT9" s="45" t="s">
        <v>1028</v>
      </c>
    </row>
    <row r="10">
      <c r="A10" s="107"/>
      <c r="B10" s="108" t="s">
        <v>73</v>
      </c>
      <c r="C10" s="109" t="s">
        <v>1067</v>
      </c>
      <c r="D10" s="108" t="s">
        <v>1068</v>
      </c>
      <c r="E10" s="108" t="s">
        <v>74</v>
      </c>
      <c r="F10" s="108">
        <v>0.0</v>
      </c>
      <c r="G10" s="110">
        <v>7.8059E11</v>
      </c>
      <c r="H10" s="111" t="s">
        <v>1003</v>
      </c>
      <c r="I10" s="111" t="s">
        <v>1003</v>
      </c>
      <c r="J10" s="111" t="s">
        <v>1003</v>
      </c>
      <c r="K10" s="108" t="s">
        <v>1003</v>
      </c>
      <c r="L10" s="115"/>
      <c r="M10" s="106">
        <v>34431.0</v>
      </c>
      <c r="N10" s="113">
        <v>0.0</v>
      </c>
      <c r="O10" s="106" t="s">
        <v>1069</v>
      </c>
      <c r="P10" s="106" t="s">
        <v>60</v>
      </c>
      <c r="Q10" s="45" t="s">
        <v>1006</v>
      </c>
      <c r="R10" s="45">
        <v>97.0</v>
      </c>
      <c r="S10" s="45">
        <v>2019.0</v>
      </c>
      <c r="T10" s="45">
        <v>89.0</v>
      </c>
      <c r="U10" s="45">
        <v>2021.0</v>
      </c>
      <c r="V10" s="45">
        <v>8.65</v>
      </c>
      <c r="W10" s="45">
        <v>81.5</v>
      </c>
      <c r="X10" s="45">
        <v>2025.0</v>
      </c>
      <c r="Y10" s="45">
        <v>0.0</v>
      </c>
      <c r="Z10" s="45">
        <v>0.0</v>
      </c>
      <c r="AA10" s="45" t="s">
        <v>1070</v>
      </c>
      <c r="AB10" s="45" t="s">
        <v>1071</v>
      </c>
      <c r="AC10" s="45">
        <v>8.977532025E9</v>
      </c>
      <c r="AD10" s="45">
        <v>8.639216585E9</v>
      </c>
      <c r="AE10" s="45">
        <v>0.0</v>
      </c>
      <c r="AF10" s="45">
        <v>0.0</v>
      </c>
      <c r="AG10" s="45" t="s">
        <v>1072</v>
      </c>
      <c r="AH10" s="45" t="s">
        <v>1073</v>
      </c>
      <c r="AI10" s="45">
        <v>8.76</v>
      </c>
      <c r="AJ10" s="45">
        <v>8.39</v>
      </c>
      <c r="AK10" s="45">
        <v>8.86</v>
      </c>
      <c r="AL10" s="45">
        <v>0.0</v>
      </c>
      <c r="AM10" s="45">
        <v>8.65</v>
      </c>
      <c r="AN10" s="45">
        <v>8.65</v>
      </c>
      <c r="AO10" s="45" t="s">
        <v>27</v>
      </c>
      <c r="AQ10" s="45" t="s">
        <v>1011</v>
      </c>
      <c r="AT10" s="45" t="s">
        <v>1012</v>
      </c>
    </row>
    <row r="11">
      <c r="A11" s="107"/>
      <c r="B11" s="108" t="s">
        <v>76</v>
      </c>
      <c r="C11" s="109" t="s">
        <v>1074</v>
      </c>
      <c r="D11" s="108" t="s">
        <v>1075</v>
      </c>
      <c r="E11" s="108" t="s">
        <v>77</v>
      </c>
      <c r="F11" s="108">
        <v>0.0</v>
      </c>
      <c r="G11" s="110">
        <v>4.28688E11</v>
      </c>
      <c r="H11" s="111" t="s">
        <v>1003</v>
      </c>
      <c r="I11" s="111">
        <v>792.0</v>
      </c>
      <c r="J11" s="111" t="s">
        <v>1003</v>
      </c>
      <c r="K11" s="108" t="s">
        <v>1003</v>
      </c>
      <c r="L11" s="112" t="s">
        <v>1076</v>
      </c>
      <c r="M11" s="106">
        <v>7857.0</v>
      </c>
      <c r="N11" s="113">
        <v>0.0</v>
      </c>
      <c r="O11" s="106" t="s">
        <v>1077</v>
      </c>
      <c r="P11" s="106" t="s">
        <v>46</v>
      </c>
      <c r="Q11" s="45" t="s">
        <v>1006</v>
      </c>
      <c r="R11" s="45">
        <v>93.6</v>
      </c>
      <c r="S11" s="45">
        <v>2019.0</v>
      </c>
      <c r="T11" s="45">
        <v>93.0</v>
      </c>
      <c r="U11" s="45">
        <v>2021.0</v>
      </c>
      <c r="V11" s="45">
        <v>9.23</v>
      </c>
      <c r="W11" s="45">
        <v>87.3</v>
      </c>
      <c r="X11" s="45">
        <v>2025.0</v>
      </c>
      <c r="Y11" s="45">
        <v>0.0</v>
      </c>
      <c r="Z11" s="45">
        <v>0.0</v>
      </c>
      <c r="AA11" s="45" t="s">
        <v>1078</v>
      </c>
      <c r="AB11" s="45" t="s">
        <v>1079</v>
      </c>
      <c r="AC11" s="45">
        <v>9.515937457E9</v>
      </c>
      <c r="AD11" s="45">
        <v>9.440821566E9</v>
      </c>
      <c r="AE11" s="45" t="s">
        <v>78</v>
      </c>
      <c r="AF11" s="45">
        <v>0.0</v>
      </c>
      <c r="AG11" s="45" t="s">
        <v>1080</v>
      </c>
      <c r="AH11" s="45" t="s">
        <v>1081</v>
      </c>
      <c r="AI11" s="45">
        <v>9.59</v>
      </c>
      <c r="AJ11" s="45">
        <v>9.12</v>
      </c>
      <c r="AK11" s="45">
        <v>9.0</v>
      </c>
      <c r="AL11" s="45">
        <v>0.0</v>
      </c>
      <c r="AM11" s="45">
        <v>9.29</v>
      </c>
      <c r="AN11" s="45">
        <v>9.23</v>
      </c>
      <c r="AO11" s="45" t="s">
        <v>27</v>
      </c>
      <c r="AQ11" s="45" t="s">
        <v>1011</v>
      </c>
      <c r="AT11" s="45" t="s">
        <v>1012</v>
      </c>
    </row>
    <row r="12">
      <c r="A12" s="107"/>
      <c r="B12" s="108" t="s">
        <v>81</v>
      </c>
      <c r="C12" s="109" t="s">
        <v>1082</v>
      </c>
      <c r="D12" s="108" t="s">
        <v>1083</v>
      </c>
      <c r="E12" s="108" t="s">
        <v>82</v>
      </c>
      <c r="F12" s="108">
        <v>0.0</v>
      </c>
      <c r="G12" s="110">
        <v>8.13637E11</v>
      </c>
      <c r="H12" s="111" t="s">
        <v>1003</v>
      </c>
      <c r="I12" s="111">
        <v>726.0</v>
      </c>
      <c r="J12" s="111" t="s">
        <v>1003</v>
      </c>
      <c r="K12" s="108" t="s">
        <v>1003</v>
      </c>
      <c r="L12" s="112" t="s">
        <v>1084</v>
      </c>
      <c r="M12" s="106">
        <v>0.0</v>
      </c>
      <c r="N12" s="113">
        <v>0.0</v>
      </c>
      <c r="O12" s="106" t="s">
        <v>1085</v>
      </c>
      <c r="P12" s="106" t="s">
        <v>46</v>
      </c>
      <c r="Q12" s="45" t="s">
        <v>1006</v>
      </c>
      <c r="R12" s="45">
        <v>85.0</v>
      </c>
      <c r="S12" s="45">
        <v>2019.0</v>
      </c>
      <c r="T12" s="45">
        <v>76.0</v>
      </c>
      <c r="U12" s="45">
        <v>2021.0</v>
      </c>
      <c r="V12" s="45">
        <v>7.16</v>
      </c>
      <c r="W12" s="45">
        <v>66.6</v>
      </c>
      <c r="X12" s="45">
        <v>2025.0</v>
      </c>
      <c r="Y12" s="45">
        <v>1.0</v>
      </c>
      <c r="Z12" s="45">
        <v>0.0</v>
      </c>
      <c r="AA12" s="45" t="s">
        <v>1086</v>
      </c>
      <c r="AB12" s="45" t="s">
        <v>1087</v>
      </c>
      <c r="AC12" s="45">
        <v>8.977002799E9</v>
      </c>
      <c r="AD12" s="45">
        <v>9.346044469E9</v>
      </c>
      <c r="AE12" s="45" t="s">
        <v>83</v>
      </c>
      <c r="AF12" s="45">
        <v>0.0</v>
      </c>
      <c r="AG12" s="45" t="s">
        <v>1088</v>
      </c>
      <c r="AH12" s="45" t="s">
        <v>1089</v>
      </c>
      <c r="AI12" s="45">
        <v>7.11</v>
      </c>
      <c r="AJ12" s="45">
        <v>0.0</v>
      </c>
      <c r="AK12" s="45">
        <v>7.25</v>
      </c>
      <c r="AL12" s="45">
        <v>0.0</v>
      </c>
      <c r="AM12" s="45">
        <v>7.01</v>
      </c>
      <c r="AN12" s="45">
        <v>0.0</v>
      </c>
      <c r="AO12" s="45" t="s">
        <v>28</v>
      </c>
      <c r="AQ12" s="45" t="s">
        <v>1011</v>
      </c>
      <c r="AT12" s="45" t="s">
        <v>1012</v>
      </c>
    </row>
    <row r="13">
      <c r="A13" s="107"/>
      <c r="B13" s="108" t="s">
        <v>84</v>
      </c>
      <c r="C13" s="109" t="s">
        <v>1090</v>
      </c>
      <c r="D13" s="108" t="s">
        <v>1091</v>
      </c>
      <c r="E13" s="108" t="s">
        <v>85</v>
      </c>
      <c r="F13" s="108">
        <v>0.0</v>
      </c>
      <c r="G13" s="110">
        <v>5.05321E11</v>
      </c>
      <c r="H13" s="111" t="s">
        <v>1003</v>
      </c>
      <c r="I13" s="111">
        <v>870.0</v>
      </c>
      <c r="J13" s="111" t="s">
        <v>1003</v>
      </c>
      <c r="K13" s="108" t="s">
        <v>1003</v>
      </c>
      <c r="L13" s="112" t="s">
        <v>1092</v>
      </c>
      <c r="M13" s="106">
        <v>8514.0</v>
      </c>
      <c r="N13" s="113">
        <v>0.0</v>
      </c>
      <c r="O13" s="114">
        <v>38261.0</v>
      </c>
      <c r="P13" s="106" t="s">
        <v>60</v>
      </c>
      <c r="Q13" s="45" t="s">
        <v>1006</v>
      </c>
      <c r="R13" s="45">
        <v>98.0</v>
      </c>
      <c r="S13" s="45">
        <v>2019.0</v>
      </c>
      <c r="T13" s="45">
        <v>98.0</v>
      </c>
      <c r="U13" s="45">
        <v>2021.0</v>
      </c>
      <c r="V13" s="45">
        <v>8.48</v>
      </c>
      <c r="W13" s="45">
        <v>79.8</v>
      </c>
      <c r="X13" s="45">
        <v>2025.0</v>
      </c>
      <c r="Y13" s="45">
        <v>0.0</v>
      </c>
      <c r="Z13" s="45">
        <v>0.0</v>
      </c>
      <c r="AA13" s="45" t="s">
        <v>1093</v>
      </c>
      <c r="AB13" s="45" t="s">
        <v>1094</v>
      </c>
      <c r="AC13" s="45">
        <v>7.382699004E9</v>
      </c>
      <c r="AD13" s="45">
        <v>9.963349004E9</v>
      </c>
      <c r="AE13" s="45" t="s">
        <v>86</v>
      </c>
      <c r="AF13" s="45">
        <v>0.0</v>
      </c>
      <c r="AG13" s="45" t="s">
        <v>1095</v>
      </c>
      <c r="AH13" s="45" t="s">
        <v>1096</v>
      </c>
      <c r="AI13" s="45">
        <v>8.43</v>
      </c>
      <c r="AJ13" s="45">
        <v>8.76</v>
      </c>
      <c r="AK13" s="45">
        <v>8.66</v>
      </c>
      <c r="AL13" s="45">
        <v>0.0</v>
      </c>
      <c r="AM13" s="45">
        <v>8.45</v>
      </c>
      <c r="AN13" s="45">
        <v>8.48</v>
      </c>
      <c r="AO13" s="45" t="s">
        <v>27</v>
      </c>
      <c r="AQ13" s="45" t="s">
        <v>1011</v>
      </c>
      <c r="AT13" s="45" t="s">
        <v>1028</v>
      </c>
    </row>
    <row r="14">
      <c r="A14" s="107"/>
      <c r="B14" s="108" t="s">
        <v>88</v>
      </c>
      <c r="C14" s="109" t="s">
        <v>1097</v>
      </c>
      <c r="D14" s="108" t="s">
        <v>1098</v>
      </c>
      <c r="E14" s="108" t="s">
        <v>89</v>
      </c>
      <c r="F14" s="108">
        <v>0.0</v>
      </c>
      <c r="G14" s="110">
        <v>6.48387E11</v>
      </c>
      <c r="H14" s="111" t="s">
        <v>1003</v>
      </c>
      <c r="I14" s="111">
        <v>757.0</v>
      </c>
      <c r="J14" s="111" t="s">
        <v>1003</v>
      </c>
      <c r="K14" s="108" t="s">
        <v>1003</v>
      </c>
      <c r="L14" s="112" t="s">
        <v>1084</v>
      </c>
      <c r="M14" s="106">
        <v>26162.0</v>
      </c>
      <c r="N14" s="113">
        <v>0.0</v>
      </c>
      <c r="O14" s="106" t="s">
        <v>1099</v>
      </c>
      <c r="P14" s="106" t="s">
        <v>60</v>
      </c>
      <c r="Q14" s="45" t="s">
        <v>1006</v>
      </c>
      <c r="R14" s="45">
        <v>87.0</v>
      </c>
      <c r="S14" s="45">
        <v>2019.0</v>
      </c>
      <c r="T14" s="45">
        <v>90.0</v>
      </c>
      <c r="U14" s="45">
        <v>2021.0</v>
      </c>
      <c r="V14" s="45">
        <v>7.77</v>
      </c>
      <c r="W14" s="45">
        <v>72.7</v>
      </c>
      <c r="X14" s="45">
        <v>2025.0</v>
      </c>
      <c r="Y14" s="45">
        <v>0.0</v>
      </c>
      <c r="Z14" s="45">
        <v>0.0</v>
      </c>
      <c r="AA14" s="45" t="s">
        <v>1100</v>
      </c>
      <c r="AB14" s="45" t="s">
        <v>1101</v>
      </c>
      <c r="AC14" s="45">
        <v>6.302184161E9</v>
      </c>
      <c r="AD14" s="45">
        <v>9.652404797E9</v>
      </c>
      <c r="AE14" s="45">
        <v>0.0</v>
      </c>
      <c r="AF14" s="45">
        <v>0.0</v>
      </c>
      <c r="AG14" s="45" t="s">
        <v>1102</v>
      </c>
      <c r="AH14" s="45" t="s">
        <v>1103</v>
      </c>
      <c r="AI14" s="45">
        <v>7.54</v>
      </c>
      <c r="AJ14" s="45">
        <v>7.83</v>
      </c>
      <c r="AK14" s="45">
        <v>7.68</v>
      </c>
      <c r="AL14" s="45">
        <v>0.0</v>
      </c>
      <c r="AM14" s="45">
        <v>7.7</v>
      </c>
      <c r="AN14" s="45">
        <v>7.77</v>
      </c>
      <c r="AO14" s="45" t="s">
        <v>27</v>
      </c>
      <c r="AQ14" s="45" t="s">
        <v>1011</v>
      </c>
      <c r="AT14" s="45" t="s">
        <v>1028</v>
      </c>
    </row>
    <row r="15">
      <c r="A15" s="107"/>
      <c r="B15" s="108" t="s">
        <v>92</v>
      </c>
      <c r="C15" s="109" t="s">
        <v>1104</v>
      </c>
      <c r="D15" s="108" t="s">
        <v>1105</v>
      </c>
      <c r="E15" s="108" t="s">
        <v>93</v>
      </c>
      <c r="F15" s="108">
        <v>0.0</v>
      </c>
      <c r="G15" s="110">
        <v>5.20069E11</v>
      </c>
      <c r="H15" s="111" t="s">
        <v>1003</v>
      </c>
      <c r="I15" s="111">
        <v>653.0</v>
      </c>
      <c r="J15" s="111" t="s">
        <v>1003</v>
      </c>
      <c r="K15" s="108" t="s">
        <v>1003</v>
      </c>
      <c r="L15" s="112" t="s">
        <v>1106</v>
      </c>
      <c r="M15" s="106">
        <v>20845.0</v>
      </c>
      <c r="N15" s="113">
        <v>0.0</v>
      </c>
      <c r="O15" s="106" t="s">
        <v>1032</v>
      </c>
      <c r="P15" s="106" t="s">
        <v>60</v>
      </c>
      <c r="Q15" s="45" t="s">
        <v>1006</v>
      </c>
      <c r="R15" s="45">
        <v>63.8</v>
      </c>
      <c r="S15" s="45">
        <v>2019.0</v>
      </c>
      <c r="T15" s="45">
        <v>93.2</v>
      </c>
      <c r="U15" s="45">
        <v>2021.0</v>
      </c>
      <c r="V15" s="45">
        <v>8.02</v>
      </c>
      <c r="W15" s="45">
        <v>75.2</v>
      </c>
      <c r="X15" s="45">
        <v>2025.0</v>
      </c>
      <c r="Y15" s="45">
        <v>0.0</v>
      </c>
      <c r="Z15" s="45">
        <v>0.0</v>
      </c>
      <c r="AA15" s="45" t="s">
        <v>1107</v>
      </c>
      <c r="AB15" s="45" t="s">
        <v>1108</v>
      </c>
      <c r="AC15" s="45">
        <v>7.6708473E9</v>
      </c>
      <c r="AD15" s="45">
        <v>9.010129232E9</v>
      </c>
      <c r="AE15" s="45">
        <v>0.0</v>
      </c>
      <c r="AF15" s="45">
        <v>0.0</v>
      </c>
      <c r="AG15" s="45" t="s">
        <v>1109</v>
      </c>
      <c r="AH15" s="45" t="s">
        <v>1110</v>
      </c>
      <c r="AI15" s="45">
        <v>8.22</v>
      </c>
      <c r="AJ15" s="45">
        <v>7.68</v>
      </c>
      <c r="AK15" s="45">
        <v>7.95</v>
      </c>
      <c r="AL15" s="45">
        <v>0.0</v>
      </c>
      <c r="AM15" s="45">
        <v>7.89</v>
      </c>
      <c r="AN15" s="45">
        <v>8.02</v>
      </c>
      <c r="AO15" s="45" t="s">
        <v>27</v>
      </c>
      <c r="AQ15" s="45" t="s">
        <v>1011</v>
      </c>
      <c r="AT15" s="45" t="s">
        <v>1028</v>
      </c>
    </row>
    <row r="16">
      <c r="A16" s="107"/>
      <c r="B16" s="108" t="s">
        <v>95</v>
      </c>
      <c r="C16" s="109" t="s">
        <v>1111</v>
      </c>
      <c r="D16" s="108" t="s">
        <v>1112</v>
      </c>
      <c r="E16" s="108" t="s">
        <v>96</v>
      </c>
      <c r="F16" s="108">
        <v>0.0</v>
      </c>
      <c r="G16" s="110">
        <v>6.15547E11</v>
      </c>
      <c r="H16" s="111" t="s">
        <v>1003</v>
      </c>
      <c r="I16" s="111">
        <v>1099.0</v>
      </c>
      <c r="J16" s="111" t="s">
        <v>1003</v>
      </c>
      <c r="K16" s="108" t="s">
        <v>1003</v>
      </c>
      <c r="L16" s="112" t="s">
        <v>1113</v>
      </c>
      <c r="M16" s="106">
        <v>10323.0</v>
      </c>
      <c r="N16" s="113">
        <v>0.0</v>
      </c>
      <c r="O16" s="106" t="s">
        <v>1114</v>
      </c>
      <c r="P16" s="106" t="s">
        <v>46</v>
      </c>
      <c r="Q16" s="45" t="s">
        <v>1006</v>
      </c>
      <c r="R16" s="45">
        <v>98.0</v>
      </c>
      <c r="S16" s="45">
        <v>2019.0</v>
      </c>
      <c r="T16" s="45">
        <v>97.4</v>
      </c>
      <c r="U16" s="45">
        <v>2021.0</v>
      </c>
      <c r="V16" s="45">
        <v>8.45</v>
      </c>
      <c r="W16" s="45">
        <v>79.5</v>
      </c>
      <c r="X16" s="45">
        <v>2025.0</v>
      </c>
      <c r="Y16" s="45">
        <v>0.0</v>
      </c>
      <c r="Z16" s="45">
        <v>0.0</v>
      </c>
      <c r="AA16" s="45" t="s">
        <v>1115</v>
      </c>
      <c r="AB16" s="45" t="s">
        <v>1116</v>
      </c>
      <c r="AC16" s="45">
        <v>7.095264009E9</v>
      </c>
      <c r="AD16" s="45">
        <v>9.553936456E9</v>
      </c>
      <c r="AE16" s="45" t="s">
        <v>1117</v>
      </c>
      <c r="AF16" s="45" t="s">
        <v>1118</v>
      </c>
      <c r="AG16" s="45" t="s">
        <v>1119</v>
      </c>
      <c r="AH16" s="45" t="s">
        <v>1120</v>
      </c>
      <c r="AI16" s="45">
        <v>8.81</v>
      </c>
      <c r="AJ16" s="45">
        <v>8.44</v>
      </c>
      <c r="AK16" s="45">
        <v>7.93</v>
      </c>
      <c r="AL16" s="45">
        <v>0.0</v>
      </c>
      <c r="AM16" s="45">
        <v>8.44</v>
      </c>
      <c r="AN16" s="45">
        <v>8.45</v>
      </c>
      <c r="AO16" s="45" t="s">
        <v>27</v>
      </c>
      <c r="AQ16" s="45" t="s">
        <v>1011</v>
      </c>
      <c r="AT16" s="45" t="s">
        <v>1028</v>
      </c>
    </row>
    <row r="17">
      <c r="A17" s="107"/>
      <c r="B17" s="108" t="s">
        <v>100</v>
      </c>
      <c r="C17" s="109" t="s">
        <v>1121</v>
      </c>
      <c r="D17" s="108" t="s">
        <v>1122</v>
      </c>
      <c r="E17" s="108" t="s">
        <v>101</v>
      </c>
      <c r="F17" s="108">
        <v>0.0</v>
      </c>
      <c r="G17" s="110">
        <v>3.61133E11</v>
      </c>
      <c r="H17" s="111" t="s">
        <v>1003</v>
      </c>
      <c r="I17" s="111">
        <v>923.0</v>
      </c>
      <c r="J17" s="111" t="s">
        <v>1003</v>
      </c>
      <c r="K17" s="108" t="s">
        <v>1003</v>
      </c>
      <c r="L17" s="112" t="s">
        <v>1123</v>
      </c>
      <c r="M17" s="106">
        <v>0.0</v>
      </c>
      <c r="N17" s="113">
        <v>0.0</v>
      </c>
      <c r="O17" s="106" t="s">
        <v>1124</v>
      </c>
      <c r="P17" s="106" t="s">
        <v>60</v>
      </c>
      <c r="Q17" s="45" t="s">
        <v>1006</v>
      </c>
      <c r="R17" s="45">
        <v>88.0</v>
      </c>
      <c r="S17" s="45">
        <v>2019.0</v>
      </c>
      <c r="T17" s="45">
        <v>94.0</v>
      </c>
      <c r="U17" s="45">
        <v>2021.0</v>
      </c>
      <c r="V17" s="45">
        <v>8.74</v>
      </c>
      <c r="W17" s="45">
        <v>82.4</v>
      </c>
      <c r="X17" s="45">
        <v>2025.0</v>
      </c>
      <c r="Y17" s="45">
        <v>0.0</v>
      </c>
      <c r="Z17" s="45">
        <v>0.0</v>
      </c>
      <c r="AA17" s="45" t="s">
        <v>1125</v>
      </c>
      <c r="AB17" s="45" t="s">
        <v>1126</v>
      </c>
      <c r="AC17" s="45">
        <v>8.074198185E9</v>
      </c>
      <c r="AD17" s="45">
        <v>8.919262047E9</v>
      </c>
      <c r="AE17" s="45" t="s">
        <v>102</v>
      </c>
      <c r="AF17" s="45">
        <v>0.0</v>
      </c>
      <c r="AG17" s="45" t="s">
        <v>1127</v>
      </c>
      <c r="AH17" s="45" t="s">
        <v>1128</v>
      </c>
      <c r="AI17" s="45">
        <v>8.92</v>
      </c>
      <c r="AJ17" s="45">
        <v>8.68</v>
      </c>
      <c r="AK17" s="45">
        <v>8.39</v>
      </c>
      <c r="AL17" s="45">
        <v>0.0</v>
      </c>
      <c r="AM17" s="45">
        <v>8.75</v>
      </c>
      <c r="AN17" s="45">
        <v>8.74</v>
      </c>
      <c r="AO17" s="45" t="s">
        <v>28</v>
      </c>
      <c r="AQ17" s="45" t="s">
        <v>1011</v>
      </c>
      <c r="AT17" s="45" t="s">
        <v>1028</v>
      </c>
    </row>
    <row r="18">
      <c r="A18" s="107"/>
      <c r="B18" s="108" t="s">
        <v>104</v>
      </c>
      <c r="C18" s="109" t="s">
        <v>1129</v>
      </c>
      <c r="D18" s="108" t="s">
        <v>1130</v>
      </c>
      <c r="E18" s="108" t="s">
        <v>1131</v>
      </c>
      <c r="F18" s="108">
        <v>0.0</v>
      </c>
      <c r="G18" s="110">
        <v>7.27462E11</v>
      </c>
      <c r="H18" s="111" t="s">
        <v>1003</v>
      </c>
      <c r="I18" s="111">
        <v>676.0</v>
      </c>
      <c r="J18" s="111" t="s">
        <v>1003</v>
      </c>
      <c r="K18" s="108" t="s">
        <v>1003</v>
      </c>
      <c r="L18" s="112" t="s">
        <v>1132</v>
      </c>
      <c r="M18" s="106">
        <v>40459.0</v>
      </c>
      <c r="N18" s="113">
        <v>0.0</v>
      </c>
      <c r="O18" s="106" t="s">
        <v>1133</v>
      </c>
      <c r="P18" s="106" t="s">
        <v>60</v>
      </c>
      <c r="Q18" s="45" t="s">
        <v>1006</v>
      </c>
      <c r="R18" s="45">
        <v>100.0</v>
      </c>
      <c r="S18" s="45">
        <v>2019.0</v>
      </c>
      <c r="T18" s="45">
        <v>97.6</v>
      </c>
      <c r="U18" s="45">
        <v>2021.0</v>
      </c>
      <c r="V18" s="45">
        <v>8.7</v>
      </c>
      <c r="W18" s="45">
        <v>82.0</v>
      </c>
      <c r="X18" s="45">
        <v>2025.0</v>
      </c>
      <c r="Y18" s="45">
        <v>0.0</v>
      </c>
      <c r="Z18" s="45">
        <v>0.0</v>
      </c>
      <c r="AA18" s="45" t="s">
        <v>1134</v>
      </c>
      <c r="AB18" s="45" t="s">
        <v>1135</v>
      </c>
      <c r="AC18" s="45">
        <v>8.639415548E9</v>
      </c>
      <c r="AD18" s="45">
        <v>9.963705477E9</v>
      </c>
      <c r="AE18" s="45" t="s">
        <v>52</v>
      </c>
      <c r="AF18" s="45">
        <v>0.0</v>
      </c>
      <c r="AG18" s="45" t="s">
        <v>1136</v>
      </c>
      <c r="AH18" s="45" t="s">
        <v>1137</v>
      </c>
      <c r="AI18" s="45">
        <v>8.27</v>
      </c>
      <c r="AJ18" s="45">
        <v>8.78</v>
      </c>
      <c r="AK18" s="45">
        <v>7.8</v>
      </c>
      <c r="AL18" s="45">
        <v>0.0</v>
      </c>
      <c r="AM18" s="45">
        <v>8.65</v>
      </c>
      <c r="AN18" s="45">
        <v>8.7</v>
      </c>
      <c r="AO18" s="45" t="s">
        <v>27</v>
      </c>
      <c r="AQ18" s="45" t="s">
        <v>1011</v>
      </c>
      <c r="AT18" s="45" t="s">
        <v>1012</v>
      </c>
    </row>
    <row r="19">
      <c r="A19" s="107"/>
      <c r="B19" s="108" t="s">
        <v>107</v>
      </c>
      <c r="C19" s="109" t="s">
        <v>1138</v>
      </c>
      <c r="D19" s="108" t="s">
        <v>1139</v>
      </c>
      <c r="E19" s="108" t="s">
        <v>108</v>
      </c>
      <c r="F19" s="108">
        <v>0.0</v>
      </c>
      <c r="G19" s="110">
        <v>4.20957E11</v>
      </c>
      <c r="H19" s="111" t="s">
        <v>1003</v>
      </c>
      <c r="I19" s="111" t="s">
        <v>1003</v>
      </c>
      <c r="J19" s="111" t="s">
        <v>1003</v>
      </c>
      <c r="K19" s="108" t="s">
        <v>1003</v>
      </c>
      <c r="L19" s="112" t="s">
        <v>1140</v>
      </c>
      <c r="M19" s="106">
        <v>3470.0</v>
      </c>
      <c r="N19" s="113">
        <v>0.0</v>
      </c>
      <c r="O19" s="106" t="s">
        <v>1141</v>
      </c>
      <c r="P19" s="106" t="s">
        <v>46</v>
      </c>
      <c r="Q19" s="45" t="s">
        <v>1006</v>
      </c>
      <c r="R19" s="45">
        <v>92.0</v>
      </c>
      <c r="S19" s="45">
        <v>2019.0</v>
      </c>
      <c r="T19" s="45">
        <v>88.1</v>
      </c>
      <c r="U19" s="45">
        <v>2021.0</v>
      </c>
      <c r="V19" s="45">
        <v>0.0</v>
      </c>
      <c r="W19" s="45">
        <v>-5.0</v>
      </c>
      <c r="X19" s="45">
        <v>2025.0</v>
      </c>
      <c r="Y19" s="45">
        <v>1.0</v>
      </c>
      <c r="Z19" s="45">
        <v>0.0</v>
      </c>
      <c r="AA19" s="45" t="s">
        <v>1142</v>
      </c>
      <c r="AB19" s="45" t="s">
        <v>1143</v>
      </c>
      <c r="AC19" s="45">
        <v>7.671914536E9</v>
      </c>
      <c r="AD19" s="45">
        <v>9.701278727E9</v>
      </c>
      <c r="AE19" s="45">
        <v>0.0</v>
      </c>
      <c r="AF19" s="45">
        <v>0.0</v>
      </c>
      <c r="AG19" s="45" t="s">
        <v>1144</v>
      </c>
      <c r="AH19" s="45" t="s">
        <v>1145</v>
      </c>
      <c r="AI19" s="45">
        <v>6.16</v>
      </c>
      <c r="AJ19" s="45">
        <v>6.71</v>
      </c>
      <c r="AK19" s="45">
        <v>7.07</v>
      </c>
      <c r="AL19" s="45">
        <v>0.0</v>
      </c>
      <c r="AM19" s="45">
        <v>6.78</v>
      </c>
      <c r="AN19" s="45">
        <v>0.0</v>
      </c>
      <c r="AO19" s="45" t="s">
        <v>27</v>
      </c>
      <c r="AQ19" s="45" t="s">
        <v>1011</v>
      </c>
      <c r="AT19" s="45" t="s">
        <v>1012</v>
      </c>
    </row>
    <row r="20">
      <c r="A20" s="107"/>
      <c r="B20" s="108" t="s">
        <v>109</v>
      </c>
      <c r="C20" s="109" t="s">
        <v>1146</v>
      </c>
      <c r="D20" s="108" t="s">
        <v>1147</v>
      </c>
      <c r="E20" s="108" t="s">
        <v>110</v>
      </c>
      <c r="F20" s="108">
        <v>0.0</v>
      </c>
      <c r="G20" s="110">
        <v>9.54643E11</v>
      </c>
      <c r="H20" s="111" t="s">
        <v>1003</v>
      </c>
      <c r="I20" s="111" t="s">
        <v>1003</v>
      </c>
      <c r="J20" s="111" t="s">
        <v>1003</v>
      </c>
      <c r="K20" s="108" t="s">
        <v>1003</v>
      </c>
      <c r="L20" s="112" t="s">
        <v>1148</v>
      </c>
      <c r="M20" s="106">
        <v>0.0</v>
      </c>
      <c r="N20" s="113">
        <v>0.0</v>
      </c>
      <c r="O20" s="106" t="s">
        <v>1149</v>
      </c>
      <c r="P20" s="106" t="s">
        <v>60</v>
      </c>
      <c r="Q20" s="45" t="s">
        <v>1006</v>
      </c>
      <c r="R20" s="45">
        <v>97.0</v>
      </c>
      <c r="S20" s="45">
        <v>2019.0</v>
      </c>
      <c r="T20" s="45">
        <v>95.6</v>
      </c>
      <c r="U20" s="45">
        <v>2021.0</v>
      </c>
      <c r="V20" s="45">
        <v>7.96</v>
      </c>
      <c r="W20" s="45">
        <v>74.6</v>
      </c>
      <c r="X20" s="45">
        <v>2025.0</v>
      </c>
      <c r="Y20" s="45">
        <v>0.0</v>
      </c>
      <c r="Z20" s="45">
        <v>0.0</v>
      </c>
      <c r="AA20" s="45" t="s">
        <v>1150</v>
      </c>
      <c r="AB20" s="45" t="s">
        <v>1151</v>
      </c>
      <c r="AC20" s="45">
        <v>9.704897815E9</v>
      </c>
      <c r="AD20" s="45">
        <v>8.008509449E9</v>
      </c>
      <c r="AE20" s="45">
        <v>0.0</v>
      </c>
      <c r="AF20" s="45">
        <v>0.0</v>
      </c>
      <c r="AG20" s="45" t="s">
        <v>1152</v>
      </c>
      <c r="AH20" s="45" t="s">
        <v>1153</v>
      </c>
      <c r="AI20" s="45">
        <v>8.03</v>
      </c>
      <c r="AJ20" s="45">
        <v>8.2</v>
      </c>
      <c r="AK20" s="45">
        <v>8.0</v>
      </c>
      <c r="AL20" s="45">
        <v>0.0</v>
      </c>
      <c r="AM20" s="45">
        <v>7.97</v>
      </c>
      <c r="AN20" s="45">
        <v>7.96</v>
      </c>
      <c r="AO20" s="45" t="s">
        <v>28</v>
      </c>
      <c r="AQ20" s="45" t="s">
        <v>1011</v>
      </c>
      <c r="AT20" s="45" t="s">
        <v>1028</v>
      </c>
    </row>
    <row r="21">
      <c r="A21" s="107"/>
      <c r="B21" s="108" t="s">
        <v>112</v>
      </c>
      <c r="C21" s="109" t="s">
        <v>1154</v>
      </c>
      <c r="D21" s="108" t="s">
        <v>1155</v>
      </c>
      <c r="E21" s="108" t="s">
        <v>113</v>
      </c>
      <c r="F21" s="108">
        <v>0.0</v>
      </c>
      <c r="G21" s="110">
        <v>4.15421E11</v>
      </c>
      <c r="H21" s="111" t="s">
        <v>1003</v>
      </c>
      <c r="I21" s="111">
        <v>576.0</v>
      </c>
      <c r="J21" s="111" t="s">
        <v>1003</v>
      </c>
      <c r="K21" s="108" t="s">
        <v>1003</v>
      </c>
      <c r="L21" s="112" t="s">
        <v>1156</v>
      </c>
      <c r="M21" s="106">
        <v>14323.0</v>
      </c>
      <c r="N21" s="113">
        <v>0.0</v>
      </c>
      <c r="O21" s="106" t="s">
        <v>1157</v>
      </c>
      <c r="P21" s="106" t="s">
        <v>46</v>
      </c>
      <c r="Q21" s="45" t="s">
        <v>1006</v>
      </c>
      <c r="R21" s="45">
        <v>88.35</v>
      </c>
      <c r="S21" s="45">
        <v>2019.0</v>
      </c>
      <c r="T21" s="45">
        <v>93.8</v>
      </c>
      <c r="U21" s="45">
        <v>2021.0</v>
      </c>
      <c r="V21" s="45">
        <v>8.33</v>
      </c>
      <c r="W21" s="45">
        <v>78.3</v>
      </c>
      <c r="X21" s="45">
        <v>2025.0</v>
      </c>
      <c r="Y21" s="45">
        <v>0.0</v>
      </c>
      <c r="Z21" s="45">
        <v>0.0</v>
      </c>
      <c r="AA21" s="45" t="s">
        <v>1158</v>
      </c>
      <c r="AB21" s="45" t="s">
        <v>1159</v>
      </c>
      <c r="AC21" s="45">
        <v>8.247085538E9</v>
      </c>
      <c r="AD21" s="45">
        <v>8.247085538E9</v>
      </c>
      <c r="AE21" s="45">
        <v>0.0</v>
      </c>
      <c r="AF21" s="45">
        <v>0.0</v>
      </c>
      <c r="AG21" s="45" t="s">
        <v>1160</v>
      </c>
      <c r="AH21" s="45" t="s">
        <v>1161</v>
      </c>
      <c r="AI21" s="45">
        <v>8.68</v>
      </c>
      <c r="AJ21" s="45">
        <v>7.98</v>
      </c>
      <c r="AK21" s="45">
        <v>8.0</v>
      </c>
      <c r="AL21" s="45">
        <v>0.0</v>
      </c>
      <c r="AM21" s="45">
        <v>8.23</v>
      </c>
      <c r="AN21" s="45">
        <v>8.33</v>
      </c>
      <c r="AO21" s="45" t="s">
        <v>27</v>
      </c>
      <c r="AT21" s="45" t="s">
        <v>1028</v>
      </c>
    </row>
    <row r="22">
      <c r="A22" s="107"/>
      <c r="B22" s="108" t="s">
        <v>116</v>
      </c>
      <c r="C22" s="109" t="s">
        <v>1162</v>
      </c>
      <c r="D22" s="108" t="s">
        <v>1163</v>
      </c>
      <c r="E22" s="108" t="s">
        <v>117</v>
      </c>
      <c r="F22" s="108">
        <v>0.0</v>
      </c>
      <c r="G22" s="110">
        <v>4.15264E11</v>
      </c>
      <c r="H22" s="111" t="s">
        <v>1003</v>
      </c>
      <c r="I22" s="111">
        <v>-180.0</v>
      </c>
      <c r="J22" s="111" t="s">
        <v>1003</v>
      </c>
      <c r="K22" s="108" t="s">
        <v>1003</v>
      </c>
      <c r="L22" s="112" t="s">
        <v>1164</v>
      </c>
      <c r="M22" s="106">
        <v>44600.0</v>
      </c>
      <c r="N22" s="113">
        <v>0.0</v>
      </c>
      <c r="O22" s="114">
        <v>37714.0</v>
      </c>
      <c r="P22" s="106" t="s">
        <v>46</v>
      </c>
      <c r="Q22" s="45" t="s">
        <v>1006</v>
      </c>
      <c r="R22" s="45">
        <v>88.0</v>
      </c>
      <c r="S22" s="45">
        <v>2018.0</v>
      </c>
      <c r="T22" s="45">
        <v>93.0</v>
      </c>
      <c r="U22" s="45">
        <v>2020.0</v>
      </c>
      <c r="V22" s="45">
        <v>8.36</v>
      </c>
      <c r="W22" s="45">
        <v>78.6</v>
      </c>
      <c r="X22" s="45">
        <v>2025.0</v>
      </c>
      <c r="Y22" s="45">
        <v>0.0</v>
      </c>
      <c r="Z22" s="45">
        <v>0.0</v>
      </c>
      <c r="AA22" s="45" t="s">
        <v>1165</v>
      </c>
      <c r="AB22" s="45" t="s">
        <v>1166</v>
      </c>
      <c r="AC22" s="45">
        <v>9.515962889E9</v>
      </c>
      <c r="AD22" s="45">
        <v>9.440235299E9</v>
      </c>
      <c r="AE22" s="45" t="s">
        <v>48</v>
      </c>
      <c r="AF22" s="45">
        <v>0.0</v>
      </c>
      <c r="AG22" s="45" t="s">
        <v>1167</v>
      </c>
      <c r="AH22" s="45" t="s">
        <v>1168</v>
      </c>
      <c r="AI22" s="45">
        <v>8.46</v>
      </c>
      <c r="AJ22" s="45">
        <v>8.73</v>
      </c>
      <c r="AK22" s="45">
        <v>7.91</v>
      </c>
      <c r="AL22" s="45">
        <v>0.0</v>
      </c>
      <c r="AM22" s="45">
        <v>8.29</v>
      </c>
      <c r="AN22" s="45">
        <v>8.36</v>
      </c>
      <c r="AO22" s="45" t="s">
        <v>28</v>
      </c>
      <c r="AQ22" s="45" t="s">
        <v>1011</v>
      </c>
      <c r="AT22" s="45" t="s">
        <v>1028</v>
      </c>
    </row>
    <row r="23">
      <c r="A23" s="107"/>
      <c r="B23" s="108" t="s">
        <v>120</v>
      </c>
      <c r="C23" s="109" t="s">
        <v>1169</v>
      </c>
      <c r="D23" s="108" t="s">
        <v>1170</v>
      </c>
      <c r="E23" s="108" t="s">
        <v>121</v>
      </c>
      <c r="F23" s="108">
        <v>0.0</v>
      </c>
      <c r="G23" s="110">
        <v>6.6275E11</v>
      </c>
      <c r="H23" s="111" t="s">
        <v>1003</v>
      </c>
      <c r="I23" s="111">
        <v>663.0</v>
      </c>
      <c r="J23" s="111" t="s">
        <v>1003</v>
      </c>
      <c r="K23" s="108" t="s">
        <v>1003</v>
      </c>
      <c r="L23" s="112" t="s">
        <v>1123</v>
      </c>
      <c r="M23" s="106">
        <v>0.0</v>
      </c>
      <c r="N23" s="113">
        <v>0.0</v>
      </c>
      <c r="O23" s="106" t="s">
        <v>1171</v>
      </c>
      <c r="P23" s="106" t="s">
        <v>46</v>
      </c>
      <c r="Q23" s="45" t="s">
        <v>1006</v>
      </c>
      <c r="R23" s="45">
        <v>80.0</v>
      </c>
      <c r="S23" s="45">
        <v>2019.0</v>
      </c>
      <c r="T23" s="45">
        <v>82.6</v>
      </c>
      <c r="U23" s="45">
        <v>2021.0</v>
      </c>
      <c r="V23" s="45">
        <v>8.08</v>
      </c>
      <c r="W23" s="45">
        <v>75.8</v>
      </c>
      <c r="X23" s="45">
        <v>2025.0</v>
      </c>
      <c r="Y23" s="45">
        <v>0.0</v>
      </c>
      <c r="Z23" s="45">
        <v>0.0</v>
      </c>
      <c r="AA23" s="45" t="s">
        <v>1172</v>
      </c>
      <c r="AB23" s="45" t="s">
        <v>1173</v>
      </c>
      <c r="AC23" s="45">
        <v>7.330808196E9</v>
      </c>
      <c r="AD23" s="45">
        <v>9.866266925E9</v>
      </c>
      <c r="AE23" s="45" t="s">
        <v>122</v>
      </c>
      <c r="AF23" s="45">
        <v>0.0</v>
      </c>
      <c r="AG23" s="45" t="s">
        <v>1174</v>
      </c>
      <c r="AH23" s="45" t="s">
        <v>1175</v>
      </c>
      <c r="AI23" s="45">
        <v>8.7</v>
      </c>
      <c r="AJ23" s="45">
        <v>7.32</v>
      </c>
      <c r="AK23" s="45">
        <v>7.82</v>
      </c>
      <c r="AL23" s="45">
        <v>0.0</v>
      </c>
      <c r="AM23" s="45">
        <v>8.05</v>
      </c>
      <c r="AN23" s="45">
        <v>8.08</v>
      </c>
      <c r="AO23" s="45" t="s">
        <v>28</v>
      </c>
      <c r="AQ23" s="45" t="s">
        <v>1011</v>
      </c>
      <c r="AT23" s="45" t="s">
        <v>1012</v>
      </c>
    </row>
    <row r="24">
      <c r="A24" s="107"/>
      <c r="B24" s="108" t="s">
        <v>123</v>
      </c>
      <c r="C24" s="109" t="s">
        <v>1176</v>
      </c>
      <c r="D24" s="108" t="s">
        <v>1177</v>
      </c>
      <c r="E24" s="108" t="s">
        <v>124</v>
      </c>
      <c r="F24" s="108">
        <v>0.0</v>
      </c>
      <c r="G24" s="110">
        <v>8.24233E11</v>
      </c>
      <c r="H24" s="111" t="s">
        <v>1003</v>
      </c>
      <c r="I24" s="111">
        <v>1024.0</v>
      </c>
      <c r="J24" s="111" t="s">
        <v>1003</v>
      </c>
      <c r="K24" s="108" t="s">
        <v>1003</v>
      </c>
      <c r="L24" s="112" t="s">
        <v>1178</v>
      </c>
      <c r="M24" s="106">
        <v>8868.0</v>
      </c>
      <c r="N24" s="113">
        <v>0.0</v>
      </c>
      <c r="O24" s="106" t="s">
        <v>1179</v>
      </c>
      <c r="P24" s="106" t="s">
        <v>46</v>
      </c>
      <c r="Q24" s="45" t="s">
        <v>1006</v>
      </c>
      <c r="R24" s="45">
        <v>98.0</v>
      </c>
      <c r="S24" s="45">
        <v>2019.0</v>
      </c>
      <c r="T24" s="45">
        <v>99.0</v>
      </c>
      <c r="U24" s="45">
        <v>2021.0</v>
      </c>
      <c r="V24" s="45">
        <v>9.19</v>
      </c>
      <c r="W24" s="45">
        <v>86.9</v>
      </c>
      <c r="X24" s="45">
        <v>2025.0</v>
      </c>
      <c r="Y24" s="45">
        <v>0.0</v>
      </c>
      <c r="Z24" s="45">
        <v>0.0</v>
      </c>
      <c r="AA24" s="45" t="s">
        <v>1180</v>
      </c>
      <c r="AB24" s="45" t="s">
        <v>1181</v>
      </c>
      <c r="AC24" s="45">
        <v>7.801060344E9</v>
      </c>
      <c r="AD24" s="45">
        <v>9.848332543E9</v>
      </c>
      <c r="AE24" s="45" t="s">
        <v>125</v>
      </c>
      <c r="AF24" s="45">
        <v>0.0</v>
      </c>
      <c r="AG24" s="45" t="s">
        <v>1182</v>
      </c>
      <c r="AH24" s="45" t="s">
        <v>1183</v>
      </c>
      <c r="AI24" s="45">
        <v>9.59</v>
      </c>
      <c r="AJ24" s="45">
        <v>9.27</v>
      </c>
      <c r="AK24" s="45">
        <v>8.59</v>
      </c>
      <c r="AL24" s="45">
        <v>0.0</v>
      </c>
      <c r="AM24" s="45">
        <v>9.18</v>
      </c>
      <c r="AN24" s="45">
        <v>9.19</v>
      </c>
      <c r="AO24" s="45" t="s">
        <v>27</v>
      </c>
      <c r="AQ24" s="45" t="s">
        <v>1011</v>
      </c>
      <c r="AT24" s="45" t="s">
        <v>1012</v>
      </c>
    </row>
    <row r="25">
      <c r="A25" s="107"/>
      <c r="B25" s="108" t="s">
        <v>126</v>
      </c>
      <c r="C25" s="109" t="s">
        <v>1184</v>
      </c>
      <c r="D25" s="108" t="s">
        <v>1185</v>
      </c>
      <c r="E25" s="108" t="s">
        <v>127</v>
      </c>
      <c r="F25" s="108">
        <v>0.0</v>
      </c>
      <c r="G25" s="110">
        <v>4.03914E11</v>
      </c>
      <c r="H25" s="111" t="s">
        <v>1003</v>
      </c>
      <c r="I25" s="111" t="s">
        <v>1003</v>
      </c>
      <c r="J25" s="111" t="s">
        <v>1003</v>
      </c>
      <c r="K25" s="108" t="s">
        <v>1003</v>
      </c>
      <c r="L25" s="112" t="s">
        <v>1186</v>
      </c>
      <c r="M25" s="106">
        <v>34639.0</v>
      </c>
      <c r="N25" s="113">
        <v>0.0</v>
      </c>
      <c r="O25" s="114">
        <v>37870.0</v>
      </c>
      <c r="P25" s="106" t="s">
        <v>60</v>
      </c>
      <c r="Q25" s="45" t="s">
        <v>1006</v>
      </c>
      <c r="R25" s="45">
        <v>88.0</v>
      </c>
      <c r="S25" s="45">
        <v>2019.0</v>
      </c>
      <c r="T25" s="45">
        <v>65.0</v>
      </c>
      <c r="U25" s="45">
        <v>2021.0</v>
      </c>
      <c r="V25" s="45">
        <v>0.0</v>
      </c>
      <c r="W25" s="45">
        <v>-5.0</v>
      </c>
      <c r="X25" s="45">
        <v>2025.0</v>
      </c>
      <c r="Y25" s="45">
        <v>3.0</v>
      </c>
      <c r="Z25" s="45">
        <v>6.0</v>
      </c>
      <c r="AA25" s="45" t="s">
        <v>1187</v>
      </c>
      <c r="AB25" s="45" t="s">
        <v>1188</v>
      </c>
      <c r="AC25" s="45">
        <v>9.618896528E9</v>
      </c>
      <c r="AD25" s="45">
        <v>7.036302033E9</v>
      </c>
      <c r="AE25" s="45">
        <v>0.0</v>
      </c>
      <c r="AF25" s="45">
        <v>0.0</v>
      </c>
      <c r="AG25" s="45" t="s">
        <v>1189</v>
      </c>
      <c r="AH25" s="45" t="s">
        <v>1190</v>
      </c>
      <c r="AI25" s="45">
        <v>6.14</v>
      </c>
      <c r="AJ25" s="45">
        <v>0.0</v>
      </c>
      <c r="AK25" s="45">
        <v>0.0</v>
      </c>
      <c r="AL25" s="45">
        <v>0.0</v>
      </c>
      <c r="AM25" s="45">
        <v>5.81</v>
      </c>
      <c r="AN25" s="45">
        <v>0.0</v>
      </c>
      <c r="AO25" s="45" t="s">
        <v>27</v>
      </c>
      <c r="AQ25" s="45" t="s">
        <v>1011</v>
      </c>
      <c r="AT25" s="45" t="s">
        <v>1012</v>
      </c>
    </row>
    <row r="26">
      <c r="A26" s="107"/>
      <c r="B26" s="108" t="s">
        <v>128</v>
      </c>
      <c r="C26" s="109" t="s">
        <v>1191</v>
      </c>
      <c r="D26" s="108" t="s">
        <v>1192</v>
      </c>
      <c r="E26" s="108" t="s">
        <v>129</v>
      </c>
      <c r="F26" s="108">
        <v>0.0</v>
      </c>
      <c r="G26" s="110">
        <v>9.39742E11</v>
      </c>
      <c r="H26" s="111" t="s">
        <v>1003</v>
      </c>
      <c r="I26" s="111">
        <v>143.0</v>
      </c>
      <c r="J26" s="111" t="s">
        <v>1003</v>
      </c>
      <c r="K26" s="108" t="s">
        <v>1003</v>
      </c>
      <c r="L26" s="112" t="s">
        <v>1193</v>
      </c>
      <c r="M26" s="106">
        <v>15034.0</v>
      </c>
      <c r="N26" s="113">
        <v>0.0</v>
      </c>
      <c r="O26" s="106" t="s">
        <v>1194</v>
      </c>
      <c r="P26" s="106" t="s">
        <v>60</v>
      </c>
      <c r="Q26" s="45" t="s">
        <v>1006</v>
      </c>
      <c r="R26" s="45">
        <v>98.0</v>
      </c>
      <c r="S26" s="45">
        <v>2019.0</v>
      </c>
      <c r="T26" s="45">
        <v>94.4</v>
      </c>
      <c r="U26" s="45">
        <v>2021.0</v>
      </c>
      <c r="V26" s="45">
        <v>8.6</v>
      </c>
      <c r="W26" s="45">
        <v>81.0</v>
      </c>
      <c r="X26" s="45">
        <v>2025.0</v>
      </c>
      <c r="Y26" s="45">
        <v>0.0</v>
      </c>
      <c r="Z26" s="45">
        <v>0.0</v>
      </c>
      <c r="AA26" s="45" t="s">
        <v>1195</v>
      </c>
      <c r="AB26" s="45" t="s">
        <v>1196</v>
      </c>
      <c r="AC26" s="45">
        <v>9.966922291E9</v>
      </c>
      <c r="AD26" s="45">
        <v>9.885522291E9</v>
      </c>
      <c r="AE26" s="45" t="s">
        <v>62</v>
      </c>
      <c r="AF26" s="45">
        <v>0.0</v>
      </c>
      <c r="AG26" s="45" t="s">
        <v>1197</v>
      </c>
      <c r="AH26" s="45" t="s">
        <v>1198</v>
      </c>
      <c r="AI26" s="45">
        <v>9.14</v>
      </c>
      <c r="AJ26" s="45">
        <v>8.37</v>
      </c>
      <c r="AK26" s="45">
        <v>8.43</v>
      </c>
      <c r="AL26" s="45">
        <v>0.0</v>
      </c>
      <c r="AM26" s="45">
        <v>8.58</v>
      </c>
      <c r="AN26" s="45">
        <v>8.6</v>
      </c>
      <c r="AO26" s="45" t="s">
        <v>27</v>
      </c>
      <c r="AQ26" s="45" t="s">
        <v>1011</v>
      </c>
      <c r="AT26" s="45" t="s">
        <v>1028</v>
      </c>
    </row>
    <row r="27">
      <c r="A27" s="107"/>
      <c r="B27" s="108" t="s">
        <v>131</v>
      </c>
      <c r="C27" s="109" t="s">
        <v>1199</v>
      </c>
      <c r="D27" s="108" t="s">
        <v>1200</v>
      </c>
      <c r="E27" s="108" t="s">
        <v>132</v>
      </c>
      <c r="F27" s="108">
        <v>0.0</v>
      </c>
      <c r="G27" s="110">
        <v>2.35839E11</v>
      </c>
      <c r="H27" s="111" t="s">
        <v>1003</v>
      </c>
      <c r="I27" s="111">
        <v>688.0</v>
      </c>
      <c r="J27" s="111" t="s">
        <v>1003</v>
      </c>
      <c r="K27" s="108" t="s">
        <v>1003</v>
      </c>
      <c r="L27" s="112" t="s">
        <v>1201</v>
      </c>
      <c r="M27" s="106">
        <v>17759.0</v>
      </c>
      <c r="N27" s="113">
        <v>0.0</v>
      </c>
      <c r="O27" s="106" t="s">
        <v>1202</v>
      </c>
      <c r="P27" s="106" t="s">
        <v>60</v>
      </c>
      <c r="Q27" s="45" t="s">
        <v>1006</v>
      </c>
      <c r="R27" s="45">
        <v>98.0</v>
      </c>
      <c r="S27" s="45">
        <v>2019.0</v>
      </c>
      <c r="T27" s="45">
        <v>81.8</v>
      </c>
      <c r="U27" s="45">
        <v>2021.0</v>
      </c>
      <c r="V27" s="45">
        <v>8.67</v>
      </c>
      <c r="W27" s="45">
        <v>81.7</v>
      </c>
      <c r="X27" s="45">
        <v>2025.0</v>
      </c>
      <c r="Y27" s="45">
        <v>0.0</v>
      </c>
      <c r="Z27" s="45">
        <v>0.0</v>
      </c>
      <c r="AA27" s="45" t="s">
        <v>1203</v>
      </c>
      <c r="AB27" s="45" t="s">
        <v>1204</v>
      </c>
      <c r="AC27" s="45">
        <v>6.300316908E9</v>
      </c>
      <c r="AD27" s="45">
        <v>9.866826395E9</v>
      </c>
      <c r="AE27" s="45" t="s">
        <v>228</v>
      </c>
      <c r="AF27" s="45">
        <v>0.0</v>
      </c>
      <c r="AG27" s="45" t="s">
        <v>1205</v>
      </c>
      <c r="AH27" s="45" t="s">
        <v>1206</v>
      </c>
      <c r="AI27" s="45">
        <v>8.68</v>
      </c>
      <c r="AJ27" s="45">
        <v>8.73</v>
      </c>
      <c r="AK27" s="45">
        <v>8.55</v>
      </c>
      <c r="AL27" s="45">
        <v>0.0</v>
      </c>
      <c r="AM27" s="45">
        <v>8.61</v>
      </c>
      <c r="AN27" s="45">
        <v>8.67</v>
      </c>
      <c r="AO27" s="45" t="s">
        <v>27</v>
      </c>
      <c r="AQ27" s="45" t="s">
        <v>1011</v>
      </c>
      <c r="AT27" s="45" t="s">
        <v>1012</v>
      </c>
    </row>
    <row r="28">
      <c r="A28" s="107"/>
      <c r="B28" s="108" t="s">
        <v>134</v>
      </c>
      <c r="C28" s="109" t="s">
        <v>1207</v>
      </c>
      <c r="D28" s="108" t="s">
        <v>1208</v>
      </c>
      <c r="E28" s="108" t="s">
        <v>135</v>
      </c>
      <c r="F28" s="108">
        <v>0.0</v>
      </c>
      <c r="G28" s="110">
        <v>9.50542E11</v>
      </c>
      <c r="H28" s="111" t="s">
        <v>1003</v>
      </c>
      <c r="I28" s="111">
        <v>1019.0</v>
      </c>
      <c r="J28" s="111">
        <v>5365.0</v>
      </c>
      <c r="K28" s="108">
        <v>5394.0</v>
      </c>
      <c r="L28" s="112" t="s">
        <v>1209</v>
      </c>
      <c r="M28" s="106">
        <v>17815.0</v>
      </c>
      <c r="N28" s="113">
        <v>0.0</v>
      </c>
      <c r="O28" s="114">
        <v>37751.0</v>
      </c>
      <c r="P28" s="106" t="s">
        <v>46</v>
      </c>
      <c r="Q28" s="45" t="s">
        <v>1006</v>
      </c>
      <c r="R28" s="45">
        <v>98.0</v>
      </c>
      <c r="S28" s="45">
        <v>2019.0</v>
      </c>
      <c r="T28" s="45">
        <v>98.0</v>
      </c>
      <c r="U28" s="45">
        <v>2021.0</v>
      </c>
      <c r="V28" s="45">
        <v>8.27</v>
      </c>
      <c r="W28" s="45">
        <v>77.7</v>
      </c>
      <c r="X28" s="45">
        <v>2025.0</v>
      </c>
      <c r="Y28" s="45">
        <v>0.0</v>
      </c>
      <c r="Z28" s="45">
        <v>0.0</v>
      </c>
      <c r="AA28" s="45" t="s">
        <v>1210</v>
      </c>
      <c r="AB28" s="45" t="s">
        <v>1211</v>
      </c>
      <c r="AC28" s="45">
        <v>9.398224596E9</v>
      </c>
      <c r="AD28" s="45">
        <v>9.398224596E9</v>
      </c>
      <c r="AE28" s="45">
        <v>0.0</v>
      </c>
      <c r="AF28" s="45">
        <v>0.0</v>
      </c>
      <c r="AG28" s="45" t="s">
        <v>1212</v>
      </c>
      <c r="AH28" s="45" t="s">
        <v>1213</v>
      </c>
      <c r="AI28" s="45">
        <v>8.95</v>
      </c>
      <c r="AJ28" s="45">
        <v>8.34</v>
      </c>
      <c r="AK28" s="45">
        <v>7.82</v>
      </c>
      <c r="AL28" s="45">
        <v>0.0</v>
      </c>
      <c r="AM28" s="45">
        <v>8.32</v>
      </c>
      <c r="AN28" s="45">
        <v>8.27</v>
      </c>
      <c r="AO28" s="45" t="s">
        <v>27</v>
      </c>
      <c r="AQ28" s="45" t="s">
        <v>1011</v>
      </c>
      <c r="AT28" s="45" t="s">
        <v>1012</v>
      </c>
    </row>
    <row r="29">
      <c r="A29" s="107"/>
      <c r="B29" s="108" t="s">
        <v>137</v>
      </c>
      <c r="C29" s="109" t="s">
        <v>1207</v>
      </c>
      <c r="D29" s="108" t="s">
        <v>1214</v>
      </c>
      <c r="E29" s="108" t="s">
        <v>138</v>
      </c>
      <c r="F29" s="108">
        <v>0.0</v>
      </c>
      <c r="G29" s="110">
        <v>8.49785E11</v>
      </c>
      <c r="H29" s="111" t="s">
        <v>1003</v>
      </c>
      <c r="I29" s="111">
        <v>487.0</v>
      </c>
      <c r="J29" s="111" t="s">
        <v>1003</v>
      </c>
      <c r="K29" s="108" t="s">
        <v>1003</v>
      </c>
      <c r="L29" s="112" t="s">
        <v>1123</v>
      </c>
      <c r="M29" s="106">
        <v>21980.0</v>
      </c>
      <c r="N29" s="113">
        <v>0.0</v>
      </c>
      <c r="O29" s="106" t="s">
        <v>1215</v>
      </c>
      <c r="P29" s="106" t="s">
        <v>60</v>
      </c>
      <c r="Q29" s="45" t="s">
        <v>1006</v>
      </c>
      <c r="R29" s="45">
        <v>93.0</v>
      </c>
      <c r="S29" s="45">
        <v>2019.0</v>
      </c>
      <c r="T29" s="45">
        <v>93.6</v>
      </c>
      <c r="U29" s="45">
        <v>2021.0</v>
      </c>
      <c r="V29" s="45">
        <v>8.3</v>
      </c>
      <c r="W29" s="45">
        <v>78.0</v>
      </c>
      <c r="X29" s="45">
        <v>2025.0</v>
      </c>
      <c r="Y29" s="45">
        <v>0.0</v>
      </c>
      <c r="Z29" s="45">
        <v>0.0</v>
      </c>
      <c r="AA29" s="45" t="s">
        <v>1216</v>
      </c>
      <c r="AB29" s="45" t="s">
        <v>1217</v>
      </c>
      <c r="AC29" s="45">
        <v>8.074506445E9</v>
      </c>
      <c r="AD29" s="45">
        <v>9.912389706E9</v>
      </c>
      <c r="AE29" s="45" t="s">
        <v>139</v>
      </c>
      <c r="AF29" s="45">
        <v>0.0</v>
      </c>
      <c r="AG29" s="45" t="s">
        <v>1218</v>
      </c>
      <c r="AH29" s="45" t="s">
        <v>1219</v>
      </c>
      <c r="AI29" s="45">
        <v>8.32</v>
      </c>
      <c r="AJ29" s="45">
        <v>8.05</v>
      </c>
      <c r="AK29" s="45">
        <v>8.0</v>
      </c>
      <c r="AL29" s="45">
        <v>0.0</v>
      </c>
      <c r="AM29" s="45">
        <v>8.25</v>
      </c>
      <c r="AN29" s="45">
        <v>8.3</v>
      </c>
      <c r="AO29" s="45" t="s">
        <v>27</v>
      </c>
      <c r="AQ29" s="45" t="s">
        <v>1011</v>
      </c>
      <c r="AT29" s="45" t="s">
        <v>1028</v>
      </c>
    </row>
    <row r="30">
      <c r="A30" s="107"/>
      <c r="B30" s="108" t="s">
        <v>140</v>
      </c>
      <c r="C30" s="109" t="s">
        <v>1220</v>
      </c>
      <c r="D30" s="108" t="s">
        <v>1221</v>
      </c>
      <c r="E30" s="108" t="s">
        <v>141</v>
      </c>
      <c r="F30" s="108">
        <v>0.0</v>
      </c>
      <c r="G30" s="110">
        <v>5.53618E11</v>
      </c>
      <c r="H30" s="111" t="s">
        <v>1003</v>
      </c>
      <c r="I30" s="111" t="s">
        <v>1003</v>
      </c>
      <c r="J30" s="111" t="s">
        <v>1003</v>
      </c>
      <c r="K30" s="108" t="s">
        <v>1003</v>
      </c>
      <c r="L30" s="112" t="s">
        <v>1222</v>
      </c>
      <c r="M30" s="106">
        <v>12689.0</v>
      </c>
      <c r="N30" s="113">
        <v>0.0</v>
      </c>
      <c r="O30" s="114">
        <v>37900.0</v>
      </c>
      <c r="P30" s="106" t="s">
        <v>46</v>
      </c>
      <c r="Q30" s="45" t="s">
        <v>1006</v>
      </c>
      <c r="R30" s="45">
        <v>97.0</v>
      </c>
      <c r="S30" s="45">
        <v>2019.0</v>
      </c>
      <c r="T30" s="45">
        <v>96.6</v>
      </c>
      <c r="U30" s="45">
        <v>2021.0</v>
      </c>
      <c r="V30" s="45">
        <v>8.19</v>
      </c>
      <c r="W30" s="45">
        <v>76.9</v>
      </c>
      <c r="X30" s="45">
        <v>2025.0</v>
      </c>
      <c r="Y30" s="45">
        <v>0.0</v>
      </c>
      <c r="Z30" s="45">
        <v>0.0</v>
      </c>
      <c r="AA30" s="45" t="s">
        <v>1223</v>
      </c>
      <c r="AB30" s="45" t="s">
        <v>1224</v>
      </c>
      <c r="AC30" s="45">
        <v>7.660971009E9</v>
      </c>
      <c r="AD30" s="45">
        <v>9.542561451E9</v>
      </c>
      <c r="AE30" s="45" t="s">
        <v>52</v>
      </c>
      <c r="AF30" s="45">
        <v>0.0</v>
      </c>
      <c r="AG30" s="45" t="s">
        <v>1225</v>
      </c>
      <c r="AH30" s="45" t="s">
        <v>1226</v>
      </c>
      <c r="AI30" s="45">
        <v>8.54</v>
      </c>
      <c r="AJ30" s="45">
        <v>8.59</v>
      </c>
      <c r="AK30" s="45">
        <v>8.07</v>
      </c>
      <c r="AL30" s="45">
        <v>0.0</v>
      </c>
      <c r="AM30" s="45">
        <v>8.24</v>
      </c>
      <c r="AN30" s="45">
        <v>8.19</v>
      </c>
      <c r="AO30" s="45" t="s">
        <v>27</v>
      </c>
      <c r="AQ30" s="45" t="s">
        <v>1011</v>
      </c>
      <c r="AT30" s="45" t="s">
        <v>1012</v>
      </c>
    </row>
    <row r="31">
      <c r="A31" s="107"/>
      <c r="B31" s="108" t="s">
        <v>142</v>
      </c>
      <c r="C31" s="109" t="s">
        <v>1227</v>
      </c>
      <c r="D31" s="108" t="s">
        <v>1228</v>
      </c>
      <c r="E31" s="108" t="s">
        <v>143</v>
      </c>
      <c r="F31" s="108">
        <v>0.0</v>
      </c>
      <c r="G31" s="110">
        <v>2.36259E11</v>
      </c>
      <c r="H31" s="111" t="s">
        <v>1003</v>
      </c>
      <c r="I31" s="111" t="s">
        <v>1003</v>
      </c>
      <c r="J31" s="111" t="s">
        <v>1003</v>
      </c>
      <c r="K31" s="108" t="s">
        <v>1003</v>
      </c>
      <c r="L31" s="112" t="s">
        <v>1229</v>
      </c>
      <c r="M31" s="106">
        <v>6253.0</v>
      </c>
      <c r="N31" s="113">
        <v>0.0</v>
      </c>
      <c r="O31" s="114">
        <v>38209.0</v>
      </c>
      <c r="P31" s="106" t="s">
        <v>46</v>
      </c>
      <c r="Q31" s="45" t="s">
        <v>1006</v>
      </c>
      <c r="R31" s="45">
        <v>87.0</v>
      </c>
      <c r="S31" s="45">
        <v>2019.0</v>
      </c>
      <c r="T31" s="45">
        <v>97.0</v>
      </c>
      <c r="U31" s="45">
        <v>2021.0</v>
      </c>
      <c r="V31" s="45">
        <v>8.75</v>
      </c>
      <c r="W31" s="45">
        <v>82.5</v>
      </c>
      <c r="X31" s="45">
        <v>2025.0</v>
      </c>
      <c r="Y31" s="45">
        <v>0.0</v>
      </c>
      <c r="Z31" s="45">
        <v>0.0</v>
      </c>
      <c r="AA31" s="45" t="s">
        <v>1230</v>
      </c>
      <c r="AB31" s="45" t="s">
        <v>1231</v>
      </c>
      <c r="AC31" s="45">
        <v>8.977425169E9</v>
      </c>
      <c r="AD31" s="45">
        <v>9.441278695E9</v>
      </c>
      <c r="AE31" s="45" t="s">
        <v>144</v>
      </c>
      <c r="AF31" s="45">
        <v>0.0</v>
      </c>
      <c r="AG31" s="45" t="s">
        <v>1232</v>
      </c>
      <c r="AH31" s="45" t="s">
        <v>1233</v>
      </c>
      <c r="AI31" s="45">
        <v>9.35</v>
      </c>
      <c r="AJ31" s="45">
        <v>8.66</v>
      </c>
      <c r="AK31" s="45">
        <v>8.05</v>
      </c>
      <c r="AL31" s="45">
        <v>0.0</v>
      </c>
      <c r="AM31" s="45">
        <v>8.76</v>
      </c>
      <c r="AN31" s="45">
        <v>8.75</v>
      </c>
      <c r="AO31" s="45" t="s">
        <v>27</v>
      </c>
      <c r="AQ31" s="45" t="s">
        <v>1011</v>
      </c>
      <c r="AT31" s="45" t="s">
        <v>1028</v>
      </c>
    </row>
    <row r="32">
      <c r="A32" s="107"/>
      <c r="B32" s="108" t="s">
        <v>145</v>
      </c>
      <c r="C32" s="109" t="s">
        <v>1234</v>
      </c>
      <c r="D32" s="108" t="s">
        <v>1235</v>
      </c>
      <c r="E32" s="108" t="s">
        <v>146</v>
      </c>
      <c r="F32" s="108">
        <v>0.0</v>
      </c>
      <c r="G32" s="110">
        <v>7.28663E11</v>
      </c>
      <c r="H32" s="111" t="s">
        <v>1003</v>
      </c>
      <c r="I32" s="111">
        <v>478.0</v>
      </c>
      <c r="J32" s="111" t="s">
        <v>1003</v>
      </c>
      <c r="K32" s="108" t="s">
        <v>1003</v>
      </c>
      <c r="L32" s="112" t="s">
        <v>1236</v>
      </c>
      <c r="M32" s="106">
        <v>10152.0</v>
      </c>
      <c r="N32" s="113">
        <v>0.0</v>
      </c>
      <c r="O32" s="114">
        <v>38395.0</v>
      </c>
      <c r="P32" s="106" t="s">
        <v>60</v>
      </c>
      <c r="Q32" s="45" t="s">
        <v>1006</v>
      </c>
      <c r="R32" s="45">
        <v>95.0</v>
      </c>
      <c r="S32" s="45">
        <v>2019.0</v>
      </c>
      <c r="T32" s="45">
        <v>96.6</v>
      </c>
      <c r="U32" s="45">
        <v>2021.0</v>
      </c>
      <c r="V32" s="45">
        <v>8.63</v>
      </c>
      <c r="W32" s="45">
        <v>81.3</v>
      </c>
      <c r="X32" s="45">
        <v>2025.0</v>
      </c>
      <c r="Y32" s="45">
        <v>0.0</v>
      </c>
      <c r="Z32" s="45">
        <v>0.0</v>
      </c>
      <c r="AA32" s="45" t="s">
        <v>1237</v>
      </c>
      <c r="AB32" s="45" t="s">
        <v>1238</v>
      </c>
      <c r="AC32" s="45">
        <v>6.302381056E9</v>
      </c>
      <c r="AD32" s="45">
        <v>9.177425444E9</v>
      </c>
      <c r="AE32" s="45" t="s">
        <v>66</v>
      </c>
      <c r="AF32" s="45">
        <v>0.0</v>
      </c>
      <c r="AG32" s="45" t="s">
        <v>1239</v>
      </c>
      <c r="AH32" s="45" t="s">
        <v>1240</v>
      </c>
      <c r="AI32" s="45">
        <v>9.27</v>
      </c>
      <c r="AJ32" s="45">
        <v>8.27</v>
      </c>
      <c r="AK32" s="45">
        <v>8.14</v>
      </c>
      <c r="AL32" s="45">
        <v>0.0</v>
      </c>
      <c r="AM32" s="45">
        <v>8.63</v>
      </c>
      <c r="AN32" s="45">
        <v>8.63</v>
      </c>
      <c r="AO32" s="45" t="s">
        <v>27</v>
      </c>
      <c r="AQ32" s="45" t="s">
        <v>1011</v>
      </c>
      <c r="AT32" s="45" t="s">
        <v>1012</v>
      </c>
    </row>
    <row r="33">
      <c r="A33" s="107"/>
      <c r="B33" s="108" t="s">
        <v>147</v>
      </c>
      <c r="C33" s="109" t="s">
        <v>1241</v>
      </c>
      <c r="D33" s="108" t="s">
        <v>1242</v>
      </c>
      <c r="E33" s="108" t="s">
        <v>148</v>
      </c>
      <c r="F33" s="108">
        <v>0.0</v>
      </c>
      <c r="G33" s="110">
        <v>8.47239E11</v>
      </c>
      <c r="H33" s="111" t="s">
        <v>1003</v>
      </c>
      <c r="I33" s="111">
        <v>320.0</v>
      </c>
      <c r="J33" s="111" t="s">
        <v>1003</v>
      </c>
      <c r="K33" s="108" t="s">
        <v>1003</v>
      </c>
      <c r="L33" s="112" t="s">
        <v>1243</v>
      </c>
      <c r="M33" s="106">
        <v>31615.0</v>
      </c>
      <c r="N33" s="113">
        <v>0.0</v>
      </c>
      <c r="O33" s="106" t="s">
        <v>1244</v>
      </c>
      <c r="P33" s="106" t="s">
        <v>60</v>
      </c>
      <c r="Q33" s="45" t="s">
        <v>1006</v>
      </c>
      <c r="R33" s="45">
        <v>95.0</v>
      </c>
      <c r="S33" s="45">
        <v>2019.0</v>
      </c>
      <c r="T33" s="45">
        <v>97.4</v>
      </c>
      <c r="U33" s="45">
        <v>2021.0</v>
      </c>
      <c r="V33" s="45">
        <v>8.34</v>
      </c>
      <c r="W33" s="45">
        <v>78.4</v>
      </c>
      <c r="X33" s="45">
        <v>2025.0</v>
      </c>
      <c r="Y33" s="45">
        <v>0.0</v>
      </c>
      <c r="Z33" s="45">
        <v>0.0</v>
      </c>
      <c r="AA33" s="45" t="s">
        <v>1245</v>
      </c>
      <c r="AB33" s="45" t="s">
        <v>1246</v>
      </c>
      <c r="AC33" s="45">
        <v>9.346770483E9</v>
      </c>
      <c r="AD33" s="45">
        <v>9.866488393E9</v>
      </c>
      <c r="AE33" s="45" t="s">
        <v>52</v>
      </c>
      <c r="AF33" s="45">
        <v>0.0</v>
      </c>
      <c r="AG33" s="45" t="s">
        <v>1247</v>
      </c>
      <c r="AH33" s="45" t="s">
        <v>1248</v>
      </c>
      <c r="AI33" s="45">
        <v>8.68</v>
      </c>
      <c r="AJ33" s="45">
        <v>8.27</v>
      </c>
      <c r="AK33" s="45">
        <v>8.27</v>
      </c>
      <c r="AL33" s="45">
        <v>0.0</v>
      </c>
      <c r="AM33" s="45">
        <v>8.38</v>
      </c>
      <c r="AN33" s="45">
        <v>8.34</v>
      </c>
      <c r="AO33" s="45" t="s">
        <v>27</v>
      </c>
      <c r="AQ33" s="45" t="s">
        <v>1011</v>
      </c>
      <c r="AT33" s="45" t="s">
        <v>1012</v>
      </c>
    </row>
    <row r="34">
      <c r="A34" s="107"/>
      <c r="B34" s="108" t="s">
        <v>149</v>
      </c>
      <c r="C34" s="109" t="s">
        <v>1249</v>
      </c>
      <c r="D34" s="108" t="s">
        <v>1250</v>
      </c>
      <c r="E34" s="108" t="s">
        <v>150</v>
      </c>
      <c r="F34" s="108">
        <v>0.0</v>
      </c>
      <c r="G34" s="110">
        <v>6.07791E11</v>
      </c>
      <c r="H34" s="111" t="s">
        <v>1003</v>
      </c>
      <c r="I34" s="111">
        <v>762.0</v>
      </c>
      <c r="J34" s="111">
        <v>5190.0</v>
      </c>
      <c r="K34" s="108">
        <v>5562.0</v>
      </c>
      <c r="L34" s="112" t="s">
        <v>1251</v>
      </c>
      <c r="M34" s="106">
        <v>0.0</v>
      </c>
      <c r="N34" s="113">
        <v>0.0</v>
      </c>
      <c r="O34" s="106" t="s">
        <v>1252</v>
      </c>
      <c r="P34" s="106" t="s">
        <v>46</v>
      </c>
      <c r="Q34" s="45" t="s">
        <v>1006</v>
      </c>
      <c r="R34" s="45">
        <v>95.0</v>
      </c>
      <c r="S34" s="45">
        <v>2019.0</v>
      </c>
      <c r="T34" s="45">
        <v>97.0</v>
      </c>
      <c r="U34" s="45">
        <v>2021.0</v>
      </c>
      <c r="V34" s="45">
        <v>8.41</v>
      </c>
      <c r="W34" s="45">
        <v>79.1</v>
      </c>
      <c r="X34" s="45">
        <v>2025.0</v>
      </c>
      <c r="Y34" s="45">
        <v>0.0</v>
      </c>
      <c r="Z34" s="45">
        <v>0.0</v>
      </c>
      <c r="AA34" s="45" t="s">
        <v>1253</v>
      </c>
      <c r="AB34" s="45" t="s">
        <v>1254</v>
      </c>
      <c r="AC34" s="45">
        <v>6.30359934E9</v>
      </c>
      <c r="AD34" s="45">
        <v>9.440215301E9</v>
      </c>
      <c r="AE34" s="45" t="s">
        <v>52</v>
      </c>
      <c r="AF34" s="45">
        <v>0.0</v>
      </c>
      <c r="AG34" s="45" t="s">
        <v>1255</v>
      </c>
      <c r="AH34" s="45" t="s">
        <v>1256</v>
      </c>
      <c r="AI34" s="45">
        <v>8.57</v>
      </c>
      <c r="AJ34" s="45">
        <v>8.15</v>
      </c>
      <c r="AK34" s="45">
        <v>8.2</v>
      </c>
      <c r="AL34" s="45">
        <v>0.0</v>
      </c>
      <c r="AM34" s="45">
        <v>8.36</v>
      </c>
      <c r="AN34" s="45">
        <v>8.41</v>
      </c>
      <c r="AO34" s="45" t="s">
        <v>28</v>
      </c>
      <c r="AQ34" s="45" t="s">
        <v>1011</v>
      </c>
      <c r="AT34" s="45" t="s">
        <v>1028</v>
      </c>
    </row>
    <row r="35">
      <c r="A35" s="107"/>
      <c r="B35" s="108" t="s">
        <v>152</v>
      </c>
      <c r="C35" s="109" t="s">
        <v>1257</v>
      </c>
      <c r="D35" s="108" t="s">
        <v>1258</v>
      </c>
      <c r="E35" s="108" t="s">
        <v>153</v>
      </c>
      <c r="F35" s="108">
        <v>0.0</v>
      </c>
      <c r="G35" s="110">
        <v>7.15942E11</v>
      </c>
      <c r="H35" s="111" t="s">
        <v>1003</v>
      </c>
      <c r="I35" s="111">
        <v>817.0</v>
      </c>
      <c r="J35" s="111" t="s">
        <v>1003</v>
      </c>
      <c r="K35" s="108" t="s">
        <v>1003</v>
      </c>
      <c r="L35" s="112" t="s">
        <v>1259</v>
      </c>
      <c r="M35" s="106">
        <v>0.0</v>
      </c>
      <c r="N35" s="113">
        <v>0.0</v>
      </c>
      <c r="O35" s="106" t="s">
        <v>1260</v>
      </c>
      <c r="P35" s="106" t="s">
        <v>46</v>
      </c>
      <c r="Q35" s="45" t="s">
        <v>1006</v>
      </c>
      <c r="R35" s="45">
        <v>70.0</v>
      </c>
      <c r="S35" s="45">
        <v>2019.0</v>
      </c>
      <c r="T35" s="45">
        <v>88.0</v>
      </c>
      <c r="U35" s="45">
        <v>2021.0</v>
      </c>
      <c r="V35" s="45">
        <v>7.24</v>
      </c>
      <c r="W35" s="45">
        <v>67.4</v>
      </c>
      <c r="X35" s="45">
        <v>2025.0</v>
      </c>
      <c r="Y35" s="45">
        <v>0.0</v>
      </c>
      <c r="Z35" s="45">
        <v>1.0</v>
      </c>
      <c r="AA35" s="45" t="s">
        <v>1261</v>
      </c>
      <c r="AB35" s="45" t="s">
        <v>1262</v>
      </c>
      <c r="AC35" s="45">
        <v>6.304655163E9</v>
      </c>
      <c r="AD35" s="45">
        <v>9.989094187E9</v>
      </c>
      <c r="AE35" s="45">
        <v>0.0</v>
      </c>
      <c r="AF35" s="45">
        <v>0.0</v>
      </c>
      <c r="AG35" s="45" t="s">
        <v>1263</v>
      </c>
      <c r="AH35" s="45" t="s">
        <v>1264</v>
      </c>
      <c r="AI35" s="45">
        <v>6.81</v>
      </c>
      <c r="AJ35" s="45">
        <v>7.44</v>
      </c>
      <c r="AK35" s="45">
        <v>7.34</v>
      </c>
      <c r="AL35" s="45">
        <v>0.0</v>
      </c>
      <c r="AM35" s="45">
        <v>7.2</v>
      </c>
      <c r="AN35" s="45">
        <v>7.24</v>
      </c>
      <c r="AO35" s="45" t="s">
        <v>28</v>
      </c>
      <c r="AQ35" s="45" t="s">
        <v>1011</v>
      </c>
      <c r="AT35" s="45" t="s">
        <v>1012</v>
      </c>
    </row>
    <row r="36">
      <c r="A36" s="107"/>
      <c r="B36" s="108" t="s">
        <v>155</v>
      </c>
      <c r="C36" s="109" t="s">
        <v>1265</v>
      </c>
      <c r="D36" s="108" t="s">
        <v>1266</v>
      </c>
      <c r="E36" s="108" t="s">
        <v>156</v>
      </c>
      <c r="F36" s="108">
        <v>0.0</v>
      </c>
      <c r="G36" s="110">
        <v>2.90575E11</v>
      </c>
      <c r="H36" s="111" t="s">
        <v>1003</v>
      </c>
      <c r="I36" s="111">
        <v>963.0</v>
      </c>
      <c r="J36" s="111" t="s">
        <v>1003</v>
      </c>
      <c r="K36" s="108" t="s">
        <v>1003</v>
      </c>
      <c r="L36" s="112" t="s">
        <v>1123</v>
      </c>
      <c r="M36" s="106">
        <v>0.0</v>
      </c>
      <c r="N36" s="113">
        <v>0.0</v>
      </c>
      <c r="O36" s="106" t="s">
        <v>1267</v>
      </c>
      <c r="P36" s="106" t="s">
        <v>46</v>
      </c>
      <c r="Q36" s="45" t="s">
        <v>1006</v>
      </c>
      <c r="R36" s="45">
        <v>97.0</v>
      </c>
      <c r="S36" s="45">
        <v>2019.0</v>
      </c>
      <c r="T36" s="45">
        <v>97.4</v>
      </c>
      <c r="U36" s="45">
        <v>2021.0</v>
      </c>
      <c r="V36" s="45">
        <v>8.15</v>
      </c>
      <c r="W36" s="45">
        <v>76.5</v>
      </c>
      <c r="X36" s="45">
        <v>2025.0</v>
      </c>
      <c r="Y36" s="45">
        <v>0.0</v>
      </c>
      <c r="Z36" s="45">
        <v>0.0</v>
      </c>
      <c r="AA36" s="45" t="s">
        <v>1268</v>
      </c>
      <c r="AB36" s="45" t="s">
        <v>1269</v>
      </c>
      <c r="AC36" s="45">
        <v>8.919162146E9</v>
      </c>
      <c r="AD36" s="45">
        <v>9.550426999E9</v>
      </c>
      <c r="AE36" s="45" t="s">
        <v>271</v>
      </c>
      <c r="AF36" s="45">
        <v>0.0</v>
      </c>
      <c r="AG36" s="45" t="s">
        <v>1270</v>
      </c>
      <c r="AH36" s="45" t="s">
        <v>1271</v>
      </c>
      <c r="AI36" s="45">
        <v>8.05</v>
      </c>
      <c r="AJ36" s="45">
        <v>8.24</v>
      </c>
      <c r="AK36" s="45">
        <v>8.27</v>
      </c>
      <c r="AL36" s="45">
        <v>0.0</v>
      </c>
      <c r="AM36" s="45">
        <v>8.15</v>
      </c>
      <c r="AN36" s="45">
        <v>8.15</v>
      </c>
      <c r="AO36" s="45" t="s">
        <v>28</v>
      </c>
      <c r="AQ36" s="45" t="s">
        <v>1011</v>
      </c>
      <c r="AT36" s="45" t="s">
        <v>1012</v>
      </c>
    </row>
    <row r="37">
      <c r="A37" s="107"/>
      <c r="B37" s="108" t="s">
        <v>158</v>
      </c>
      <c r="C37" s="109" t="s">
        <v>1272</v>
      </c>
      <c r="D37" s="108" t="s">
        <v>1273</v>
      </c>
      <c r="E37" s="108" t="s">
        <v>159</v>
      </c>
      <c r="F37" s="108">
        <v>0.0</v>
      </c>
      <c r="G37" s="110">
        <v>6.53754E11</v>
      </c>
      <c r="H37" s="111" t="s">
        <v>1003</v>
      </c>
      <c r="I37" s="111" t="s">
        <v>1003</v>
      </c>
      <c r="J37" s="111" t="s">
        <v>1003</v>
      </c>
      <c r="K37" s="108" t="s">
        <v>1003</v>
      </c>
      <c r="L37" s="112" t="s">
        <v>1274</v>
      </c>
      <c r="M37" s="106">
        <v>0.0</v>
      </c>
      <c r="N37" s="113">
        <v>0.0</v>
      </c>
      <c r="O37" s="114">
        <v>38109.0</v>
      </c>
      <c r="P37" s="106" t="s">
        <v>46</v>
      </c>
      <c r="Q37" s="45" t="s">
        <v>1006</v>
      </c>
      <c r="R37" s="45">
        <v>52.0</v>
      </c>
      <c r="S37" s="45">
        <v>2019.0</v>
      </c>
      <c r="T37" s="45">
        <v>87.0</v>
      </c>
      <c r="U37" s="45">
        <v>2021.0</v>
      </c>
      <c r="V37" s="45">
        <v>0.0</v>
      </c>
      <c r="W37" s="45">
        <v>-5.0</v>
      </c>
      <c r="X37" s="45">
        <v>2025.0</v>
      </c>
      <c r="Y37" s="45">
        <v>16.0</v>
      </c>
      <c r="Z37" s="45">
        <v>14.0</v>
      </c>
      <c r="AA37" s="45" t="s">
        <v>1275</v>
      </c>
      <c r="AB37" s="45" t="s">
        <v>1276</v>
      </c>
      <c r="AC37" s="45">
        <v>7.995440955E9</v>
      </c>
      <c r="AD37" s="45">
        <v>9.440220955E9</v>
      </c>
      <c r="AE37" s="45">
        <v>0.0</v>
      </c>
      <c r="AF37" s="45">
        <v>0.0</v>
      </c>
      <c r="AG37" s="45" t="s">
        <v>1277</v>
      </c>
      <c r="AH37" s="45" t="s">
        <v>1278</v>
      </c>
      <c r="AI37" s="45">
        <v>0.0</v>
      </c>
      <c r="AJ37" s="45">
        <v>0.0</v>
      </c>
      <c r="AK37" s="45">
        <v>0.0</v>
      </c>
      <c r="AL37" s="45">
        <v>0.0</v>
      </c>
      <c r="AM37" s="45">
        <v>4.38</v>
      </c>
      <c r="AN37" s="45">
        <v>0.0</v>
      </c>
      <c r="AO37" s="45" t="s">
        <v>28</v>
      </c>
      <c r="AQ37" s="45" t="s">
        <v>1011</v>
      </c>
      <c r="AT37" s="45" t="s">
        <v>1012</v>
      </c>
    </row>
    <row r="38">
      <c r="A38" s="107"/>
      <c r="B38" s="108" t="s">
        <v>160</v>
      </c>
      <c r="C38" s="109" t="s">
        <v>1279</v>
      </c>
      <c r="D38" s="108" t="s">
        <v>1280</v>
      </c>
      <c r="E38" s="108" t="s">
        <v>161</v>
      </c>
      <c r="F38" s="108">
        <v>0.0</v>
      </c>
      <c r="G38" s="110">
        <v>3.24007E11</v>
      </c>
      <c r="H38" s="111" t="s">
        <v>1003</v>
      </c>
      <c r="I38" s="111" t="s">
        <v>1003</v>
      </c>
      <c r="J38" s="111" t="s">
        <v>1003</v>
      </c>
      <c r="K38" s="108" t="s">
        <v>1003</v>
      </c>
      <c r="L38" s="112" t="s">
        <v>1123</v>
      </c>
      <c r="M38" s="106">
        <v>25146.0</v>
      </c>
      <c r="N38" s="113">
        <v>0.0</v>
      </c>
      <c r="O38" s="106" t="s">
        <v>1281</v>
      </c>
      <c r="P38" s="106" t="s">
        <v>46</v>
      </c>
      <c r="Q38" s="45" t="s">
        <v>1006</v>
      </c>
      <c r="R38" s="45">
        <v>97.0</v>
      </c>
      <c r="S38" s="45">
        <v>2019.0</v>
      </c>
      <c r="T38" s="45">
        <v>87.0</v>
      </c>
      <c r="U38" s="45">
        <v>2021.0</v>
      </c>
      <c r="V38" s="45">
        <v>7.69</v>
      </c>
      <c r="W38" s="45">
        <v>71.9</v>
      </c>
      <c r="X38" s="45">
        <v>2025.0</v>
      </c>
      <c r="Y38" s="45">
        <v>0.0</v>
      </c>
      <c r="Z38" s="45">
        <v>0.0</v>
      </c>
      <c r="AA38" s="45" t="s">
        <v>1282</v>
      </c>
      <c r="AB38" s="45" t="s">
        <v>1283</v>
      </c>
      <c r="AC38" s="45">
        <v>9.390925019E9</v>
      </c>
      <c r="AD38" s="45">
        <v>9.441938941E9</v>
      </c>
      <c r="AE38" s="45">
        <v>0.0</v>
      </c>
      <c r="AF38" s="45">
        <v>0.0</v>
      </c>
      <c r="AG38" s="45" t="s">
        <v>1284</v>
      </c>
      <c r="AH38" s="45" t="s">
        <v>1285</v>
      </c>
      <c r="AI38" s="45">
        <v>7.95</v>
      </c>
      <c r="AJ38" s="45">
        <v>7.39</v>
      </c>
      <c r="AK38" s="45">
        <v>7.14</v>
      </c>
      <c r="AL38" s="45">
        <v>0.0</v>
      </c>
      <c r="AM38" s="45">
        <v>7.63</v>
      </c>
      <c r="AN38" s="45">
        <v>7.69</v>
      </c>
      <c r="AO38" s="45" t="s">
        <v>27</v>
      </c>
      <c r="AQ38" s="45" t="s">
        <v>1011</v>
      </c>
      <c r="AT38" s="45" t="s">
        <v>1028</v>
      </c>
    </row>
    <row r="39">
      <c r="A39" s="107"/>
      <c r="B39" s="108" t="s">
        <v>162</v>
      </c>
      <c r="C39" s="109" t="s">
        <v>1286</v>
      </c>
      <c r="D39" s="108" t="s">
        <v>1287</v>
      </c>
      <c r="E39" s="108" t="s">
        <v>163</v>
      </c>
      <c r="F39" s="108">
        <v>0.0</v>
      </c>
      <c r="G39" s="110">
        <v>4.37016E11</v>
      </c>
      <c r="H39" s="111" t="s">
        <v>1003</v>
      </c>
      <c r="I39" s="111">
        <v>1271.0</v>
      </c>
      <c r="J39" s="111" t="s">
        <v>1003</v>
      </c>
      <c r="K39" s="108" t="s">
        <v>1003</v>
      </c>
      <c r="L39" s="112" t="s">
        <v>1288</v>
      </c>
      <c r="M39" s="106">
        <v>11730.0</v>
      </c>
      <c r="N39" s="113">
        <v>0.0</v>
      </c>
      <c r="O39" s="114">
        <v>37803.0</v>
      </c>
      <c r="P39" s="106" t="s">
        <v>46</v>
      </c>
      <c r="Q39" s="45" t="s">
        <v>1006</v>
      </c>
      <c r="R39" s="45">
        <v>92.0</v>
      </c>
      <c r="S39" s="45">
        <v>2019.0</v>
      </c>
      <c r="T39" s="45">
        <v>73.0</v>
      </c>
      <c r="U39" s="45">
        <v>2021.0</v>
      </c>
      <c r="V39" s="45">
        <v>7.6</v>
      </c>
      <c r="W39" s="45">
        <v>71.0</v>
      </c>
      <c r="X39" s="45">
        <v>2025.0</v>
      </c>
      <c r="Y39" s="45">
        <v>0.0</v>
      </c>
      <c r="Z39" s="45">
        <v>1.0</v>
      </c>
      <c r="AA39" s="45" t="s">
        <v>1289</v>
      </c>
      <c r="AB39" s="45" t="s">
        <v>1290</v>
      </c>
      <c r="AC39" s="45">
        <v>9.704254982E9</v>
      </c>
      <c r="AD39" s="45">
        <v>9.441560571E9</v>
      </c>
      <c r="AE39" s="45">
        <v>0.0</v>
      </c>
      <c r="AF39" s="45">
        <v>0.0</v>
      </c>
      <c r="AG39" s="45" t="s">
        <v>1291</v>
      </c>
      <c r="AH39" s="45" t="s">
        <v>1292</v>
      </c>
      <c r="AI39" s="45">
        <v>7.35</v>
      </c>
      <c r="AJ39" s="45">
        <v>7.54</v>
      </c>
      <c r="AK39" s="45">
        <v>7.52</v>
      </c>
      <c r="AL39" s="45">
        <v>0.0</v>
      </c>
      <c r="AM39" s="45">
        <v>7.51</v>
      </c>
      <c r="AN39" s="45">
        <v>7.6</v>
      </c>
      <c r="AO39" s="45" t="s">
        <v>27</v>
      </c>
      <c r="AQ39" s="45" t="s">
        <v>1011</v>
      </c>
      <c r="AT39" s="45" t="s">
        <v>1028</v>
      </c>
    </row>
    <row r="40">
      <c r="A40" s="107"/>
      <c r="B40" s="108" t="s">
        <v>165</v>
      </c>
      <c r="C40" s="109" t="s">
        <v>1293</v>
      </c>
      <c r="D40" s="108" t="s">
        <v>1294</v>
      </c>
      <c r="E40" s="108" t="s">
        <v>166</v>
      </c>
      <c r="F40" s="108">
        <v>0.0</v>
      </c>
      <c r="G40" s="110">
        <v>4.1118E11</v>
      </c>
      <c r="H40" s="111" t="s">
        <v>1003</v>
      </c>
      <c r="I40" s="111" t="s">
        <v>1003</v>
      </c>
      <c r="J40" s="111" t="s">
        <v>1003</v>
      </c>
      <c r="K40" s="108" t="s">
        <v>1003</v>
      </c>
      <c r="L40" s="112" t="s">
        <v>1295</v>
      </c>
      <c r="M40" s="106">
        <v>20302.0</v>
      </c>
      <c r="N40" s="113">
        <v>0.0</v>
      </c>
      <c r="O40" s="106" t="s">
        <v>1296</v>
      </c>
      <c r="P40" s="106" t="s">
        <v>46</v>
      </c>
      <c r="Q40" s="45" t="s">
        <v>1006</v>
      </c>
      <c r="R40" s="45">
        <v>95.0</v>
      </c>
      <c r="S40" s="45">
        <v>2019.0</v>
      </c>
      <c r="T40" s="45">
        <v>96.0</v>
      </c>
      <c r="U40" s="45">
        <v>2021.0</v>
      </c>
      <c r="V40" s="45">
        <v>0.0</v>
      </c>
      <c r="W40" s="45">
        <v>-5.0</v>
      </c>
      <c r="X40" s="45">
        <v>2025.0</v>
      </c>
      <c r="Y40" s="45">
        <v>0.0</v>
      </c>
      <c r="Z40" s="45">
        <v>2.0</v>
      </c>
      <c r="AA40" s="45" t="s">
        <v>1297</v>
      </c>
      <c r="AB40" s="45" t="s">
        <v>1298</v>
      </c>
      <c r="AC40" s="45">
        <v>6.304314963E9</v>
      </c>
      <c r="AD40" s="45">
        <v>9.963851326E9</v>
      </c>
      <c r="AE40" s="45">
        <v>0.0</v>
      </c>
      <c r="AF40" s="45">
        <v>0.0</v>
      </c>
      <c r="AG40" s="45" t="s">
        <v>1299</v>
      </c>
      <c r="AH40" s="45" t="s">
        <v>1300</v>
      </c>
      <c r="AI40" s="45">
        <v>7.97</v>
      </c>
      <c r="AJ40" s="45">
        <v>7.73</v>
      </c>
      <c r="AK40" s="45">
        <v>7.3</v>
      </c>
      <c r="AL40" s="45">
        <v>0.0</v>
      </c>
      <c r="AM40" s="45">
        <v>7.56</v>
      </c>
      <c r="AN40" s="45">
        <v>0.0</v>
      </c>
      <c r="AO40" s="45" t="s">
        <v>27</v>
      </c>
      <c r="AQ40" s="45" t="s">
        <v>1011</v>
      </c>
      <c r="AT40" s="45" t="s">
        <v>1012</v>
      </c>
    </row>
    <row r="41">
      <c r="A41" s="107"/>
      <c r="B41" s="108" t="s">
        <v>167</v>
      </c>
      <c r="C41" s="109" t="s">
        <v>1301</v>
      </c>
      <c r="D41" s="108" t="s">
        <v>1302</v>
      </c>
      <c r="E41" s="108" t="s">
        <v>168</v>
      </c>
      <c r="F41" s="108">
        <v>0.0</v>
      </c>
      <c r="G41" s="110">
        <v>6.64992E11</v>
      </c>
      <c r="H41" s="111" t="s">
        <v>1003</v>
      </c>
      <c r="I41" s="111" t="s">
        <v>1003</v>
      </c>
      <c r="J41" s="111" t="s">
        <v>1003</v>
      </c>
      <c r="K41" s="108" t="s">
        <v>1003</v>
      </c>
      <c r="L41" s="112" t="s">
        <v>1303</v>
      </c>
      <c r="M41" s="106">
        <v>8943.0</v>
      </c>
      <c r="N41" s="113">
        <v>0.0</v>
      </c>
      <c r="O41" s="114">
        <v>38085.0</v>
      </c>
      <c r="P41" s="106" t="s">
        <v>46</v>
      </c>
      <c r="Q41" s="45" t="s">
        <v>1006</v>
      </c>
      <c r="R41" s="45">
        <v>98.0</v>
      </c>
      <c r="S41" s="45">
        <v>2019.0</v>
      </c>
      <c r="T41" s="45">
        <v>97.0</v>
      </c>
      <c r="U41" s="45">
        <v>2021.0</v>
      </c>
      <c r="V41" s="45">
        <v>8.98</v>
      </c>
      <c r="W41" s="45">
        <v>84.8</v>
      </c>
      <c r="X41" s="45">
        <v>2025.0</v>
      </c>
      <c r="Y41" s="45">
        <v>0.0</v>
      </c>
      <c r="Z41" s="45">
        <v>0.0</v>
      </c>
      <c r="AA41" s="45" t="s">
        <v>1304</v>
      </c>
      <c r="AB41" s="45" t="s">
        <v>1305</v>
      </c>
      <c r="AC41" s="45">
        <v>9.390476853E9</v>
      </c>
      <c r="AD41" s="45">
        <v>9.618448115E9</v>
      </c>
      <c r="AE41" s="45" t="s">
        <v>125</v>
      </c>
      <c r="AF41" s="45">
        <v>0.0</v>
      </c>
      <c r="AG41" s="45" t="s">
        <v>1306</v>
      </c>
      <c r="AH41" s="45" t="s">
        <v>1307</v>
      </c>
      <c r="AI41" s="45">
        <v>9.57</v>
      </c>
      <c r="AJ41" s="45">
        <v>8.9</v>
      </c>
      <c r="AK41" s="45">
        <v>8.27</v>
      </c>
      <c r="AL41" s="45">
        <v>0.0</v>
      </c>
      <c r="AM41" s="45">
        <v>8.98</v>
      </c>
      <c r="AN41" s="45">
        <v>8.98</v>
      </c>
      <c r="AO41" s="45" t="s">
        <v>27</v>
      </c>
      <c r="AQ41" s="45" t="s">
        <v>1011</v>
      </c>
      <c r="AT41" s="45" t="s">
        <v>1028</v>
      </c>
    </row>
    <row r="42">
      <c r="A42" s="107"/>
      <c r="B42" s="108" t="s">
        <v>169</v>
      </c>
      <c r="C42" s="109" t="s">
        <v>1308</v>
      </c>
      <c r="D42" s="108" t="s">
        <v>1309</v>
      </c>
      <c r="E42" s="108" t="s">
        <v>170</v>
      </c>
      <c r="F42" s="108">
        <v>0.0</v>
      </c>
      <c r="G42" s="110">
        <v>8.10027E11</v>
      </c>
      <c r="H42" s="111" t="s">
        <v>1003</v>
      </c>
      <c r="I42" s="111">
        <v>728.0</v>
      </c>
      <c r="J42" s="111" t="s">
        <v>1003</v>
      </c>
      <c r="K42" s="108" t="s">
        <v>1003</v>
      </c>
      <c r="L42" s="112" t="s">
        <v>1310</v>
      </c>
      <c r="M42" s="106">
        <v>31865.0</v>
      </c>
      <c r="N42" s="113">
        <v>0.0</v>
      </c>
      <c r="O42" s="106" t="s">
        <v>1311</v>
      </c>
      <c r="P42" s="106" t="s">
        <v>46</v>
      </c>
      <c r="Q42" s="45" t="s">
        <v>1006</v>
      </c>
      <c r="R42" s="45">
        <v>83.4</v>
      </c>
      <c r="S42" s="45">
        <v>2019.0</v>
      </c>
      <c r="T42" s="45">
        <v>88.6</v>
      </c>
      <c r="U42" s="45">
        <v>2021.0</v>
      </c>
      <c r="V42" s="45">
        <v>8.23</v>
      </c>
      <c r="W42" s="45">
        <v>77.3</v>
      </c>
      <c r="X42" s="45">
        <v>2025.0</v>
      </c>
      <c r="Y42" s="45">
        <v>0.0</v>
      </c>
      <c r="Z42" s="45">
        <v>0.0</v>
      </c>
      <c r="AA42" s="45" t="s">
        <v>1312</v>
      </c>
      <c r="AB42" s="45" t="s">
        <v>1313</v>
      </c>
      <c r="AC42" s="45">
        <v>9.515742463E9</v>
      </c>
      <c r="AD42" s="45">
        <v>9.65247461E9</v>
      </c>
      <c r="AE42" s="45" t="s">
        <v>52</v>
      </c>
      <c r="AF42" s="45">
        <v>0.0</v>
      </c>
      <c r="AG42" s="45" t="s">
        <v>1314</v>
      </c>
      <c r="AH42" s="45" t="s">
        <v>1315</v>
      </c>
      <c r="AI42" s="45">
        <v>8.27</v>
      </c>
      <c r="AJ42" s="45">
        <v>8.41</v>
      </c>
      <c r="AK42" s="45">
        <v>8.52</v>
      </c>
      <c r="AL42" s="45">
        <v>0.0</v>
      </c>
      <c r="AM42" s="45">
        <v>8.39</v>
      </c>
      <c r="AN42" s="45">
        <v>8.23</v>
      </c>
      <c r="AO42" s="45" t="s">
        <v>27</v>
      </c>
      <c r="AQ42" s="45" t="s">
        <v>1011</v>
      </c>
      <c r="AT42" s="45" t="s">
        <v>1012</v>
      </c>
    </row>
    <row r="43">
      <c r="A43" s="107"/>
      <c r="B43" s="108" t="s">
        <v>171</v>
      </c>
      <c r="C43" s="109" t="s">
        <v>1316</v>
      </c>
      <c r="D43" s="108" t="s">
        <v>1317</v>
      </c>
      <c r="E43" s="108" t="s">
        <v>172</v>
      </c>
      <c r="F43" s="108">
        <v>0.0</v>
      </c>
      <c r="G43" s="110">
        <v>2.65819E11</v>
      </c>
      <c r="H43" s="111" t="s">
        <v>1003</v>
      </c>
      <c r="I43" s="111" t="s">
        <v>1003</v>
      </c>
      <c r="J43" s="111" t="s">
        <v>1003</v>
      </c>
      <c r="K43" s="108" t="s">
        <v>1003</v>
      </c>
      <c r="L43" s="112" t="s">
        <v>1318</v>
      </c>
      <c r="M43" s="106">
        <v>14030.0</v>
      </c>
      <c r="N43" s="113">
        <v>0.0</v>
      </c>
      <c r="O43" s="114">
        <v>37714.0</v>
      </c>
      <c r="P43" s="106" t="s">
        <v>46</v>
      </c>
      <c r="Q43" s="45" t="s">
        <v>1006</v>
      </c>
      <c r="R43" s="45">
        <v>95.0</v>
      </c>
      <c r="S43" s="45">
        <v>2019.0</v>
      </c>
      <c r="T43" s="45">
        <v>98.0</v>
      </c>
      <c r="U43" s="45">
        <v>2021.0</v>
      </c>
      <c r="V43" s="45">
        <v>9.06</v>
      </c>
      <c r="W43" s="45">
        <v>85.6</v>
      </c>
      <c r="X43" s="45">
        <v>2025.0</v>
      </c>
      <c r="Y43" s="45">
        <v>0.0</v>
      </c>
      <c r="Z43" s="45">
        <v>0.0</v>
      </c>
      <c r="AA43" s="45" t="s">
        <v>1319</v>
      </c>
      <c r="AB43" s="45" t="s">
        <v>1320</v>
      </c>
      <c r="AC43" s="45">
        <v>9.849413155E9</v>
      </c>
      <c r="AD43" s="45">
        <v>9.55066993E9</v>
      </c>
      <c r="AE43" s="45" t="s">
        <v>69</v>
      </c>
      <c r="AF43" s="45" t="s">
        <v>69</v>
      </c>
      <c r="AG43" s="45" t="s">
        <v>1321</v>
      </c>
      <c r="AH43" s="45" t="s">
        <v>1322</v>
      </c>
      <c r="AI43" s="45">
        <v>9.49</v>
      </c>
      <c r="AJ43" s="45">
        <v>8.93</v>
      </c>
      <c r="AK43" s="45">
        <v>9.05</v>
      </c>
      <c r="AL43" s="45">
        <v>0.0</v>
      </c>
      <c r="AM43" s="45">
        <v>9.13</v>
      </c>
      <c r="AN43" s="45">
        <v>9.06</v>
      </c>
      <c r="AO43" s="45" t="s">
        <v>27</v>
      </c>
      <c r="AQ43" s="45" t="s">
        <v>1011</v>
      </c>
      <c r="AT43" s="45" t="s">
        <v>1012</v>
      </c>
    </row>
    <row r="44">
      <c r="A44" s="107"/>
      <c r="B44" s="108" t="s">
        <v>173</v>
      </c>
      <c r="C44" s="109" t="s">
        <v>1323</v>
      </c>
      <c r="D44" s="108" t="s">
        <v>1324</v>
      </c>
      <c r="E44" s="108" t="s">
        <v>174</v>
      </c>
      <c r="F44" s="108">
        <v>0.0</v>
      </c>
      <c r="G44" s="110">
        <v>3.36781E11</v>
      </c>
      <c r="H44" s="111" t="s">
        <v>1003</v>
      </c>
      <c r="I44" s="111" t="s">
        <v>1003</v>
      </c>
      <c r="J44" s="111" t="s">
        <v>1003</v>
      </c>
      <c r="K44" s="108" t="s">
        <v>1003</v>
      </c>
      <c r="L44" s="112" t="s">
        <v>1325</v>
      </c>
      <c r="M44" s="106">
        <v>0.0</v>
      </c>
      <c r="N44" s="113">
        <v>0.0</v>
      </c>
      <c r="O44" s="106" t="s">
        <v>1326</v>
      </c>
      <c r="P44" s="106" t="s">
        <v>46</v>
      </c>
      <c r="Q44" s="45" t="s">
        <v>1006</v>
      </c>
      <c r="R44" s="45">
        <v>71.2</v>
      </c>
      <c r="S44" s="45">
        <v>2019.0</v>
      </c>
      <c r="T44" s="45">
        <v>85.0</v>
      </c>
      <c r="U44" s="45">
        <v>2021.0</v>
      </c>
      <c r="V44" s="45">
        <v>0.0</v>
      </c>
      <c r="W44" s="45">
        <v>-5.0</v>
      </c>
      <c r="X44" s="45">
        <v>2025.0</v>
      </c>
      <c r="Y44" s="45">
        <v>6.0</v>
      </c>
      <c r="Z44" s="45">
        <v>8.0</v>
      </c>
      <c r="AA44" s="45" t="s">
        <v>1327</v>
      </c>
      <c r="AB44" s="45" t="s">
        <v>1328</v>
      </c>
      <c r="AC44" s="45">
        <v>7.288073616E9</v>
      </c>
      <c r="AD44" s="45">
        <v>9.440723973E9</v>
      </c>
      <c r="AE44" s="45">
        <v>0.0</v>
      </c>
      <c r="AF44" s="45">
        <v>0.0</v>
      </c>
      <c r="AG44" s="45" t="s">
        <v>1329</v>
      </c>
      <c r="AH44" s="45" t="s">
        <v>1330</v>
      </c>
      <c r="AI44" s="45">
        <v>7.32</v>
      </c>
      <c r="AJ44" s="45">
        <v>0.0</v>
      </c>
      <c r="AK44" s="45">
        <v>0.0</v>
      </c>
      <c r="AL44" s="45">
        <v>0.0</v>
      </c>
      <c r="AM44" s="45">
        <v>5.62</v>
      </c>
      <c r="AN44" s="45">
        <v>0.0</v>
      </c>
      <c r="AO44" s="45" t="s">
        <v>28</v>
      </c>
      <c r="AQ44" s="45" t="s">
        <v>1011</v>
      </c>
      <c r="AT44" s="45" t="s">
        <v>1012</v>
      </c>
    </row>
    <row r="45">
      <c r="A45" s="107"/>
      <c r="B45" s="108" t="s">
        <v>176</v>
      </c>
      <c r="C45" s="109" t="s">
        <v>1331</v>
      </c>
      <c r="D45" s="108" t="s">
        <v>1332</v>
      </c>
      <c r="E45" s="108" t="s">
        <v>177</v>
      </c>
      <c r="F45" s="108">
        <v>0.0</v>
      </c>
      <c r="G45" s="110">
        <v>3.99505E11</v>
      </c>
      <c r="H45" s="111" t="s">
        <v>1003</v>
      </c>
      <c r="I45" s="111">
        <v>822.0</v>
      </c>
      <c r="J45" s="111" t="s">
        <v>1003</v>
      </c>
      <c r="K45" s="108" t="s">
        <v>1003</v>
      </c>
      <c r="L45" s="112" t="s">
        <v>1333</v>
      </c>
      <c r="M45" s="106">
        <v>7523.0</v>
      </c>
      <c r="N45" s="113">
        <v>0.0</v>
      </c>
      <c r="O45" s="114">
        <v>38049.0</v>
      </c>
      <c r="P45" s="106" t="s">
        <v>46</v>
      </c>
      <c r="Q45" s="45" t="s">
        <v>1006</v>
      </c>
      <c r="R45" s="45">
        <v>97.0</v>
      </c>
      <c r="S45" s="45">
        <v>2019.0</v>
      </c>
      <c r="T45" s="45">
        <v>89.8</v>
      </c>
      <c r="U45" s="45">
        <v>2021.0</v>
      </c>
      <c r="V45" s="45">
        <v>8.48</v>
      </c>
      <c r="W45" s="45">
        <v>79.8</v>
      </c>
      <c r="X45" s="45">
        <v>2025.0</v>
      </c>
      <c r="Y45" s="45">
        <v>0.0</v>
      </c>
      <c r="Z45" s="45">
        <v>0.0</v>
      </c>
      <c r="AA45" s="45" t="s">
        <v>1334</v>
      </c>
      <c r="AB45" s="45" t="s">
        <v>1335</v>
      </c>
      <c r="AC45" s="45">
        <v>9.030788579E9</v>
      </c>
      <c r="AD45" s="45">
        <v>9.959811144E9</v>
      </c>
      <c r="AE45" s="45" t="s">
        <v>1336</v>
      </c>
      <c r="AF45" s="45">
        <v>0.0</v>
      </c>
      <c r="AG45" s="45" t="s">
        <v>1337</v>
      </c>
      <c r="AH45" s="45" t="s">
        <v>1338</v>
      </c>
      <c r="AI45" s="45">
        <v>8.3</v>
      </c>
      <c r="AJ45" s="45">
        <v>8.83</v>
      </c>
      <c r="AK45" s="45">
        <v>8.55</v>
      </c>
      <c r="AL45" s="45">
        <v>0.0</v>
      </c>
      <c r="AM45" s="45">
        <v>8.49</v>
      </c>
      <c r="AN45" s="45">
        <v>8.48</v>
      </c>
      <c r="AO45" s="45" t="s">
        <v>27</v>
      </c>
      <c r="AQ45" s="45" t="s">
        <v>1011</v>
      </c>
      <c r="AT45" s="45" t="s">
        <v>1012</v>
      </c>
    </row>
    <row r="46">
      <c r="A46" s="107"/>
      <c r="B46" s="108" t="s">
        <v>179</v>
      </c>
      <c r="C46" s="109" t="s">
        <v>1339</v>
      </c>
      <c r="D46" s="108" t="s">
        <v>1340</v>
      </c>
      <c r="E46" s="108" t="s">
        <v>180</v>
      </c>
      <c r="F46" s="108">
        <v>0.0</v>
      </c>
      <c r="G46" s="110">
        <v>3.40361E11</v>
      </c>
      <c r="H46" s="111" t="s">
        <v>1003</v>
      </c>
      <c r="I46" s="111" t="s">
        <v>1003</v>
      </c>
      <c r="J46" s="111" t="s">
        <v>1003</v>
      </c>
      <c r="K46" s="108" t="s">
        <v>1003</v>
      </c>
      <c r="L46" s="112" t="s">
        <v>1341</v>
      </c>
      <c r="M46" s="106">
        <v>24771.0</v>
      </c>
      <c r="N46" s="113">
        <v>0.0</v>
      </c>
      <c r="O46" s="114">
        <v>37289.0</v>
      </c>
      <c r="P46" s="106" t="s">
        <v>46</v>
      </c>
      <c r="Q46" s="45" t="s">
        <v>1006</v>
      </c>
      <c r="R46" s="45">
        <v>93.0</v>
      </c>
      <c r="S46" s="45">
        <v>2019.0</v>
      </c>
      <c r="T46" s="45">
        <v>92.8</v>
      </c>
      <c r="U46" s="45">
        <v>2021.0</v>
      </c>
      <c r="V46" s="45">
        <v>7.62</v>
      </c>
      <c r="W46" s="45">
        <v>71.2</v>
      </c>
      <c r="X46" s="45">
        <v>2025.0</v>
      </c>
      <c r="Y46" s="45">
        <v>0.0</v>
      </c>
      <c r="Z46" s="45">
        <v>0.0</v>
      </c>
      <c r="AA46" s="45" t="s">
        <v>1342</v>
      </c>
      <c r="AB46" s="45" t="s">
        <v>1343</v>
      </c>
      <c r="AC46" s="45">
        <v>7.995423141E9</v>
      </c>
      <c r="AD46" s="45">
        <v>9.392854843E9</v>
      </c>
      <c r="AE46" s="45">
        <v>0.0</v>
      </c>
      <c r="AF46" s="45">
        <v>0.0</v>
      </c>
      <c r="AG46" s="45" t="s">
        <v>1344</v>
      </c>
      <c r="AH46" s="45" t="s">
        <v>1345</v>
      </c>
      <c r="AI46" s="45">
        <v>7.49</v>
      </c>
      <c r="AJ46" s="45">
        <v>6.98</v>
      </c>
      <c r="AK46" s="45">
        <v>8.25</v>
      </c>
      <c r="AL46" s="45">
        <v>0.0</v>
      </c>
      <c r="AM46" s="45">
        <v>7.6</v>
      </c>
      <c r="AN46" s="45">
        <v>7.62</v>
      </c>
      <c r="AO46" s="45" t="s">
        <v>27</v>
      </c>
      <c r="AQ46" s="45" t="s">
        <v>1011</v>
      </c>
      <c r="AT46" s="45" t="s">
        <v>1012</v>
      </c>
    </row>
    <row r="47">
      <c r="A47" s="107"/>
      <c r="B47" s="108" t="s">
        <v>181</v>
      </c>
      <c r="C47" s="109" t="s">
        <v>1346</v>
      </c>
      <c r="D47" s="108" t="s">
        <v>1347</v>
      </c>
      <c r="E47" s="108" t="s">
        <v>182</v>
      </c>
      <c r="F47" s="108">
        <v>0.0</v>
      </c>
      <c r="G47" s="110">
        <v>2.34958E11</v>
      </c>
      <c r="H47" s="111" t="s">
        <v>1003</v>
      </c>
      <c r="I47" s="111">
        <v>613.0</v>
      </c>
      <c r="J47" s="111" t="s">
        <v>1003</v>
      </c>
      <c r="K47" s="108" t="s">
        <v>1003</v>
      </c>
      <c r="L47" s="112" t="s">
        <v>1348</v>
      </c>
      <c r="M47" s="106">
        <v>23968.0</v>
      </c>
      <c r="N47" s="113">
        <v>0.0</v>
      </c>
      <c r="O47" s="106" t="s">
        <v>1349</v>
      </c>
      <c r="P47" s="106" t="s">
        <v>60</v>
      </c>
      <c r="Q47" s="45" t="s">
        <v>1006</v>
      </c>
      <c r="R47" s="45">
        <v>98.0</v>
      </c>
      <c r="S47" s="45">
        <v>2019.0</v>
      </c>
      <c r="T47" s="45">
        <v>97.8</v>
      </c>
      <c r="U47" s="45">
        <v>2021.0</v>
      </c>
      <c r="V47" s="45">
        <v>9.13</v>
      </c>
      <c r="W47" s="45">
        <v>86.3</v>
      </c>
      <c r="X47" s="45">
        <v>2025.0</v>
      </c>
      <c r="Y47" s="45">
        <v>0.0</v>
      </c>
      <c r="Z47" s="45">
        <v>0.0</v>
      </c>
      <c r="AA47" s="45" t="s">
        <v>1350</v>
      </c>
      <c r="AB47" s="45" t="s">
        <v>1351</v>
      </c>
      <c r="AC47" s="45">
        <v>9.494929279E9</v>
      </c>
      <c r="AD47" s="45">
        <v>9.98986797E9</v>
      </c>
      <c r="AE47" s="45" t="s">
        <v>183</v>
      </c>
      <c r="AF47" s="45" t="s">
        <v>61</v>
      </c>
      <c r="AG47" s="45" t="s">
        <v>1352</v>
      </c>
      <c r="AH47" s="45" t="s">
        <v>1353</v>
      </c>
      <c r="AI47" s="45">
        <v>9.49</v>
      </c>
      <c r="AJ47" s="45">
        <v>9.15</v>
      </c>
      <c r="AK47" s="45">
        <v>9.09</v>
      </c>
      <c r="AL47" s="45">
        <v>0.0</v>
      </c>
      <c r="AM47" s="45">
        <v>9.13</v>
      </c>
      <c r="AN47" s="45">
        <v>9.13</v>
      </c>
      <c r="AO47" s="45" t="s">
        <v>27</v>
      </c>
      <c r="AQ47" s="45" t="s">
        <v>1011</v>
      </c>
      <c r="AT47" s="45" t="s">
        <v>1012</v>
      </c>
    </row>
    <row r="48">
      <c r="A48" s="107"/>
      <c r="B48" s="108" t="s">
        <v>184</v>
      </c>
      <c r="C48" s="109" t="s">
        <v>1354</v>
      </c>
      <c r="D48" s="108" t="s">
        <v>1355</v>
      </c>
      <c r="E48" s="108" t="s">
        <v>185</v>
      </c>
      <c r="F48" s="108">
        <v>0.0</v>
      </c>
      <c r="G48" s="110">
        <v>4.33767E11</v>
      </c>
      <c r="H48" s="111" t="s">
        <v>1003</v>
      </c>
      <c r="I48" s="111" t="s">
        <v>1003</v>
      </c>
      <c r="J48" s="111" t="s">
        <v>1003</v>
      </c>
      <c r="K48" s="108" t="s">
        <v>1003</v>
      </c>
      <c r="L48" s="112" t="s">
        <v>1356</v>
      </c>
      <c r="M48" s="106">
        <v>0.0</v>
      </c>
      <c r="N48" s="113">
        <v>0.0</v>
      </c>
      <c r="O48" s="114">
        <v>38177.0</v>
      </c>
      <c r="P48" s="106" t="s">
        <v>46</v>
      </c>
      <c r="Q48" s="45" t="s">
        <v>1006</v>
      </c>
      <c r="R48" s="45">
        <v>81.0</v>
      </c>
      <c r="S48" s="45">
        <v>2019.0</v>
      </c>
      <c r="T48" s="45">
        <v>78.0</v>
      </c>
      <c r="U48" s="45">
        <v>2021.0</v>
      </c>
      <c r="V48" s="45">
        <v>7.62</v>
      </c>
      <c r="W48" s="45">
        <v>71.2</v>
      </c>
      <c r="X48" s="45">
        <v>2025.0</v>
      </c>
      <c r="Y48" s="45">
        <v>0.0</v>
      </c>
      <c r="Z48" s="45">
        <v>0.0</v>
      </c>
      <c r="AA48" s="45" t="s">
        <v>1357</v>
      </c>
      <c r="AB48" s="45" t="s">
        <v>1358</v>
      </c>
      <c r="AC48" s="45">
        <v>9.390999758E9</v>
      </c>
      <c r="AD48" s="45">
        <v>9.848064779E9</v>
      </c>
      <c r="AE48" s="45">
        <v>0.0</v>
      </c>
      <c r="AF48" s="45">
        <v>0.0</v>
      </c>
      <c r="AG48" s="45" t="s">
        <v>1359</v>
      </c>
      <c r="AH48" s="45" t="s">
        <v>1360</v>
      </c>
      <c r="AI48" s="45">
        <v>7.35</v>
      </c>
      <c r="AJ48" s="45">
        <v>7.66</v>
      </c>
      <c r="AK48" s="45">
        <v>0.0</v>
      </c>
      <c r="AL48" s="45">
        <v>0.0</v>
      </c>
      <c r="AM48" s="45">
        <v>7.62</v>
      </c>
      <c r="AN48" s="45">
        <v>7.62</v>
      </c>
      <c r="AO48" s="45" t="s">
        <v>28</v>
      </c>
      <c r="AQ48" s="45" t="s">
        <v>1011</v>
      </c>
      <c r="AT48" s="45" t="s">
        <v>1012</v>
      </c>
    </row>
    <row r="49">
      <c r="A49" s="107"/>
      <c r="B49" s="108" t="s">
        <v>186</v>
      </c>
      <c r="C49" s="109" t="s">
        <v>16</v>
      </c>
      <c r="D49" s="108" t="s">
        <v>1361</v>
      </c>
      <c r="E49" s="108" t="s">
        <v>187</v>
      </c>
      <c r="F49" s="108">
        <v>0.0</v>
      </c>
      <c r="G49" s="110">
        <v>9.03711E11</v>
      </c>
      <c r="H49" s="111" t="s">
        <v>1003</v>
      </c>
      <c r="I49" s="111" t="s">
        <v>1003</v>
      </c>
      <c r="J49" s="111" t="s">
        <v>1003</v>
      </c>
      <c r="K49" s="108" t="s">
        <v>1003</v>
      </c>
      <c r="L49" s="112" t="s">
        <v>1362</v>
      </c>
      <c r="M49" s="106">
        <v>9320.0</v>
      </c>
      <c r="N49" s="113">
        <v>0.0</v>
      </c>
      <c r="O49" s="114">
        <v>38150.0</v>
      </c>
      <c r="P49" s="106" t="s">
        <v>46</v>
      </c>
      <c r="Q49" s="45" t="s">
        <v>1006</v>
      </c>
      <c r="R49" s="45">
        <v>95.8</v>
      </c>
      <c r="S49" s="45">
        <v>2019.0</v>
      </c>
      <c r="T49" s="45">
        <v>96.8</v>
      </c>
      <c r="U49" s="45">
        <v>2021.0</v>
      </c>
      <c r="V49" s="45">
        <v>8.94</v>
      </c>
      <c r="W49" s="45">
        <v>84.4</v>
      </c>
      <c r="X49" s="45">
        <v>2025.0</v>
      </c>
      <c r="Y49" s="45">
        <v>0.0</v>
      </c>
      <c r="Z49" s="45">
        <v>0.0</v>
      </c>
      <c r="AA49" s="45" t="s">
        <v>1363</v>
      </c>
      <c r="AB49" s="45" t="s">
        <v>1364</v>
      </c>
      <c r="AC49" s="45">
        <v>8.897171517E9</v>
      </c>
      <c r="AD49" s="45">
        <v>9.949726872E9</v>
      </c>
      <c r="AE49" s="45" t="s">
        <v>189</v>
      </c>
      <c r="AF49" s="45" t="s">
        <v>188</v>
      </c>
      <c r="AG49" s="45" t="s">
        <v>1365</v>
      </c>
      <c r="AH49" s="45" t="s">
        <v>1366</v>
      </c>
      <c r="AI49" s="45">
        <v>8.95</v>
      </c>
      <c r="AJ49" s="45">
        <v>9.07</v>
      </c>
      <c r="AK49" s="45">
        <v>9.14</v>
      </c>
      <c r="AL49" s="45">
        <v>0.0</v>
      </c>
      <c r="AM49" s="45">
        <v>8.97</v>
      </c>
      <c r="AN49" s="45">
        <v>8.94</v>
      </c>
      <c r="AO49" s="45" t="s">
        <v>27</v>
      </c>
      <c r="AQ49" s="45" t="s">
        <v>1011</v>
      </c>
      <c r="AT49" s="45" t="s">
        <v>1012</v>
      </c>
    </row>
    <row r="50">
      <c r="A50" s="107"/>
      <c r="B50" s="108" t="s">
        <v>190</v>
      </c>
      <c r="C50" s="109" t="s">
        <v>1367</v>
      </c>
      <c r="D50" s="108" t="s">
        <v>1368</v>
      </c>
      <c r="E50" s="108" t="s">
        <v>191</v>
      </c>
      <c r="F50" s="108">
        <v>0.0</v>
      </c>
      <c r="G50" s="110">
        <v>9.17069E11</v>
      </c>
      <c r="H50" s="111" t="s">
        <v>1003</v>
      </c>
      <c r="I50" s="111">
        <v>240.0</v>
      </c>
      <c r="J50" s="111" t="s">
        <v>1003</v>
      </c>
      <c r="K50" s="108" t="s">
        <v>1003</v>
      </c>
      <c r="L50" s="112" t="s">
        <v>1369</v>
      </c>
      <c r="M50" s="106">
        <v>29883.0</v>
      </c>
      <c r="N50" s="113">
        <v>0.0</v>
      </c>
      <c r="O50" s="114">
        <v>37257.0</v>
      </c>
      <c r="P50" s="106" t="s">
        <v>46</v>
      </c>
      <c r="Q50" s="45" t="s">
        <v>1006</v>
      </c>
      <c r="R50" s="45">
        <v>95.0</v>
      </c>
      <c r="S50" s="45">
        <v>2018.0</v>
      </c>
      <c r="T50" s="45">
        <v>79.1</v>
      </c>
      <c r="U50" s="45">
        <v>2020.0</v>
      </c>
      <c r="V50" s="45">
        <v>0.0</v>
      </c>
      <c r="W50" s="45">
        <v>-5.0</v>
      </c>
      <c r="X50" s="45">
        <v>2025.0</v>
      </c>
      <c r="Y50" s="45">
        <v>4.0</v>
      </c>
      <c r="Z50" s="45">
        <v>5.0</v>
      </c>
      <c r="AA50" s="45" t="s">
        <v>1370</v>
      </c>
      <c r="AB50" s="45" t="s">
        <v>1371</v>
      </c>
      <c r="AC50" s="45">
        <v>9.705424373E9</v>
      </c>
      <c r="AD50" s="45">
        <v>9.705424373E9</v>
      </c>
      <c r="AE50" s="45">
        <v>0.0</v>
      </c>
      <c r="AF50" s="45">
        <v>0.0</v>
      </c>
      <c r="AG50" s="45" t="s">
        <v>1372</v>
      </c>
      <c r="AH50" s="45" t="s">
        <v>1373</v>
      </c>
      <c r="AI50" s="45">
        <v>7.11</v>
      </c>
      <c r="AJ50" s="45">
        <v>0.0</v>
      </c>
      <c r="AK50" s="45">
        <v>0.0</v>
      </c>
      <c r="AL50" s="45">
        <v>0.0</v>
      </c>
      <c r="AM50" s="45">
        <v>6.47</v>
      </c>
      <c r="AN50" s="45">
        <v>0.0</v>
      </c>
      <c r="AO50" s="45" t="s">
        <v>27</v>
      </c>
      <c r="AQ50" s="45" t="s">
        <v>1011</v>
      </c>
      <c r="AT50" s="45" t="s">
        <v>1028</v>
      </c>
    </row>
    <row r="51">
      <c r="A51" s="107"/>
      <c r="B51" s="108" t="s">
        <v>192</v>
      </c>
      <c r="C51" s="109" t="s">
        <v>1374</v>
      </c>
      <c r="D51" s="108" t="s">
        <v>1375</v>
      </c>
      <c r="E51" s="108" t="s">
        <v>193</v>
      </c>
      <c r="F51" s="108">
        <v>0.0</v>
      </c>
      <c r="G51" s="110">
        <v>7.55978E11</v>
      </c>
      <c r="H51" s="111" t="s">
        <v>1003</v>
      </c>
      <c r="I51" s="111" t="s">
        <v>1003</v>
      </c>
      <c r="J51" s="111" t="s">
        <v>1003</v>
      </c>
      <c r="K51" s="108" t="s">
        <v>1003</v>
      </c>
      <c r="L51" s="112" t="s">
        <v>1376</v>
      </c>
      <c r="M51" s="106">
        <v>8884.0</v>
      </c>
      <c r="N51" s="113">
        <v>0.0</v>
      </c>
      <c r="O51" s="114">
        <v>38114.0</v>
      </c>
      <c r="P51" s="106" t="s">
        <v>46</v>
      </c>
      <c r="Q51" s="45" t="s">
        <v>1006</v>
      </c>
      <c r="R51" s="45">
        <v>75.0</v>
      </c>
      <c r="S51" s="45">
        <v>2019.0</v>
      </c>
      <c r="T51" s="45">
        <v>68.0</v>
      </c>
      <c r="U51" s="45">
        <v>2021.0</v>
      </c>
      <c r="V51" s="45">
        <v>7.07</v>
      </c>
      <c r="W51" s="45">
        <v>65.7</v>
      </c>
      <c r="X51" s="45">
        <v>2025.0</v>
      </c>
      <c r="Y51" s="45">
        <v>0.0</v>
      </c>
      <c r="Z51" s="45">
        <v>0.0</v>
      </c>
      <c r="AA51" s="45" t="s">
        <v>1377</v>
      </c>
      <c r="AB51" s="45" t="s">
        <v>1378</v>
      </c>
      <c r="AC51" s="45">
        <v>8.341999123E9</v>
      </c>
      <c r="AD51" s="45">
        <v>9.948108221E9</v>
      </c>
      <c r="AE51" s="45" t="s">
        <v>194</v>
      </c>
      <c r="AF51" s="45">
        <v>0.0</v>
      </c>
      <c r="AG51" s="45" t="s">
        <v>1379</v>
      </c>
      <c r="AH51" s="45" t="s">
        <v>1380</v>
      </c>
      <c r="AI51" s="45">
        <v>7.57</v>
      </c>
      <c r="AJ51" s="45">
        <v>7.39</v>
      </c>
      <c r="AK51" s="45">
        <v>6.5</v>
      </c>
      <c r="AL51" s="45">
        <v>0.0</v>
      </c>
      <c r="AM51" s="45">
        <v>7.16</v>
      </c>
      <c r="AN51" s="45">
        <v>7.07</v>
      </c>
      <c r="AO51" s="45" t="s">
        <v>27</v>
      </c>
      <c r="AQ51" s="45" t="s">
        <v>1011</v>
      </c>
      <c r="AT51" s="45" t="s">
        <v>1012</v>
      </c>
    </row>
    <row r="52">
      <c r="A52" s="107"/>
      <c r="B52" s="108" t="s">
        <v>195</v>
      </c>
      <c r="C52" s="109" t="s">
        <v>1381</v>
      </c>
      <c r="D52" s="108" t="s">
        <v>1382</v>
      </c>
      <c r="E52" s="108" t="s">
        <v>196</v>
      </c>
      <c r="F52" s="108">
        <v>0.0</v>
      </c>
      <c r="G52" s="110">
        <v>6.53443E11</v>
      </c>
      <c r="H52" s="111" t="s">
        <v>1003</v>
      </c>
      <c r="I52" s="111" t="s">
        <v>1003</v>
      </c>
      <c r="J52" s="111" t="s">
        <v>1003</v>
      </c>
      <c r="K52" s="108" t="s">
        <v>1003</v>
      </c>
      <c r="L52" s="112" t="s">
        <v>1383</v>
      </c>
      <c r="M52" s="106">
        <v>3455.0</v>
      </c>
      <c r="N52" s="113">
        <v>0.0</v>
      </c>
      <c r="O52" s="114">
        <v>37628.0</v>
      </c>
      <c r="P52" s="106" t="s">
        <v>46</v>
      </c>
      <c r="Q52" s="45" t="s">
        <v>1006</v>
      </c>
      <c r="R52" s="45">
        <v>100.0</v>
      </c>
      <c r="S52" s="45">
        <v>2019.0</v>
      </c>
      <c r="T52" s="45">
        <v>97.9</v>
      </c>
      <c r="U52" s="45">
        <v>2021.0</v>
      </c>
      <c r="V52" s="45">
        <v>9.23</v>
      </c>
      <c r="W52" s="45">
        <v>87.3</v>
      </c>
      <c r="X52" s="45">
        <v>2025.0</v>
      </c>
      <c r="Y52" s="45">
        <v>0.0</v>
      </c>
      <c r="Z52" s="45">
        <v>0.0</v>
      </c>
      <c r="AA52" s="45" t="s">
        <v>1384</v>
      </c>
      <c r="AB52" s="45" t="s">
        <v>1385</v>
      </c>
      <c r="AC52" s="45">
        <v>9.182757161E9</v>
      </c>
      <c r="AD52" s="45">
        <v>9.441111897E9</v>
      </c>
      <c r="AE52" s="45" t="s">
        <v>210</v>
      </c>
      <c r="AF52" s="45">
        <v>0.0</v>
      </c>
      <c r="AG52" s="45" t="s">
        <v>1386</v>
      </c>
      <c r="AH52" s="45" t="s">
        <v>1387</v>
      </c>
      <c r="AI52" s="45">
        <v>9.19</v>
      </c>
      <c r="AJ52" s="45">
        <v>9.51</v>
      </c>
      <c r="AK52" s="45">
        <v>9.09</v>
      </c>
      <c r="AL52" s="45">
        <v>0.0</v>
      </c>
      <c r="AM52" s="45">
        <v>9.2</v>
      </c>
      <c r="AN52" s="45">
        <v>9.23</v>
      </c>
      <c r="AO52" s="45" t="s">
        <v>27</v>
      </c>
      <c r="AQ52" s="45" t="s">
        <v>1011</v>
      </c>
      <c r="AT52" s="45" t="s">
        <v>1028</v>
      </c>
    </row>
    <row r="53">
      <c r="A53" s="107"/>
      <c r="B53" s="108" t="s">
        <v>198</v>
      </c>
      <c r="C53" s="109" t="s">
        <v>1388</v>
      </c>
      <c r="D53" s="108" t="s">
        <v>1389</v>
      </c>
      <c r="E53" s="108" t="s">
        <v>199</v>
      </c>
      <c r="F53" s="108">
        <v>0.0</v>
      </c>
      <c r="G53" s="110">
        <v>6.90761E11</v>
      </c>
      <c r="H53" s="111" t="s">
        <v>1003</v>
      </c>
      <c r="I53" s="111">
        <v>167.0</v>
      </c>
      <c r="J53" s="111" t="s">
        <v>1003</v>
      </c>
      <c r="K53" s="108" t="s">
        <v>1003</v>
      </c>
      <c r="L53" s="112" t="s">
        <v>1390</v>
      </c>
      <c r="M53" s="106">
        <v>19658.0</v>
      </c>
      <c r="N53" s="113">
        <v>0.0</v>
      </c>
      <c r="O53" s="114">
        <v>37780.0</v>
      </c>
      <c r="P53" s="106" t="s">
        <v>60</v>
      </c>
      <c r="Q53" s="45" t="s">
        <v>1006</v>
      </c>
      <c r="R53" s="45">
        <v>92.0</v>
      </c>
      <c r="S53" s="45">
        <v>2019.0</v>
      </c>
      <c r="T53" s="45">
        <v>94.0</v>
      </c>
      <c r="U53" s="45">
        <v>2021.0</v>
      </c>
      <c r="V53" s="45">
        <v>7.62</v>
      </c>
      <c r="W53" s="45">
        <v>71.2</v>
      </c>
      <c r="X53" s="45">
        <v>2025.0</v>
      </c>
      <c r="Y53" s="45">
        <v>0.0</v>
      </c>
      <c r="Z53" s="45">
        <v>0.0</v>
      </c>
      <c r="AA53" s="45" t="s">
        <v>1391</v>
      </c>
      <c r="AB53" s="45" t="s">
        <v>1392</v>
      </c>
      <c r="AC53" s="45">
        <v>7.70274523E9</v>
      </c>
      <c r="AD53" s="45">
        <v>9.989230784E9</v>
      </c>
      <c r="AE53" s="45">
        <v>0.0</v>
      </c>
      <c r="AF53" s="45">
        <v>0.0</v>
      </c>
      <c r="AG53" s="45" t="s">
        <v>1393</v>
      </c>
      <c r="AH53" s="45" t="s">
        <v>1394</v>
      </c>
      <c r="AI53" s="45">
        <v>8.3</v>
      </c>
      <c r="AJ53" s="45">
        <v>7.76</v>
      </c>
      <c r="AK53" s="45">
        <v>7.82</v>
      </c>
      <c r="AL53" s="45">
        <v>0.0</v>
      </c>
      <c r="AM53" s="45">
        <v>7.66</v>
      </c>
      <c r="AN53" s="45">
        <v>7.62</v>
      </c>
      <c r="AO53" s="45" t="s">
        <v>27</v>
      </c>
      <c r="AQ53" s="45" t="s">
        <v>1011</v>
      </c>
      <c r="AT53" s="45" t="s">
        <v>1012</v>
      </c>
    </row>
    <row r="54">
      <c r="A54" s="107"/>
      <c r="B54" s="108" t="s">
        <v>200</v>
      </c>
      <c r="C54" s="109" t="s">
        <v>1395</v>
      </c>
      <c r="D54" s="108" t="s">
        <v>1396</v>
      </c>
      <c r="E54" s="108" t="s">
        <v>201</v>
      </c>
      <c r="F54" s="108">
        <v>0.0</v>
      </c>
      <c r="G54" s="110">
        <v>7.34504E11</v>
      </c>
      <c r="H54" s="111" t="s">
        <v>1003</v>
      </c>
      <c r="I54" s="111">
        <v>1060.0</v>
      </c>
      <c r="J54" s="111">
        <v>6191.0</v>
      </c>
      <c r="K54" s="108">
        <v>6425.0</v>
      </c>
      <c r="L54" s="112" t="s">
        <v>1031</v>
      </c>
      <c r="M54" s="106">
        <v>0.0</v>
      </c>
      <c r="N54" s="113">
        <v>0.0</v>
      </c>
      <c r="O54" s="106" t="s">
        <v>1397</v>
      </c>
      <c r="P54" s="106" t="s">
        <v>46</v>
      </c>
      <c r="Q54" s="45" t="s">
        <v>1006</v>
      </c>
      <c r="R54" s="45">
        <v>100.0</v>
      </c>
      <c r="S54" s="45">
        <v>2019.0</v>
      </c>
      <c r="T54" s="45">
        <v>92.0</v>
      </c>
      <c r="U54" s="45">
        <v>2021.0</v>
      </c>
      <c r="V54" s="45">
        <v>8.14</v>
      </c>
      <c r="W54" s="45">
        <v>76.4</v>
      </c>
      <c r="X54" s="45">
        <v>2025.0</v>
      </c>
      <c r="Y54" s="45">
        <v>0.0</v>
      </c>
      <c r="Z54" s="45">
        <v>0.0</v>
      </c>
      <c r="AA54" s="45" t="s">
        <v>1398</v>
      </c>
      <c r="AB54" s="45" t="s">
        <v>1399</v>
      </c>
      <c r="AC54" s="45">
        <v>9.154851175E9</v>
      </c>
      <c r="AD54" s="45">
        <v>9.849497001E9</v>
      </c>
      <c r="AE54" s="45" t="s">
        <v>122</v>
      </c>
      <c r="AF54" s="45">
        <v>0.0</v>
      </c>
      <c r="AG54" s="45" t="s">
        <v>1400</v>
      </c>
      <c r="AH54" s="45" t="s">
        <v>1401</v>
      </c>
      <c r="AI54" s="45">
        <v>8.49</v>
      </c>
      <c r="AJ54" s="45">
        <v>8.1</v>
      </c>
      <c r="AK54" s="45">
        <v>8.55</v>
      </c>
      <c r="AL54" s="45">
        <v>0.0</v>
      </c>
      <c r="AM54" s="45">
        <v>8.21</v>
      </c>
      <c r="AN54" s="45">
        <v>8.14</v>
      </c>
      <c r="AO54" s="45" t="s">
        <v>28</v>
      </c>
      <c r="AQ54" s="45" t="s">
        <v>1011</v>
      </c>
      <c r="AT54" s="45" t="s">
        <v>1028</v>
      </c>
    </row>
    <row r="55">
      <c r="A55" s="107"/>
      <c r="B55" s="108" t="s">
        <v>202</v>
      </c>
      <c r="C55" s="109" t="s">
        <v>1402</v>
      </c>
      <c r="D55" s="108" t="s">
        <v>1403</v>
      </c>
      <c r="E55" s="108" t="s">
        <v>203</v>
      </c>
      <c r="F55" s="108">
        <v>0.0</v>
      </c>
      <c r="G55" s="110">
        <v>7.80262E11</v>
      </c>
      <c r="H55" s="111" t="s">
        <v>1003</v>
      </c>
      <c r="I55" s="111">
        <v>731.0</v>
      </c>
      <c r="J55" s="111" t="s">
        <v>1003</v>
      </c>
      <c r="K55" s="108" t="s">
        <v>1003</v>
      </c>
      <c r="L55" s="112" t="s">
        <v>1404</v>
      </c>
      <c r="M55" s="106">
        <v>19238.0</v>
      </c>
      <c r="N55" s="113">
        <v>0.0</v>
      </c>
      <c r="O55" s="106" t="s">
        <v>1405</v>
      </c>
      <c r="P55" s="106" t="s">
        <v>46</v>
      </c>
      <c r="Q55" s="45" t="s">
        <v>1006</v>
      </c>
      <c r="R55" s="45">
        <v>93.0</v>
      </c>
      <c r="S55" s="45">
        <v>2019.0</v>
      </c>
      <c r="T55" s="45">
        <v>93.8</v>
      </c>
      <c r="U55" s="45">
        <v>2021.0</v>
      </c>
      <c r="V55" s="45">
        <v>7.73</v>
      </c>
      <c r="W55" s="45">
        <v>72.3</v>
      </c>
      <c r="X55" s="45">
        <v>2025.0</v>
      </c>
      <c r="Y55" s="45">
        <v>0.0</v>
      </c>
      <c r="Z55" s="45">
        <v>0.0</v>
      </c>
      <c r="AA55" s="45" t="s">
        <v>1406</v>
      </c>
      <c r="AB55" s="45" t="s">
        <v>1407</v>
      </c>
      <c r="AC55" s="45">
        <v>7.075367367E9</v>
      </c>
      <c r="AD55" s="45">
        <v>7.799224242E9</v>
      </c>
      <c r="AE55" s="45">
        <v>0.0</v>
      </c>
      <c r="AF55" s="45">
        <v>0.0</v>
      </c>
      <c r="AG55" s="45" t="s">
        <v>1408</v>
      </c>
      <c r="AH55" s="45" t="s">
        <v>1409</v>
      </c>
      <c r="AI55" s="45">
        <v>7.59</v>
      </c>
      <c r="AJ55" s="45">
        <v>8.07</v>
      </c>
      <c r="AK55" s="45">
        <v>8.34</v>
      </c>
      <c r="AL55" s="45">
        <v>0.0</v>
      </c>
      <c r="AM55" s="45">
        <v>7.82</v>
      </c>
      <c r="AN55" s="45">
        <v>7.73</v>
      </c>
      <c r="AO55" s="45" t="s">
        <v>27</v>
      </c>
      <c r="AQ55" s="45" t="s">
        <v>1011</v>
      </c>
      <c r="AT55" s="45" t="s">
        <v>1012</v>
      </c>
    </row>
    <row r="56">
      <c r="A56" s="107"/>
      <c r="B56" s="108" t="s">
        <v>205</v>
      </c>
      <c r="C56" s="109" t="s">
        <v>1410</v>
      </c>
      <c r="D56" s="108" t="s">
        <v>1411</v>
      </c>
      <c r="E56" s="108" t="s">
        <v>206</v>
      </c>
      <c r="F56" s="108">
        <v>0.0</v>
      </c>
      <c r="G56" s="110">
        <v>3.16022E11</v>
      </c>
      <c r="H56" s="111" t="s">
        <v>1003</v>
      </c>
      <c r="I56" s="111">
        <v>635.0</v>
      </c>
      <c r="J56" s="111" t="s">
        <v>1003</v>
      </c>
      <c r="K56" s="108" t="s">
        <v>1003</v>
      </c>
      <c r="L56" s="112" t="s">
        <v>1412</v>
      </c>
      <c r="M56" s="106">
        <v>22520.0</v>
      </c>
      <c r="N56" s="113">
        <v>0.0</v>
      </c>
      <c r="O56" s="106" t="s">
        <v>1413</v>
      </c>
      <c r="P56" s="106" t="s">
        <v>46</v>
      </c>
      <c r="Q56" s="45" t="s">
        <v>1006</v>
      </c>
      <c r="R56" s="45">
        <v>98.0</v>
      </c>
      <c r="S56" s="45">
        <v>2019.0</v>
      </c>
      <c r="T56" s="45">
        <v>94.6</v>
      </c>
      <c r="U56" s="45">
        <v>2021.0</v>
      </c>
      <c r="V56" s="45">
        <v>8.42</v>
      </c>
      <c r="W56" s="45">
        <v>79.2</v>
      </c>
      <c r="X56" s="45">
        <v>2025.0</v>
      </c>
      <c r="Y56" s="45">
        <v>0.0</v>
      </c>
      <c r="Z56" s="45">
        <v>0.0</v>
      </c>
      <c r="AA56" s="45" t="s">
        <v>1414</v>
      </c>
      <c r="AB56" s="45" t="s">
        <v>1415</v>
      </c>
      <c r="AC56" s="45">
        <v>9.704182381E9</v>
      </c>
      <c r="AD56" s="45">
        <v>9.704060929E9</v>
      </c>
      <c r="AE56" s="45" t="s">
        <v>207</v>
      </c>
      <c r="AF56" s="45">
        <v>0.0</v>
      </c>
      <c r="AG56" s="45" t="s">
        <v>1416</v>
      </c>
      <c r="AH56" s="45" t="s">
        <v>1417</v>
      </c>
      <c r="AI56" s="45">
        <v>8.16</v>
      </c>
      <c r="AJ56" s="45">
        <v>7.93</v>
      </c>
      <c r="AK56" s="45">
        <v>8.59</v>
      </c>
      <c r="AL56" s="45">
        <v>0.0</v>
      </c>
      <c r="AM56" s="45">
        <v>8.4</v>
      </c>
      <c r="AN56" s="45">
        <v>8.42</v>
      </c>
      <c r="AO56" s="45" t="s">
        <v>27</v>
      </c>
      <c r="AQ56" s="45" t="s">
        <v>1011</v>
      </c>
      <c r="AT56" s="45" t="s">
        <v>1012</v>
      </c>
    </row>
    <row r="57">
      <c r="A57" s="107"/>
      <c r="B57" s="108" t="s">
        <v>208</v>
      </c>
      <c r="C57" s="109" t="s">
        <v>1418</v>
      </c>
      <c r="D57" s="108" t="s">
        <v>1419</v>
      </c>
      <c r="E57" s="108" t="s">
        <v>209</v>
      </c>
      <c r="F57" s="108">
        <v>0.0</v>
      </c>
      <c r="G57" s="110">
        <v>5.51039E11</v>
      </c>
      <c r="H57" s="111" t="s">
        <v>1003</v>
      </c>
      <c r="I57" s="111">
        <v>-216.0</v>
      </c>
      <c r="J57" s="111" t="s">
        <v>1003</v>
      </c>
      <c r="K57" s="108" t="s">
        <v>1003</v>
      </c>
      <c r="L57" s="112" t="s">
        <v>1420</v>
      </c>
      <c r="M57" s="106">
        <v>6677.0</v>
      </c>
      <c r="N57" s="113">
        <v>0.0</v>
      </c>
      <c r="O57" s="114">
        <v>37875.0</v>
      </c>
      <c r="P57" s="106" t="s">
        <v>60</v>
      </c>
      <c r="Q57" s="45" t="s">
        <v>1006</v>
      </c>
      <c r="R57" s="45">
        <v>93.0</v>
      </c>
      <c r="S57" s="45">
        <v>2019.0</v>
      </c>
      <c r="T57" s="45">
        <v>94.6</v>
      </c>
      <c r="U57" s="45">
        <v>2021.0</v>
      </c>
      <c r="V57" s="45">
        <v>7.89</v>
      </c>
      <c r="W57" s="45">
        <v>73.9</v>
      </c>
      <c r="X57" s="45">
        <v>2025.0</v>
      </c>
      <c r="Y57" s="45">
        <v>0.0</v>
      </c>
      <c r="Z57" s="45">
        <v>0.0</v>
      </c>
      <c r="AA57" s="45" t="s">
        <v>1421</v>
      </c>
      <c r="AB57" s="45" t="s">
        <v>1422</v>
      </c>
      <c r="AC57" s="45">
        <v>7.569395741E9</v>
      </c>
      <c r="AD57" s="45">
        <v>9.91226732E9</v>
      </c>
      <c r="AE57" s="45" t="s">
        <v>210</v>
      </c>
      <c r="AF57" s="45">
        <v>0.0</v>
      </c>
      <c r="AG57" s="45" t="s">
        <v>1423</v>
      </c>
      <c r="AH57" s="45" t="s">
        <v>1424</v>
      </c>
      <c r="AI57" s="45">
        <v>8.19</v>
      </c>
      <c r="AJ57" s="45">
        <v>7.95</v>
      </c>
      <c r="AK57" s="45">
        <v>0.0</v>
      </c>
      <c r="AL57" s="45">
        <v>0.0</v>
      </c>
      <c r="AM57" s="45">
        <v>7.89</v>
      </c>
      <c r="AN57" s="45">
        <v>7.89</v>
      </c>
      <c r="AO57" s="45" t="s">
        <v>27</v>
      </c>
      <c r="AQ57" s="45" t="s">
        <v>1011</v>
      </c>
      <c r="AT57" s="45" t="s">
        <v>1028</v>
      </c>
    </row>
    <row r="58">
      <c r="A58" s="107"/>
      <c r="B58" s="108" t="s">
        <v>211</v>
      </c>
      <c r="C58" s="109" t="s">
        <v>1425</v>
      </c>
      <c r="D58" s="108" t="s">
        <v>1426</v>
      </c>
      <c r="E58" s="108" t="s">
        <v>212</v>
      </c>
      <c r="F58" s="108">
        <v>0.0</v>
      </c>
      <c r="G58" s="110">
        <v>7.82749E11</v>
      </c>
      <c r="H58" s="111" t="s">
        <v>1003</v>
      </c>
      <c r="I58" s="111">
        <v>881.0</v>
      </c>
      <c r="J58" s="111" t="s">
        <v>1003</v>
      </c>
      <c r="K58" s="108" t="s">
        <v>1003</v>
      </c>
      <c r="L58" s="112" t="s">
        <v>1427</v>
      </c>
      <c r="M58" s="106">
        <v>9124.0</v>
      </c>
      <c r="N58" s="113">
        <v>0.0</v>
      </c>
      <c r="O58" s="106" t="s">
        <v>1428</v>
      </c>
      <c r="P58" s="106" t="s">
        <v>60</v>
      </c>
      <c r="Q58" s="45" t="s">
        <v>1006</v>
      </c>
      <c r="R58" s="45">
        <v>98.0</v>
      </c>
      <c r="S58" s="45">
        <v>2019.0</v>
      </c>
      <c r="T58" s="45">
        <v>98.0</v>
      </c>
      <c r="U58" s="45">
        <v>2021.0</v>
      </c>
      <c r="V58" s="45">
        <v>8.67</v>
      </c>
      <c r="W58" s="45">
        <v>81.7</v>
      </c>
      <c r="X58" s="45">
        <v>2025.0</v>
      </c>
      <c r="Y58" s="45">
        <v>0.0</v>
      </c>
      <c r="Z58" s="45">
        <v>0.0</v>
      </c>
      <c r="AA58" s="45" t="s">
        <v>1429</v>
      </c>
      <c r="AB58" s="45" t="s">
        <v>1430</v>
      </c>
      <c r="AC58" s="45">
        <v>9.951608167E9</v>
      </c>
      <c r="AD58" s="45">
        <v>9.440232816E9</v>
      </c>
      <c r="AE58" s="45" t="s">
        <v>52</v>
      </c>
      <c r="AF58" s="45">
        <v>0.0</v>
      </c>
      <c r="AG58" s="45" t="s">
        <v>1431</v>
      </c>
      <c r="AH58" s="45" t="s">
        <v>1432</v>
      </c>
      <c r="AI58" s="45">
        <v>8.76</v>
      </c>
      <c r="AJ58" s="45">
        <v>8.61</v>
      </c>
      <c r="AK58" s="45">
        <v>8.61</v>
      </c>
      <c r="AL58" s="45">
        <v>0.0</v>
      </c>
      <c r="AM58" s="45">
        <v>8.7</v>
      </c>
      <c r="AN58" s="45">
        <v>8.67</v>
      </c>
      <c r="AO58" s="45" t="s">
        <v>27</v>
      </c>
      <c r="AQ58" s="45" t="s">
        <v>1011</v>
      </c>
      <c r="AT58" s="45" t="s">
        <v>1028</v>
      </c>
    </row>
    <row r="59">
      <c r="A59" s="107"/>
      <c r="B59" s="108" t="s">
        <v>213</v>
      </c>
      <c r="C59" s="109" t="s">
        <v>1433</v>
      </c>
      <c r="D59" s="108" t="s">
        <v>1434</v>
      </c>
      <c r="E59" s="108" t="s">
        <v>214</v>
      </c>
      <c r="F59" s="108">
        <v>0.0</v>
      </c>
      <c r="G59" s="110">
        <v>9.75834E11</v>
      </c>
      <c r="H59" s="111" t="s">
        <v>1003</v>
      </c>
      <c r="I59" s="111">
        <v>992.0</v>
      </c>
      <c r="J59" s="111">
        <v>5554.0</v>
      </c>
      <c r="K59" s="108">
        <v>6002.0</v>
      </c>
      <c r="L59" s="112" t="s">
        <v>1435</v>
      </c>
      <c r="M59" s="106">
        <v>7408.0</v>
      </c>
      <c r="N59" s="113">
        <v>0.0</v>
      </c>
      <c r="O59" s="114">
        <v>37897.0</v>
      </c>
      <c r="P59" s="106" t="s">
        <v>46</v>
      </c>
      <c r="Q59" s="45" t="s">
        <v>1006</v>
      </c>
      <c r="R59" s="45">
        <v>95.0</v>
      </c>
      <c r="S59" s="45">
        <v>2018.0</v>
      </c>
      <c r="T59" s="45">
        <v>95.0</v>
      </c>
      <c r="U59" s="45">
        <v>2020.0</v>
      </c>
      <c r="V59" s="45">
        <v>8.18</v>
      </c>
      <c r="W59" s="45">
        <v>76.8</v>
      </c>
      <c r="X59" s="45">
        <v>2025.0</v>
      </c>
      <c r="Y59" s="45">
        <v>0.0</v>
      </c>
      <c r="Z59" s="45">
        <v>0.0</v>
      </c>
      <c r="AA59" s="45" t="s">
        <v>1436</v>
      </c>
      <c r="AB59" s="45" t="s">
        <v>1437</v>
      </c>
      <c r="AC59" s="45">
        <v>8.897912212E9</v>
      </c>
      <c r="AD59" s="45">
        <v>9.030848574E9</v>
      </c>
      <c r="AE59" s="45" t="s">
        <v>215</v>
      </c>
      <c r="AF59" s="45">
        <v>0.0</v>
      </c>
      <c r="AG59" s="45" t="s">
        <v>1438</v>
      </c>
      <c r="AH59" s="45" t="s">
        <v>1439</v>
      </c>
      <c r="AI59" s="45">
        <v>8.03</v>
      </c>
      <c r="AJ59" s="45">
        <v>8.22</v>
      </c>
      <c r="AK59" s="45">
        <v>8.11</v>
      </c>
      <c r="AL59" s="45">
        <v>0.0</v>
      </c>
      <c r="AM59" s="45">
        <v>8.18</v>
      </c>
      <c r="AN59" s="45">
        <v>8.18</v>
      </c>
      <c r="AO59" s="45" t="s">
        <v>27</v>
      </c>
      <c r="AQ59" s="45" t="s">
        <v>1011</v>
      </c>
      <c r="AT59" s="45" t="s">
        <v>1028</v>
      </c>
    </row>
    <row r="60">
      <c r="A60" s="107"/>
      <c r="B60" s="108" t="s">
        <v>216</v>
      </c>
      <c r="C60" s="109" t="s">
        <v>1440</v>
      </c>
      <c r="D60" s="108" t="s">
        <v>1441</v>
      </c>
      <c r="E60" s="108" t="s">
        <v>217</v>
      </c>
      <c r="F60" s="108">
        <v>0.0</v>
      </c>
      <c r="G60" s="110">
        <v>2.88151E11</v>
      </c>
      <c r="H60" s="111" t="s">
        <v>1003</v>
      </c>
      <c r="I60" s="111">
        <v>895.0</v>
      </c>
      <c r="J60" s="111">
        <v>5769.0</v>
      </c>
      <c r="K60" s="108">
        <v>6054.0</v>
      </c>
      <c r="L60" s="112" t="s">
        <v>1442</v>
      </c>
      <c r="M60" s="106">
        <v>0.0</v>
      </c>
      <c r="N60" s="113">
        <v>0.0</v>
      </c>
      <c r="O60" s="106" t="s">
        <v>1443</v>
      </c>
      <c r="P60" s="106" t="s">
        <v>46</v>
      </c>
      <c r="Q60" s="45" t="s">
        <v>1006</v>
      </c>
      <c r="R60" s="45">
        <v>95.0</v>
      </c>
      <c r="S60" s="45">
        <v>2019.0</v>
      </c>
      <c r="T60" s="45">
        <v>95.0</v>
      </c>
      <c r="U60" s="45">
        <v>2021.0</v>
      </c>
      <c r="V60" s="45">
        <v>8.3</v>
      </c>
      <c r="W60" s="45">
        <v>78.0</v>
      </c>
      <c r="X60" s="45">
        <v>2025.0</v>
      </c>
      <c r="Y60" s="45">
        <v>0.0</v>
      </c>
      <c r="Z60" s="45">
        <v>0.0</v>
      </c>
      <c r="AA60" s="45" t="s">
        <v>1444</v>
      </c>
      <c r="AB60" s="45" t="s">
        <v>1445</v>
      </c>
      <c r="AC60" s="45">
        <v>9.951261338E9</v>
      </c>
      <c r="AD60" s="45">
        <v>9.492851389E9</v>
      </c>
      <c r="AE60" s="45">
        <v>0.0</v>
      </c>
      <c r="AF60" s="45">
        <v>0.0</v>
      </c>
      <c r="AG60" s="45" t="s">
        <v>1446</v>
      </c>
      <c r="AH60" s="45" t="s">
        <v>1447</v>
      </c>
      <c r="AI60" s="45">
        <v>8.41</v>
      </c>
      <c r="AJ60" s="45">
        <v>8.22</v>
      </c>
      <c r="AK60" s="45">
        <v>8.34</v>
      </c>
      <c r="AL60" s="45">
        <v>0.0</v>
      </c>
      <c r="AM60" s="45">
        <v>8.32</v>
      </c>
      <c r="AN60" s="45">
        <v>8.3</v>
      </c>
      <c r="AO60" s="45" t="s">
        <v>28</v>
      </c>
      <c r="AQ60" s="45" t="s">
        <v>1011</v>
      </c>
      <c r="AT60" s="45" t="s">
        <v>1028</v>
      </c>
    </row>
    <row r="61">
      <c r="A61" s="107"/>
      <c r="B61" s="108" t="s">
        <v>218</v>
      </c>
      <c r="C61" s="109" t="s">
        <v>1448</v>
      </c>
      <c r="D61" s="108" t="s">
        <v>1449</v>
      </c>
      <c r="E61" s="108" t="s">
        <v>219</v>
      </c>
      <c r="F61" s="108">
        <v>0.0</v>
      </c>
      <c r="G61" s="110">
        <v>7.03025E11</v>
      </c>
      <c r="H61" s="111" t="s">
        <v>1003</v>
      </c>
      <c r="I61" s="111">
        <v>290.0</v>
      </c>
      <c r="J61" s="111" t="s">
        <v>1003</v>
      </c>
      <c r="K61" s="108" t="s">
        <v>1003</v>
      </c>
      <c r="L61" s="112" t="s">
        <v>1450</v>
      </c>
      <c r="M61" s="106">
        <v>6296.0</v>
      </c>
      <c r="N61" s="113">
        <v>0.0</v>
      </c>
      <c r="O61" s="114">
        <v>38300.0</v>
      </c>
      <c r="P61" s="106" t="s">
        <v>46</v>
      </c>
      <c r="Q61" s="45" t="s">
        <v>1006</v>
      </c>
      <c r="R61" s="45">
        <v>98.0</v>
      </c>
      <c r="S61" s="45">
        <v>2019.0</v>
      </c>
      <c r="T61" s="45">
        <v>95.4</v>
      </c>
      <c r="U61" s="45">
        <v>2021.0</v>
      </c>
      <c r="V61" s="45">
        <v>8.16</v>
      </c>
      <c r="W61" s="45">
        <v>76.6</v>
      </c>
      <c r="X61" s="45">
        <v>2025.0</v>
      </c>
      <c r="Y61" s="45">
        <v>0.0</v>
      </c>
      <c r="Z61" s="45">
        <v>0.0</v>
      </c>
      <c r="AA61" s="45" t="s">
        <v>1451</v>
      </c>
      <c r="AB61" s="45" t="s">
        <v>1452</v>
      </c>
      <c r="AC61" s="45">
        <v>7.093821644E9</v>
      </c>
      <c r="AD61" s="45">
        <v>9.849343592E9</v>
      </c>
      <c r="AE61" s="45">
        <v>0.0</v>
      </c>
      <c r="AF61" s="45">
        <v>0.0</v>
      </c>
      <c r="AG61" s="45" t="s">
        <v>1453</v>
      </c>
      <c r="AH61" s="45" t="s">
        <v>1454</v>
      </c>
      <c r="AI61" s="45">
        <v>8.76</v>
      </c>
      <c r="AJ61" s="45">
        <v>8.05</v>
      </c>
      <c r="AK61" s="45">
        <v>8.34</v>
      </c>
      <c r="AL61" s="45">
        <v>0.0</v>
      </c>
      <c r="AM61" s="45">
        <v>8.28</v>
      </c>
      <c r="AN61" s="45">
        <v>8.16</v>
      </c>
      <c r="AO61" s="45" t="s">
        <v>27</v>
      </c>
      <c r="AQ61" s="45" t="s">
        <v>1011</v>
      </c>
      <c r="AT61" s="45" t="s">
        <v>1028</v>
      </c>
    </row>
    <row r="62">
      <c r="A62" s="107"/>
      <c r="B62" s="108" t="s">
        <v>220</v>
      </c>
      <c r="C62" s="109" t="s">
        <v>1455</v>
      </c>
      <c r="D62" s="108" t="s">
        <v>1456</v>
      </c>
      <c r="E62" s="108" t="s">
        <v>221</v>
      </c>
      <c r="F62" s="108">
        <v>0.0</v>
      </c>
      <c r="G62" s="110">
        <v>8.90473E11</v>
      </c>
      <c r="H62" s="111" t="s">
        <v>1003</v>
      </c>
      <c r="I62" s="111">
        <v>584.0</v>
      </c>
      <c r="J62" s="111" t="s">
        <v>1003</v>
      </c>
      <c r="K62" s="108" t="s">
        <v>1003</v>
      </c>
      <c r="L62" s="112" t="s">
        <v>1457</v>
      </c>
      <c r="M62" s="106">
        <v>11127.0</v>
      </c>
      <c r="N62" s="113">
        <v>0.0</v>
      </c>
      <c r="O62" s="106" t="s">
        <v>1458</v>
      </c>
      <c r="P62" s="106" t="s">
        <v>60</v>
      </c>
      <c r="Q62" s="45" t="s">
        <v>1006</v>
      </c>
      <c r="R62" s="45">
        <v>95.0</v>
      </c>
      <c r="S62" s="45">
        <v>2019.0</v>
      </c>
      <c r="T62" s="45">
        <v>98.6</v>
      </c>
      <c r="U62" s="45">
        <v>2021.0</v>
      </c>
      <c r="V62" s="45">
        <v>8.92</v>
      </c>
      <c r="W62" s="45">
        <v>84.2</v>
      </c>
      <c r="X62" s="45">
        <v>2025.0</v>
      </c>
      <c r="Y62" s="45">
        <v>0.0</v>
      </c>
      <c r="Z62" s="45">
        <v>0.0</v>
      </c>
      <c r="AA62" s="45" t="s">
        <v>1459</v>
      </c>
      <c r="AB62" s="45" t="s">
        <v>1460</v>
      </c>
      <c r="AC62" s="45">
        <v>7.56949878E9</v>
      </c>
      <c r="AD62" s="45">
        <v>9.177339445E9</v>
      </c>
      <c r="AE62" s="45" t="s">
        <v>1461</v>
      </c>
      <c r="AF62" s="45" t="s">
        <v>957</v>
      </c>
      <c r="AG62" s="45" t="s">
        <v>1462</v>
      </c>
      <c r="AH62" s="45" t="s">
        <v>1463</v>
      </c>
      <c r="AI62" s="45">
        <v>9.03</v>
      </c>
      <c r="AJ62" s="45">
        <v>9.22</v>
      </c>
      <c r="AK62" s="45">
        <v>9.14</v>
      </c>
      <c r="AL62" s="45">
        <v>0.0</v>
      </c>
      <c r="AM62" s="45">
        <v>9.04</v>
      </c>
      <c r="AN62" s="45">
        <v>8.92</v>
      </c>
      <c r="AO62" s="45" t="s">
        <v>27</v>
      </c>
      <c r="AQ62" s="45" t="s">
        <v>1011</v>
      </c>
      <c r="AT62" s="45" t="s">
        <v>1028</v>
      </c>
    </row>
    <row r="63">
      <c r="A63" s="107"/>
      <c r="B63" s="108" t="s">
        <v>224</v>
      </c>
      <c r="C63" s="109" t="s">
        <v>1464</v>
      </c>
      <c r="D63" s="108" t="s">
        <v>1389</v>
      </c>
      <c r="E63" s="108" t="s">
        <v>225</v>
      </c>
      <c r="F63" s="108">
        <v>0.0</v>
      </c>
      <c r="G63" s="110">
        <v>7.71722E11</v>
      </c>
      <c r="H63" s="111" t="s">
        <v>1003</v>
      </c>
      <c r="I63" s="111" t="s">
        <v>1003</v>
      </c>
      <c r="J63" s="111" t="s">
        <v>1003</v>
      </c>
      <c r="K63" s="108" t="s">
        <v>1003</v>
      </c>
      <c r="L63" s="112" t="s">
        <v>1465</v>
      </c>
      <c r="M63" s="106">
        <v>0.0</v>
      </c>
      <c r="N63" s="113">
        <v>0.0</v>
      </c>
      <c r="O63" s="114">
        <v>37897.0</v>
      </c>
      <c r="P63" s="106" t="s">
        <v>60</v>
      </c>
      <c r="Q63" s="45" t="s">
        <v>1006</v>
      </c>
      <c r="R63" s="45">
        <v>46.6</v>
      </c>
      <c r="S63" s="45">
        <v>2019.0</v>
      </c>
      <c r="T63" s="45">
        <v>52.1</v>
      </c>
      <c r="U63" s="45">
        <v>2021.0</v>
      </c>
      <c r="V63" s="45">
        <v>0.0</v>
      </c>
      <c r="W63" s="45">
        <v>-5.0</v>
      </c>
      <c r="X63" s="45">
        <v>2025.0</v>
      </c>
      <c r="Y63" s="45">
        <v>8.0</v>
      </c>
      <c r="Z63" s="45">
        <v>14.0</v>
      </c>
      <c r="AA63" s="45" t="s">
        <v>1466</v>
      </c>
      <c r="AB63" s="45" t="s">
        <v>1466</v>
      </c>
      <c r="AC63" s="45">
        <v>8.247866481E9</v>
      </c>
      <c r="AD63" s="45">
        <v>9.989022252E9</v>
      </c>
      <c r="AE63" s="45">
        <v>0.0</v>
      </c>
      <c r="AF63" s="45">
        <v>0.0</v>
      </c>
      <c r="AG63" s="45" t="s">
        <v>1467</v>
      </c>
      <c r="AH63" s="45" t="s">
        <v>1468</v>
      </c>
      <c r="AI63" s="45">
        <v>0.0</v>
      </c>
      <c r="AJ63" s="45">
        <v>0.0</v>
      </c>
      <c r="AK63" s="45">
        <v>0.0</v>
      </c>
      <c r="AL63" s="45">
        <v>0.0</v>
      </c>
      <c r="AM63" s="45">
        <v>3.96</v>
      </c>
      <c r="AN63" s="45">
        <v>0.0</v>
      </c>
      <c r="AO63" s="45" t="s">
        <v>28</v>
      </c>
      <c r="AQ63" s="45" t="s">
        <v>1011</v>
      </c>
      <c r="AT63" s="45" t="s">
        <v>1012</v>
      </c>
    </row>
    <row r="64">
      <c r="A64" s="107"/>
      <c r="B64" s="108" t="s">
        <v>226</v>
      </c>
      <c r="C64" s="109" t="s">
        <v>1469</v>
      </c>
      <c r="D64" s="108" t="s">
        <v>1470</v>
      </c>
      <c r="E64" s="108" t="s">
        <v>227</v>
      </c>
      <c r="F64" s="108">
        <v>0.0</v>
      </c>
      <c r="G64" s="110">
        <v>6.90005E11</v>
      </c>
      <c r="H64" s="111" t="s">
        <v>1003</v>
      </c>
      <c r="I64" s="111">
        <v>1100.0</v>
      </c>
      <c r="J64" s="111">
        <v>6049.0</v>
      </c>
      <c r="K64" s="108">
        <v>6337.0</v>
      </c>
      <c r="L64" s="112" t="s">
        <v>1471</v>
      </c>
      <c r="M64" s="106">
        <v>0.0</v>
      </c>
      <c r="N64" s="113">
        <v>0.0</v>
      </c>
      <c r="O64" s="106" t="s">
        <v>1472</v>
      </c>
      <c r="P64" s="106" t="s">
        <v>46</v>
      </c>
      <c r="Q64" s="45" t="s">
        <v>1006</v>
      </c>
      <c r="R64" s="45">
        <v>98.0</v>
      </c>
      <c r="S64" s="45">
        <v>2019.0</v>
      </c>
      <c r="T64" s="45">
        <v>95.0</v>
      </c>
      <c r="U64" s="45">
        <v>2021.0</v>
      </c>
      <c r="V64" s="45">
        <v>8.34</v>
      </c>
      <c r="W64" s="45">
        <v>78.4</v>
      </c>
      <c r="X64" s="45">
        <v>2025.0</v>
      </c>
      <c r="Y64" s="45">
        <v>0.0</v>
      </c>
      <c r="Z64" s="45">
        <v>0.0</v>
      </c>
      <c r="AA64" s="45" t="s">
        <v>1473</v>
      </c>
      <c r="AB64" s="45" t="s">
        <v>1474</v>
      </c>
      <c r="AC64" s="45">
        <v>9.182046104E9</v>
      </c>
      <c r="AD64" s="45">
        <v>9.866864624E9</v>
      </c>
      <c r="AE64" s="45" t="s">
        <v>228</v>
      </c>
      <c r="AF64" s="45">
        <v>0.0</v>
      </c>
      <c r="AG64" s="45" t="s">
        <v>1475</v>
      </c>
      <c r="AH64" s="45" t="s">
        <v>1476</v>
      </c>
      <c r="AI64" s="45">
        <v>8.97</v>
      </c>
      <c r="AJ64" s="45">
        <v>8.61</v>
      </c>
      <c r="AK64" s="45">
        <v>8.07</v>
      </c>
      <c r="AL64" s="45">
        <v>0.0</v>
      </c>
      <c r="AM64" s="45">
        <v>8.37</v>
      </c>
      <c r="AN64" s="45">
        <v>8.34</v>
      </c>
      <c r="AO64" s="45" t="s">
        <v>28</v>
      </c>
      <c r="AQ64" s="45" t="s">
        <v>1011</v>
      </c>
      <c r="AT64" s="45" t="s">
        <v>1028</v>
      </c>
    </row>
    <row r="65">
      <c r="A65" s="107"/>
      <c r="B65" s="108" t="s">
        <v>229</v>
      </c>
      <c r="C65" s="109" t="s">
        <v>1477</v>
      </c>
      <c r="D65" s="108" t="s">
        <v>1478</v>
      </c>
      <c r="E65" s="108" t="s">
        <v>230</v>
      </c>
      <c r="F65" s="108">
        <v>0.0</v>
      </c>
      <c r="G65" s="110">
        <v>6.46083E11</v>
      </c>
      <c r="H65" s="111" t="s">
        <v>1003</v>
      </c>
      <c r="I65" s="111">
        <v>499.0</v>
      </c>
      <c r="J65" s="111" t="s">
        <v>1003</v>
      </c>
      <c r="K65" s="108" t="s">
        <v>1003</v>
      </c>
      <c r="L65" s="112" t="s">
        <v>1479</v>
      </c>
      <c r="M65" s="106">
        <v>29841.0</v>
      </c>
      <c r="N65" s="113">
        <v>0.0</v>
      </c>
      <c r="O65" s="114">
        <v>38174.0</v>
      </c>
      <c r="P65" s="106" t="s">
        <v>46</v>
      </c>
      <c r="Q65" s="45" t="s">
        <v>1006</v>
      </c>
      <c r="R65" s="45">
        <v>90.25</v>
      </c>
      <c r="S65" s="45">
        <v>2019.0</v>
      </c>
      <c r="T65" s="45">
        <v>95.0</v>
      </c>
      <c r="U65" s="45">
        <v>2021.0</v>
      </c>
      <c r="V65" s="45">
        <v>7.85</v>
      </c>
      <c r="W65" s="45">
        <v>73.5</v>
      </c>
      <c r="X65" s="45">
        <v>2025.0</v>
      </c>
      <c r="Y65" s="45">
        <v>0.0</v>
      </c>
      <c r="Z65" s="45">
        <v>0.0</v>
      </c>
      <c r="AA65" s="45" t="s">
        <v>1480</v>
      </c>
      <c r="AB65" s="45" t="s">
        <v>1481</v>
      </c>
      <c r="AC65" s="45">
        <v>9.704903605E9</v>
      </c>
      <c r="AD65" s="45">
        <v>9.866287439E9</v>
      </c>
      <c r="AE65" s="45" t="s">
        <v>271</v>
      </c>
      <c r="AF65" s="45">
        <v>0.0</v>
      </c>
      <c r="AG65" s="45" t="s">
        <v>1482</v>
      </c>
      <c r="AH65" s="45" t="s">
        <v>1483</v>
      </c>
      <c r="AI65" s="45">
        <v>7.41</v>
      </c>
      <c r="AJ65" s="45">
        <v>7.78</v>
      </c>
      <c r="AK65" s="45">
        <v>7.45</v>
      </c>
      <c r="AL65" s="45">
        <v>0.0</v>
      </c>
      <c r="AM65" s="45">
        <v>7.81</v>
      </c>
      <c r="AN65" s="45">
        <v>7.85</v>
      </c>
      <c r="AO65" s="45" t="s">
        <v>27</v>
      </c>
      <c r="AQ65" s="45" t="s">
        <v>1011</v>
      </c>
      <c r="AT65" s="45" t="s">
        <v>1028</v>
      </c>
    </row>
    <row r="66">
      <c r="A66" s="107"/>
      <c r="B66" s="108" t="s">
        <v>232</v>
      </c>
      <c r="C66" s="109" t="s">
        <v>1484</v>
      </c>
      <c r="D66" s="108" t="s">
        <v>1485</v>
      </c>
      <c r="E66" s="108" t="s">
        <v>233</v>
      </c>
      <c r="F66" s="108">
        <v>0.0</v>
      </c>
      <c r="G66" s="110">
        <v>4.35078E11</v>
      </c>
      <c r="H66" s="111" t="s">
        <v>1003</v>
      </c>
      <c r="I66" s="111">
        <v>698.0</v>
      </c>
      <c r="J66" s="111" t="s">
        <v>1003</v>
      </c>
      <c r="K66" s="108" t="s">
        <v>1003</v>
      </c>
      <c r="L66" s="112" t="s">
        <v>1479</v>
      </c>
      <c r="M66" s="106">
        <v>27814.0</v>
      </c>
      <c r="N66" s="113">
        <v>0.0</v>
      </c>
      <c r="O66" s="106" t="s">
        <v>1486</v>
      </c>
      <c r="P66" s="106" t="s">
        <v>60</v>
      </c>
      <c r="Q66" s="45" t="s">
        <v>1006</v>
      </c>
      <c r="R66" s="45">
        <v>88.0</v>
      </c>
      <c r="S66" s="45">
        <v>2019.0</v>
      </c>
      <c r="T66" s="45">
        <v>96.0</v>
      </c>
      <c r="U66" s="45">
        <v>2021.0</v>
      </c>
      <c r="V66" s="45">
        <v>8.44</v>
      </c>
      <c r="W66" s="45">
        <v>79.4</v>
      </c>
      <c r="X66" s="45">
        <v>2025.0</v>
      </c>
      <c r="Y66" s="45">
        <v>0.0</v>
      </c>
      <c r="Z66" s="45">
        <v>0.0</v>
      </c>
      <c r="AA66" s="45" t="s">
        <v>1487</v>
      </c>
      <c r="AB66" s="45" t="s">
        <v>1488</v>
      </c>
      <c r="AC66" s="45">
        <v>6.301757985E9</v>
      </c>
      <c r="AD66" s="45">
        <v>9.849552997E9</v>
      </c>
      <c r="AE66" s="45">
        <v>0.0</v>
      </c>
      <c r="AF66" s="45">
        <v>0.0</v>
      </c>
      <c r="AG66" s="45" t="s">
        <v>1489</v>
      </c>
      <c r="AH66" s="45" t="s">
        <v>1490</v>
      </c>
      <c r="AI66" s="45">
        <v>7.41</v>
      </c>
      <c r="AJ66" s="45">
        <v>8.15</v>
      </c>
      <c r="AK66" s="45">
        <v>8.14</v>
      </c>
      <c r="AL66" s="45">
        <v>0.0</v>
      </c>
      <c r="AM66" s="45">
        <v>8.4</v>
      </c>
      <c r="AN66" s="45">
        <v>8.44</v>
      </c>
      <c r="AO66" s="45" t="s">
        <v>27</v>
      </c>
      <c r="AQ66" s="45" t="s">
        <v>1011</v>
      </c>
      <c r="AT66" s="45" t="s">
        <v>1012</v>
      </c>
    </row>
    <row r="67">
      <c r="A67" s="107"/>
      <c r="B67" s="108" t="s">
        <v>235</v>
      </c>
      <c r="C67" s="109" t="s">
        <v>1491</v>
      </c>
      <c r="D67" s="108" t="s">
        <v>1492</v>
      </c>
      <c r="E67" s="108" t="s">
        <v>236</v>
      </c>
      <c r="F67" s="108">
        <v>0.0</v>
      </c>
      <c r="G67" s="110">
        <v>2.80903E11</v>
      </c>
      <c r="H67" s="111" t="s">
        <v>1003</v>
      </c>
      <c r="I67" s="111" t="s">
        <v>1003</v>
      </c>
      <c r="J67" s="111" t="s">
        <v>1003</v>
      </c>
      <c r="K67" s="108" t="s">
        <v>1003</v>
      </c>
      <c r="L67" s="112" t="s">
        <v>1493</v>
      </c>
      <c r="M67" s="106">
        <v>0.0</v>
      </c>
      <c r="N67" s="113">
        <v>672.0</v>
      </c>
      <c r="O67" s="114">
        <v>37654.0</v>
      </c>
      <c r="P67" s="106" t="s">
        <v>46</v>
      </c>
      <c r="Q67" s="45" t="s">
        <v>1006</v>
      </c>
      <c r="R67" s="45">
        <v>92.0</v>
      </c>
      <c r="S67" s="45">
        <v>2019.0</v>
      </c>
      <c r="T67" s="45">
        <v>78.0</v>
      </c>
      <c r="U67" s="45">
        <v>2022.0</v>
      </c>
      <c r="V67" s="45">
        <v>0.0</v>
      </c>
      <c r="W67" s="45">
        <v>-5.0</v>
      </c>
      <c r="X67" s="45">
        <v>2025.0</v>
      </c>
      <c r="Y67" s="45">
        <v>1.0</v>
      </c>
      <c r="Z67" s="45">
        <v>0.0</v>
      </c>
      <c r="AA67" s="45" t="s">
        <v>1494</v>
      </c>
      <c r="AB67" s="45" t="s">
        <v>1495</v>
      </c>
      <c r="AC67" s="45">
        <v>8.367000123E9</v>
      </c>
      <c r="AD67" s="45">
        <v>9.640996099E9</v>
      </c>
      <c r="AE67" s="45" t="s">
        <v>237</v>
      </c>
      <c r="AF67" s="45">
        <v>0.0</v>
      </c>
      <c r="AG67" s="45" t="s">
        <v>1496</v>
      </c>
      <c r="AH67" s="45" t="s">
        <v>1497</v>
      </c>
      <c r="AI67" s="45">
        <v>0.0</v>
      </c>
      <c r="AJ67" s="45">
        <v>0.0</v>
      </c>
      <c r="AK67" s="45">
        <v>7.8</v>
      </c>
      <c r="AL67" s="45">
        <v>0.0</v>
      </c>
      <c r="AM67" s="45">
        <v>7.88</v>
      </c>
      <c r="AN67" s="45">
        <v>0.0</v>
      </c>
      <c r="AO67" s="45" t="s">
        <v>27</v>
      </c>
      <c r="AQ67" s="45" t="s">
        <v>1011</v>
      </c>
      <c r="AT67" s="45" t="s">
        <v>1028</v>
      </c>
    </row>
    <row r="68">
      <c r="A68" s="107"/>
      <c r="B68" s="108" t="s">
        <v>238</v>
      </c>
      <c r="C68" s="109" t="s">
        <v>1498</v>
      </c>
      <c r="D68" s="108" t="s">
        <v>1499</v>
      </c>
      <c r="E68" s="108" t="s">
        <v>239</v>
      </c>
      <c r="F68" s="108">
        <v>0.0</v>
      </c>
      <c r="G68" s="110">
        <v>3.42292E11</v>
      </c>
      <c r="H68" s="111" t="s">
        <v>1003</v>
      </c>
      <c r="I68" s="111" t="s">
        <v>1003</v>
      </c>
      <c r="J68" s="111" t="s">
        <v>1003</v>
      </c>
      <c r="K68" s="108" t="s">
        <v>1003</v>
      </c>
      <c r="L68" s="112" t="s">
        <v>1140</v>
      </c>
      <c r="M68" s="106">
        <v>0.0</v>
      </c>
      <c r="N68" s="113">
        <v>1025.0</v>
      </c>
      <c r="O68" s="106" t="s">
        <v>1500</v>
      </c>
      <c r="P68" s="106" t="s">
        <v>60</v>
      </c>
      <c r="Q68" s="45" t="s">
        <v>1006</v>
      </c>
      <c r="R68" s="45">
        <v>95.0</v>
      </c>
      <c r="S68" s="45">
        <v>2019.0</v>
      </c>
      <c r="T68" s="45">
        <v>83.0</v>
      </c>
      <c r="U68" s="45">
        <v>2022.0</v>
      </c>
      <c r="V68" s="45">
        <v>7.52</v>
      </c>
      <c r="W68" s="45">
        <v>70.2</v>
      </c>
      <c r="X68" s="45">
        <v>2025.0</v>
      </c>
      <c r="Y68" s="45">
        <v>0.0</v>
      </c>
      <c r="Z68" s="45">
        <v>0.0</v>
      </c>
      <c r="AA68" s="45" t="s">
        <v>1501</v>
      </c>
      <c r="AB68" s="45" t="s">
        <v>1502</v>
      </c>
      <c r="AC68" s="45">
        <v>9.640009911E9</v>
      </c>
      <c r="AD68" s="45">
        <v>9.440055704E9</v>
      </c>
      <c r="AE68" s="45">
        <v>0.0</v>
      </c>
      <c r="AF68" s="45">
        <v>0.0</v>
      </c>
      <c r="AG68" s="45" t="s">
        <v>1503</v>
      </c>
      <c r="AH68" s="45" t="s">
        <v>1504</v>
      </c>
      <c r="AI68" s="45">
        <v>0.0</v>
      </c>
      <c r="AJ68" s="45">
        <v>0.0</v>
      </c>
      <c r="AK68" s="45">
        <v>7.86</v>
      </c>
      <c r="AL68" s="45">
        <v>0.0</v>
      </c>
      <c r="AM68" s="45">
        <v>7.62</v>
      </c>
      <c r="AN68" s="45">
        <v>7.52</v>
      </c>
      <c r="AO68" s="45" t="s">
        <v>28</v>
      </c>
      <c r="AQ68" s="45" t="s">
        <v>1011</v>
      </c>
      <c r="AT68" s="45" t="s">
        <v>1028</v>
      </c>
    </row>
    <row r="69">
      <c r="A69" s="107"/>
      <c r="B69" s="108" t="s">
        <v>240</v>
      </c>
      <c r="C69" s="109" t="s">
        <v>1505</v>
      </c>
      <c r="D69" s="108" t="s">
        <v>1506</v>
      </c>
      <c r="E69" s="108" t="s">
        <v>241</v>
      </c>
      <c r="F69" s="108">
        <v>0.0</v>
      </c>
      <c r="G69" s="110">
        <v>8.60708E11</v>
      </c>
      <c r="H69" s="111" t="s">
        <v>1003</v>
      </c>
      <c r="I69" s="111" t="s">
        <v>1003</v>
      </c>
      <c r="J69" s="111" t="s">
        <v>1003</v>
      </c>
      <c r="K69" s="108" t="s">
        <v>1003</v>
      </c>
      <c r="L69" s="112" t="s">
        <v>1479</v>
      </c>
      <c r="M69" s="106">
        <v>0.0</v>
      </c>
      <c r="N69" s="113">
        <v>2077.0</v>
      </c>
      <c r="O69" s="106" t="s">
        <v>1507</v>
      </c>
      <c r="P69" s="106" t="s">
        <v>60</v>
      </c>
      <c r="Q69" s="45" t="s">
        <v>1006</v>
      </c>
      <c r="R69" s="45">
        <v>78.0</v>
      </c>
      <c r="S69" s="45">
        <v>2016.0</v>
      </c>
      <c r="T69" s="45">
        <v>70.0</v>
      </c>
      <c r="U69" s="45">
        <v>2021.0</v>
      </c>
      <c r="V69" s="45">
        <v>7.0</v>
      </c>
      <c r="W69" s="45">
        <v>65.0</v>
      </c>
      <c r="X69" s="45">
        <v>2025.0</v>
      </c>
      <c r="Y69" s="45">
        <v>0.0</v>
      </c>
      <c r="Z69" s="45">
        <v>0.0</v>
      </c>
      <c r="AA69" s="45" t="s">
        <v>1508</v>
      </c>
      <c r="AB69" s="45" t="s">
        <v>1509</v>
      </c>
      <c r="AC69" s="45">
        <v>9.381020163E9</v>
      </c>
      <c r="AD69" s="45">
        <v>9.989704561E9</v>
      </c>
      <c r="AE69" s="45">
        <v>0.0</v>
      </c>
      <c r="AF69" s="45">
        <v>0.0</v>
      </c>
      <c r="AG69" s="45" t="s">
        <v>1510</v>
      </c>
      <c r="AH69" s="45" t="s">
        <v>1511</v>
      </c>
      <c r="AI69" s="45">
        <v>0.0</v>
      </c>
      <c r="AJ69" s="45">
        <v>0.0</v>
      </c>
      <c r="AK69" s="45">
        <v>0.0</v>
      </c>
      <c r="AL69" s="45">
        <v>0.0</v>
      </c>
      <c r="AM69" s="45">
        <v>7.17</v>
      </c>
      <c r="AN69" s="45">
        <v>7.0</v>
      </c>
      <c r="AO69" s="45" t="s">
        <v>27</v>
      </c>
      <c r="AQ69" s="45" t="s">
        <v>1011</v>
      </c>
      <c r="AT69" s="45" t="s">
        <v>1012</v>
      </c>
    </row>
    <row r="70">
      <c r="A70" s="107"/>
      <c r="B70" s="108" t="s">
        <v>242</v>
      </c>
      <c r="C70" s="109" t="s">
        <v>1512</v>
      </c>
      <c r="D70" s="108" t="s">
        <v>1513</v>
      </c>
      <c r="E70" s="108" t="s">
        <v>243</v>
      </c>
      <c r="F70" s="108">
        <v>0.0</v>
      </c>
      <c r="G70" s="110">
        <v>6.00468E11</v>
      </c>
      <c r="H70" s="111" t="s">
        <v>1003</v>
      </c>
      <c r="I70" s="111" t="s">
        <v>1003</v>
      </c>
      <c r="J70" s="111" t="s">
        <v>1003</v>
      </c>
      <c r="K70" s="108" t="s">
        <v>1003</v>
      </c>
      <c r="L70" s="112" t="s">
        <v>1514</v>
      </c>
      <c r="M70" s="106">
        <v>11362.0</v>
      </c>
      <c r="N70" s="113">
        <v>1443.0</v>
      </c>
      <c r="O70" s="106" t="s">
        <v>1515</v>
      </c>
      <c r="P70" s="106" t="s">
        <v>46</v>
      </c>
      <c r="Q70" s="45" t="s">
        <v>1006</v>
      </c>
      <c r="R70" s="45">
        <v>65.0</v>
      </c>
      <c r="S70" s="45">
        <v>2019.0</v>
      </c>
      <c r="T70" s="45">
        <v>61.0</v>
      </c>
      <c r="U70" s="45">
        <v>2022.0</v>
      </c>
      <c r="V70" s="45">
        <v>7.04</v>
      </c>
      <c r="W70" s="45">
        <v>65.4</v>
      </c>
      <c r="X70" s="45">
        <v>2025.0</v>
      </c>
      <c r="Y70" s="45">
        <v>0.0</v>
      </c>
      <c r="Z70" s="45">
        <v>0.0</v>
      </c>
      <c r="AA70" s="45" t="s">
        <v>1516</v>
      </c>
      <c r="AB70" s="45" t="s">
        <v>1517</v>
      </c>
      <c r="AC70" s="45">
        <v>7.702845323E9</v>
      </c>
      <c r="AD70" s="45">
        <v>8.790823241E9</v>
      </c>
      <c r="AE70" s="45">
        <v>0.0</v>
      </c>
      <c r="AF70" s="45">
        <v>0.0</v>
      </c>
      <c r="AG70" s="45" t="s">
        <v>1518</v>
      </c>
      <c r="AH70" s="45" t="s">
        <v>1519</v>
      </c>
      <c r="AI70" s="45">
        <v>0.0</v>
      </c>
      <c r="AJ70" s="45">
        <v>0.0</v>
      </c>
      <c r="AK70" s="45">
        <v>0.0</v>
      </c>
      <c r="AL70" s="45">
        <v>0.0</v>
      </c>
      <c r="AM70" s="45">
        <v>7.11</v>
      </c>
      <c r="AN70" s="45">
        <v>7.04</v>
      </c>
      <c r="AO70" s="45" t="s">
        <v>28</v>
      </c>
      <c r="AQ70" s="45" t="s">
        <v>1011</v>
      </c>
      <c r="AT70" s="45" t="s">
        <v>1012</v>
      </c>
    </row>
    <row r="71">
      <c r="A71" s="107"/>
      <c r="B71" s="108" t="s">
        <v>244</v>
      </c>
      <c r="C71" s="109" t="s">
        <v>1520</v>
      </c>
      <c r="D71" s="108" t="s">
        <v>1521</v>
      </c>
      <c r="E71" s="108" t="s">
        <v>245</v>
      </c>
      <c r="F71" s="108">
        <v>0.0</v>
      </c>
      <c r="G71" s="110">
        <v>4.81035E11</v>
      </c>
      <c r="H71" s="111" t="s">
        <v>1003</v>
      </c>
      <c r="I71" s="111" t="s">
        <v>1003</v>
      </c>
      <c r="J71" s="111" t="s">
        <v>1003</v>
      </c>
      <c r="K71" s="108" t="s">
        <v>1003</v>
      </c>
      <c r="L71" s="112" t="s">
        <v>1522</v>
      </c>
      <c r="M71" s="106">
        <v>0.0</v>
      </c>
      <c r="N71" s="113">
        <v>902.0</v>
      </c>
      <c r="O71" s="114">
        <v>37596.0</v>
      </c>
      <c r="P71" s="106" t="s">
        <v>60</v>
      </c>
      <c r="Q71" s="45" t="s">
        <v>1006</v>
      </c>
      <c r="R71" s="45">
        <v>80.0</v>
      </c>
      <c r="S71" s="45">
        <v>2019.0</v>
      </c>
      <c r="T71" s="45">
        <v>85.7</v>
      </c>
      <c r="U71" s="45">
        <v>2022.0</v>
      </c>
      <c r="V71" s="45">
        <v>7.5</v>
      </c>
      <c r="W71" s="45">
        <v>70.0</v>
      </c>
      <c r="X71" s="45">
        <v>2025.0</v>
      </c>
      <c r="Y71" s="45">
        <v>0.0</v>
      </c>
      <c r="Z71" s="45">
        <v>0.0</v>
      </c>
      <c r="AA71" s="45" t="s">
        <v>1523</v>
      </c>
      <c r="AB71" s="45" t="s">
        <v>1524</v>
      </c>
      <c r="AC71" s="45">
        <v>7.036807574E9</v>
      </c>
      <c r="AD71" s="45">
        <v>9.505388921E9</v>
      </c>
      <c r="AE71" s="45">
        <v>0.0</v>
      </c>
      <c r="AF71" s="45">
        <v>0.0</v>
      </c>
      <c r="AG71" s="45" t="s">
        <v>1525</v>
      </c>
      <c r="AH71" s="45" t="s">
        <v>1526</v>
      </c>
      <c r="AI71" s="45">
        <v>0.0</v>
      </c>
      <c r="AJ71" s="45">
        <v>0.0</v>
      </c>
      <c r="AK71" s="45">
        <v>0.0</v>
      </c>
      <c r="AL71" s="45">
        <v>0.0</v>
      </c>
      <c r="AM71" s="45">
        <v>7.43</v>
      </c>
      <c r="AN71" s="45">
        <v>7.5</v>
      </c>
      <c r="AO71" s="45" t="s">
        <v>28</v>
      </c>
      <c r="AQ71" s="45" t="s">
        <v>1011</v>
      </c>
      <c r="AT71" s="45" t="s">
        <v>1028</v>
      </c>
    </row>
    <row r="72">
      <c r="A72" s="107"/>
      <c r="B72" s="108" t="s">
        <v>246</v>
      </c>
      <c r="C72" s="109" t="s">
        <v>1527</v>
      </c>
      <c r="D72" s="108" t="s">
        <v>1528</v>
      </c>
      <c r="E72" s="108" t="s">
        <v>247</v>
      </c>
      <c r="F72" s="108">
        <v>0.0</v>
      </c>
      <c r="G72" s="110">
        <v>5.12386E11</v>
      </c>
      <c r="H72" s="111" t="s">
        <v>1003</v>
      </c>
      <c r="I72" s="111" t="s">
        <v>1003</v>
      </c>
      <c r="J72" s="111" t="s">
        <v>1003</v>
      </c>
      <c r="K72" s="108" t="s">
        <v>1003</v>
      </c>
      <c r="L72" s="112" t="s">
        <v>1529</v>
      </c>
      <c r="M72" s="106">
        <v>11401.0</v>
      </c>
      <c r="N72" s="113">
        <v>1447.0</v>
      </c>
      <c r="O72" s="114">
        <v>37508.0</v>
      </c>
      <c r="P72" s="106" t="s">
        <v>46</v>
      </c>
      <c r="Q72" s="45" t="s">
        <v>1006</v>
      </c>
      <c r="R72" s="45">
        <v>77.0</v>
      </c>
      <c r="S72" s="45">
        <v>2018.0</v>
      </c>
      <c r="T72" s="45">
        <v>61.0</v>
      </c>
      <c r="U72" s="45">
        <v>2022.0</v>
      </c>
      <c r="V72" s="45">
        <v>7.54</v>
      </c>
      <c r="W72" s="45">
        <v>70.4</v>
      </c>
      <c r="X72" s="45">
        <v>2025.0</v>
      </c>
      <c r="Y72" s="45">
        <v>0.0</v>
      </c>
      <c r="Z72" s="45">
        <v>0.0</v>
      </c>
      <c r="AA72" s="45" t="s">
        <v>1530</v>
      </c>
      <c r="AB72" s="45" t="s">
        <v>1531</v>
      </c>
      <c r="AC72" s="45">
        <v>7.995635903E9</v>
      </c>
      <c r="AD72" s="45">
        <v>9.550080517E9</v>
      </c>
      <c r="AE72" s="45">
        <v>0.0</v>
      </c>
      <c r="AF72" s="45">
        <v>0.0</v>
      </c>
      <c r="AG72" s="45" t="s">
        <v>1532</v>
      </c>
      <c r="AH72" s="45" t="s">
        <v>1533</v>
      </c>
      <c r="AI72" s="45">
        <v>0.0</v>
      </c>
      <c r="AJ72" s="45">
        <v>0.0</v>
      </c>
      <c r="AK72" s="45">
        <v>0.0</v>
      </c>
      <c r="AL72" s="45">
        <v>0.0</v>
      </c>
      <c r="AM72" s="45">
        <v>7.41</v>
      </c>
      <c r="AN72" s="45">
        <v>7.54</v>
      </c>
      <c r="AO72" s="45" t="s">
        <v>27</v>
      </c>
      <c r="AQ72" s="45" t="s">
        <v>1011</v>
      </c>
      <c r="AT72" s="45" t="s">
        <v>1012</v>
      </c>
    </row>
    <row r="73">
      <c r="A73" s="107"/>
      <c r="B73" s="108" t="s">
        <v>248</v>
      </c>
      <c r="C73" s="109" t="s">
        <v>1534</v>
      </c>
      <c r="D73" s="108" t="s">
        <v>1535</v>
      </c>
      <c r="E73" s="108" t="s">
        <v>249</v>
      </c>
      <c r="F73" s="108">
        <v>0.0</v>
      </c>
      <c r="G73" s="110">
        <v>5.85319E11</v>
      </c>
      <c r="H73" s="111" t="s">
        <v>1003</v>
      </c>
      <c r="I73" s="111" t="s">
        <v>1003</v>
      </c>
      <c r="J73" s="111" t="s">
        <v>1003</v>
      </c>
      <c r="K73" s="108" t="s">
        <v>1003</v>
      </c>
      <c r="L73" s="112" t="s">
        <v>1536</v>
      </c>
      <c r="M73" s="106">
        <v>737.0</v>
      </c>
      <c r="N73" s="113">
        <v>737.0</v>
      </c>
      <c r="O73" s="106" t="s">
        <v>1537</v>
      </c>
      <c r="P73" s="106" t="s">
        <v>60</v>
      </c>
      <c r="Q73" s="45" t="s">
        <v>1006</v>
      </c>
      <c r="R73" s="45">
        <v>93.0</v>
      </c>
      <c r="S73" s="45">
        <v>2019.0</v>
      </c>
      <c r="T73" s="45">
        <v>83.0</v>
      </c>
      <c r="U73" s="45">
        <v>2022.0</v>
      </c>
      <c r="V73" s="45">
        <v>8.04</v>
      </c>
      <c r="W73" s="45">
        <v>75.4</v>
      </c>
      <c r="X73" s="45">
        <v>2025.0</v>
      </c>
      <c r="Y73" s="45">
        <v>0.0</v>
      </c>
      <c r="Z73" s="45">
        <v>0.0</v>
      </c>
      <c r="AA73" s="45" t="s">
        <v>1538</v>
      </c>
      <c r="AB73" s="45" t="s">
        <v>1539</v>
      </c>
      <c r="AC73" s="45">
        <v>9.515967813E9</v>
      </c>
      <c r="AD73" s="45">
        <v>9.949431332E9</v>
      </c>
      <c r="AE73" s="45">
        <v>0.0</v>
      </c>
      <c r="AF73" s="45">
        <v>0.0</v>
      </c>
      <c r="AG73" s="45" t="s">
        <v>1540</v>
      </c>
      <c r="AH73" s="45" t="s">
        <v>1541</v>
      </c>
      <c r="AI73" s="45">
        <v>0.0</v>
      </c>
      <c r="AJ73" s="45">
        <v>0.0</v>
      </c>
      <c r="AK73" s="45">
        <v>7.48</v>
      </c>
      <c r="AL73" s="45">
        <v>0.0</v>
      </c>
      <c r="AM73" s="45">
        <v>7.98</v>
      </c>
      <c r="AN73" s="45">
        <v>8.04</v>
      </c>
      <c r="AO73" s="45" t="s">
        <v>27</v>
      </c>
      <c r="AQ73" s="45" t="s">
        <v>1011</v>
      </c>
      <c r="AT73" s="45" t="s">
        <v>1028</v>
      </c>
    </row>
    <row r="74">
      <c r="A74" s="107"/>
      <c r="B74" s="108" t="s">
        <v>250</v>
      </c>
      <c r="C74" s="109" t="s">
        <v>1542</v>
      </c>
      <c r="D74" s="108" t="s">
        <v>1543</v>
      </c>
      <c r="E74" s="108" t="s">
        <v>251</v>
      </c>
      <c r="F74" s="108">
        <v>0.0</v>
      </c>
      <c r="G74" s="110">
        <v>7.51473E11</v>
      </c>
      <c r="H74" s="111" t="s">
        <v>1003</v>
      </c>
      <c r="I74" s="111" t="s">
        <v>1003</v>
      </c>
      <c r="J74" s="111" t="s">
        <v>1003</v>
      </c>
      <c r="K74" s="108" t="s">
        <v>1003</v>
      </c>
      <c r="L74" s="112" t="s">
        <v>1123</v>
      </c>
      <c r="M74" s="106">
        <v>6829.0</v>
      </c>
      <c r="N74" s="113">
        <v>0.0</v>
      </c>
      <c r="O74" s="114">
        <v>37930.0</v>
      </c>
      <c r="P74" s="106" t="s">
        <v>60</v>
      </c>
      <c r="Q74" s="45" t="s">
        <v>1006</v>
      </c>
      <c r="R74" s="45">
        <v>95.0</v>
      </c>
      <c r="S74" s="45">
        <v>2019.0</v>
      </c>
      <c r="T74" s="45">
        <v>98.6</v>
      </c>
      <c r="U74" s="45">
        <v>2021.0</v>
      </c>
      <c r="V74" s="45">
        <v>9.27</v>
      </c>
      <c r="W74" s="45">
        <v>87.7</v>
      </c>
      <c r="X74" s="45">
        <v>2025.0</v>
      </c>
      <c r="Y74" s="45">
        <v>0.0</v>
      </c>
      <c r="Z74" s="45">
        <v>0.0</v>
      </c>
      <c r="AA74" s="45" t="s">
        <v>1544</v>
      </c>
      <c r="AB74" s="45" t="s">
        <v>1545</v>
      </c>
      <c r="AC74" s="45">
        <v>8.247721649E9</v>
      </c>
      <c r="AD74" s="45">
        <v>9.391174262E9</v>
      </c>
      <c r="AE74" s="45" t="s">
        <v>252</v>
      </c>
      <c r="AF74" s="45">
        <v>0.0</v>
      </c>
      <c r="AG74" s="45" t="s">
        <v>1546</v>
      </c>
      <c r="AH74" s="45" t="s">
        <v>1547</v>
      </c>
      <c r="AI74" s="45">
        <v>9.76</v>
      </c>
      <c r="AJ74" s="45">
        <v>8.95</v>
      </c>
      <c r="AK74" s="45">
        <v>9.27</v>
      </c>
      <c r="AL74" s="45">
        <v>0.0</v>
      </c>
      <c r="AM74" s="45">
        <v>9.32</v>
      </c>
      <c r="AN74" s="45">
        <v>9.27</v>
      </c>
      <c r="AO74" s="45" t="s">
        <v>27</v>
      </c>
      <c r="AQ74" s="45" t="s">
        <v>1011</v>
      </c>
      <c r="AT74" s="45" t="s">
        <v>1012</v>
      </c>
    </row>
    <row r="75">
      <c r="A75" s="107"/>
      <c r="B75" s="108" t="s">
        <v>253</v>
      </c>
      <c r="C75" s="109" t="s">
        <v>1548</v>
      </c>
      <c r="D75" s="108" t="s">
        <v>1549</v>
      </c>
      <c r="E75" s="108" t="s">
        <v>254</v>
      </c>
      <c r="F75" s="108">
        <v>0.0</v>
      </c>
      <c r="G75" s="110">
        <v>4.98312E11</v>
      </c>
      <c r="H75" s="111" t="s">
        <v>1003</v>
      </c>
      <c r="I75" s="111" t="s">
        <v>1003</v>
      </c>
      <c r="J75" s="111" t="s">
        <v>1003</v>
      </c>
      <c r="K75" s="108" t="s">
        <v>1003</v>
      </c>
      <c r="L75" s="112" t="s">
        <v>1550</v>
      </c>
      <c r="M75" s="106">
        <v>0.0</v>
      </c>
      <c r="N75" s="113">
        <v>0.0</v>
      </c>
      <c r="O75" s="106" t="s">
        <v>1551</v>
      </c>
      <c r="P75" s="106" t="s">
        <v>46</v>
      </c>
      <c r="Q75" s="45" t="s">
        <v>1006</v>
      </c>
      <c r="R75" s="45">
        <v>90.0</v>
      </c>
      <c r="S75" s="45">
        <v>2019.0</v>
      </c>
      <c r="T75" s="45">
        <v>78.8</v>
      </c>
      <c r="U75" s="45">
        <v>2021.0</v>
      </c>
      <c r="V75" s="45">
        <v>7.6</v>
      </c>
      <c r="W75" s="45">
        <v>71.0</v>
      </c>
      <c r="X75" s="45">
        <v>2025.0</v>
      </c>
      <c r="Y75" s="45">
        <v>0.0</v>
      </c>
      <c r="Z75" s="45">
        <v>0.0</v>
      </c>
      <c r="AA75" s="45" t="s">
        <v>1552</v>
      </c>
      <c r="AB75" s="45" t="s">
        <v>1553</v>
      </c>
      <c r="AC75" s="45">
        <v>7.416706735E9</v>
      </c>
      <c r="AD75" s="45">
        <v>9.951740455E9</v>
      </c>
      <c r="AE75" s="45" t="s">
        <v>255</v>
      </c>
      <c r="AF75" s="45">
        <v>0.0</v>
      </c>
      <c r="AG75" s="45" t="s">
        <v>1554</v>
      </c>
      <c r="AH75" s="45" t="s">
        <v>1555</v>
      </c>
      <c r="AI75" s="45">
        <v>7.32</v>
      </c>
      <c r="AJ75" s="45">
        <v>6.95</v>
      </c>
      <c r="AK75" s="45">
        <v>7.02</v>
      </c>
      <c r="AL75" s="45">
        <v>0.0</v>
      </c>
      <c r="AM75" s="45">
        <v>7.45</v>
      </c>
      <c r="AN75" s="45">
        <v>7.6</v>
      </c>
      <c r="AO75" s="45" t="s">
        <v>28</v>
      </c>
      <c r="AQ75" s="45" t="s">
        <v>1011</v>
      </c>
      <c r="AT75" s="45" t="s">
        <v>1012</v>
      </c>
    </row>
    <row r="76">
      <c r="A76" s="107"/>
      <c r="B76" s="108" t="s">
        <v>256</v>
      </c>
      <c r="C76" s="109" t="s">
        <v>1556</v>
      </c>
      <c r="D76" s="108" t="s">
        <v>1557</v>
      </c>
      <c r="E76" s="108" t="s">
        <v>257</v>
      </c>
      <c r="F76" s="108">
        <v>0.0</v>
      </c>
      <c r="G76" s="110">
        <v>7.24906E11</v>
      </c>
      <c r="H76" s="111" t="s">
        <v>1003</v>
      </c>
      <c r="I76" s="111" t="s">
        <v>1003</v>
      </c>
      <c r="J76" s="111" t="s">
        <v>1003</v>
      </c>
      <c r="K76" s="108" t="s">
        <v>1003</v>
      </c>
      <c r="L76" s="112" t="s">
        <v>1123</v>
      </c>
      <c r="M76" s="106">
        <v>9113.0</v>
      </c>
      <c r="N76" s="113">
        <v>0.0</v>
      </c>
      <c r="O76" s="106" t="s">
        <v>1558</v>
      </c>
      <c r="P76" s="106" t="s">
        <v>46</v>
      </c>
      <c r="Q76" s="45" t="s">
        <v>1006</v>
      </c>
      <c r="R76" s="45">
        <v>97.0</v>
      </c>
      <c r="S76" s="45">
        <v>2019.0</v>
      </c>
      <c r="T76" s="45">
        <v>94.4</v>
      </c>
      <c r="U76" s="45">
        <v>2021.0</v>
      </c>
      <c r="V76" s="45">
        <v>8.6</v>
      </c>
      <c r="W76" s="45">
        <v>81.0</v>
      </c>
      <c r="X76" s="45">
        <v>2025.0</v>
      </c>
      <c r="Y76" s="45">
        <v>0.0</v>
      </c>
      <c r="Z76" s="45">
        <v>0.0</v>
      </c>
      <c r="AA76" s="45" t="s">
        <v>1559</v>
      </c>
      <c r="AB76" s="45" t="s">
        <v>1560</v>
      </c>
      <c r="AC76" s="45">
        <v>9.014200285E9</v>
      </c>
      <c r="AD76" s="45">
        <v>9.86622666E9</v>
      </c>
      <c r="AE76" s="45" t="s">
        <v>52</v>
      </c>
      <c r="AF76" s="45">
        <v>0.0</v>
      </c>
      <c r="AG76" s="45" t="s">
        <v>1561</v>
      </c>
      <c r="AH76" s="45" t="s">
        <v>1562</v>
      </c>
      <c r="AI76" s="45">
        <v>8.3</v>
      </c>
      <c r="AJ76" s="45">
        <v>8.71</v>
      </c>
      <c r="AK76" s="45">
        <v>8.64</v>
      </c>
      <c r="AL76" s="45">
        <v>0.0</v>
      </c>
      <c r="AM76" s="45">
        <v>8.55</v>
      </c>
      <c r="AN76" s="45">
        <v>8.6</v>
      </c>
      <c r="AO76" s="45" t="s">
        <v>27</v>
      </c>
      <c r="AQ76" s="45" t="s">
        <v>1011</v>
      </c>
      <c r="AT76" s="45" t="s">
        <v>1012</v>
      </c>
    </row>
    <row r="77">
      <c r="A77" s="107"/>
      <c r="B77" s="108" t="s">
        <v>258</v>
      </c>
      <c r="C77" s="109" t="s">
        <v>1563</v>
      </c>
      <c r="D77" s="108" t="s">
        <v>1564</v>
      </c>
      <c r="E77" s="108" t="s">
        <v>259</v>
      </c>
      <c r="F77" s="108">
        <v>0.0</v>
      </c>
      <c r="G77" s="110">
        <v>6.14047E11</v>
      </c>
      <c r="H77" s="111" t="s">
        <v>1003</v>
      </c>
      <c r="I77" s="111" t="s">
        <v>1003</v>
      </c>
      <c r="J77" s="111" t="s">
        <v>1003</v>
      </c>
      <c r="K77" s="108" t="s">
        <v>1003</v>
      </c>
      <c r="L77" s="112" t="s">
        <v>1479</v>
      </c>
      <c r="M77" s="106">
        <v>90676.0</v>
      </c>
      <c r="N77" s="113">
        <v>0.0</v>
      </c>
      <c r="O77" s="114">
        <v>37843.0</v>
      </c>
      <c r="P77" s="106" t="s">
        <v>60</v>
      </c>
      <c r="Q77" s="45" t="s">
        <v>1006</v>
      </c>
      <c r="R77" s="45">
        <v>75.0</v>
      </c>
      <c r="S77" s="45">
        <v>2019.0</v>
      </c>
      <c r="T77" s="45">
        <v>86.0</v>
      </c>
      <c r="U77" s="45">
        <v>2021.0</v>
      </c>
      <c r="V77" s="45">
        <v>7.87</v>
      </c>
      <c r="W77" s="45">
        <v>73.7</v>
      </c>
      <c r="X77" s="45">
        <v>2025.0</v>
      </c>
      <c r="Y77" s="45">
        <v>0.0</v>
      </c>
      <c r="Z77" s="45">
        <v>0.0</v>
      </c>
      <c r="AA77" s="45" t="s">
        <v>1565</v>
      </c>
      <c r="AB77" s="45" t="s">
        <v>1566</v>
      </c>
      <c r="AC77" s="45">
        <v>9.948224411E9</v>
      </c>
      <c r="AD77" s="45">
        <v>9.948223311E9</v>
      </c>
      <c r="AE77" s="45">
        <v>0.0</v>
      </c>
      <c r="AF77" s="45">
        <v>0.0</v>
      </c>
      <c r="AG77" s="45" t="s">
        <v>1567</v>
      </c>
      <c r="AH77" s="45" t="s">
        <v>1568</v>
      </c>
      <c r="AI77" s="45">
        <v>8.05</v>
      </c>
      <c r="AJ77" s="45">
        <v>7.34</v>
      </c>
      <c r="AK77" s="45">
        <v>0.0</v>
      </c>
      <c r="AL77" s="45">
        <v>0.0</v>
      </c>
      <c r="AM77" s="45">
        <v>7.81</v>
      </c>
      <c r="AN77" s="45">
        <v>7.87</v>
      </c>
      <c r="AO77" s="45" t="s">
        <v>27</v>
      </c>
      <c r="AQ77" s="45" t="s">
        <v>1011</v>
      </c>
      <c r="AT77" s="45" t="s">
        <v>1012</v>
      </c>
    </row>
    <row r="78">
      <c r="A78" s="107"/>
      <c r="B78" s="108" t="s">
        <v>260</v>
      </c>
      <c r="C78" s="109" t="s">
        <v>1569</v>
      </c>
      <c r="D78" s="108" t="s">
        <v>1570</v>
      </c>
      <c r="E78" s="108" t="s">
        <v>261</v>
      </c>
      <c r="F78" s="108">
        <v>0.0</v>
      </c>
      <c r="G78" s="110">
        <v>8.93244E11</v>
      </c>
      <c r="H78" s="111" t="s">
        <v>1003</v>
      </c>
      <c r="I78" s="111" t="s">
        <v>1003</v>
      </c>
      <c r="J78" s="111" t="s">
        <v>1003</v>
      </c>
      <c r="K78" s="108" t="s">
        <v>1003</v>
      </c>
      <c r="L78" s="112" t="s">
        <v>1123</v>
      </c>
      <c r="M78" s="106">
        <v>32812.0</v>
      </c>
      <c r="N78" s="113">
        <v>0.0</v>
      </c>
      <c r="O78" s="114">
        <v>38144.0</v>
      </c>
      <c r="P78" s="106" t="s">
        <v>46</v>
      </c>
      <c r="Q78" s="45" t="s">
        <v>1006</v>
      </c>
      <c r="R78" s="45">
        <v>83.0</v>
      </c>
      <c r="S78" s="45">
        <v>2019.0</v>
      </c>
      <c r="T78" s="45">
        <v>63.0</v>
      </c>
      <c r="U78" s="45">
        <v>2021.0</v>
      </c>
      <c r="V78" s="45">
        <v>0.0</v>
      </c>
      <c r="W78" s="45">
        <v>-5.0</v>
      </c>
      <c r="X78" s="45">
        <v>2025.0</v>
      </c>
      <c r="Y78" s="45">
        <v>7.0</v>
      </c>
      <c r="Z78" s="45">
        <v>8.0</v>
      </c>
      <c r="AA78" s="45" t="s">
        <v>1571</v>
      </c>
      <c r="AB78" s="45" t="s">
        <v>1572</v>
      </c>
      <c r="AC78" s="45">
        <v>7.330812585E9</v>
      </c>
      <c r="AD78" s="45">
        <v>9.000658425E9</v>
      </c>
      <c r="AE78" s="45">
        <v>0.0</v>
      </c>
      <c r="AF78" s="45">
        <v>0.0</v>
      </c>
      <c r="AG78" s="45" t="s">
        <v>1573</v>
      </c>
      <c r="AH78" s="45" t="s">
        <v>1574</v>
      </c>
      <c r="AI78" s="45">
        <v>0.0</v>
      </c>
      <c r="AJ78" s="45">
        <v>0.0</v>
      </c>
      <c r="AK78" s="45">
        <v>0.0</v>
      </c>
      <c r="AL78" s="45">
        <v>0.0</v>
      </c>
      <c r="AM78" s="45">
        <v>4.92</v>
      </c>
      <c r="AN78" s="45">
        <v>0.0</v>
      </c>
      <c r="AO78" s="45" t="s">
        <v>27</v>
      </c>
      <c r="AQ78" s="45" t="s">
        <v>1011</v>
      </c>
      <c r="AT78" s="45" t="s">
        <v>1012</v>
      </c>
    </row>
    <row r="79">
      <c r="A79" s="107"/>
      <c r="B79" s="108" t="s">
        <v>262</v>
      </c>
      <c r="C79" s="109" t="s">
        <v>1575</v>
      </c>
      <c r="D79" s="108" t="s">
        <v>1576</v>
      </c>
      <c r="E79" s="108" t="s">
        <v>263</v>
      </c>
      <c r="F79" s="108">
        <v>0.0</v>
      </c>
      <c r="G79" s="110">
        <v>8.9931E11</v>
      </c>
      <c r="H79" s="111" t="s">
        <v>1003</v>
      </c>
      <c r="I79" s="111" t="s">
        <v>1003</v>
      </c>
      <c r="J79" s="111" t="s">
        <v>1003</v>
      </c>
      <c r="K79" s="108" t="s">
        <v>1003</v>
      </c>
      <c r="L79" s="112" t="s">
        <v>1577</v>
      </c>
      <c r="M79" s="106">
        <v>29636.0</v>
      </c>
      <c r="N79" s="113">
        <v>0.0</v>
      </c>
      <c r="O79" s="114">
        <v>37297.0</v>
      </c>
      <c r="P79" s="106" t="s">
        <v>46</v>
      </c>
      <c r="Q79" s="45" t="s">
        <v>1006</v>
      </c>
      <c r="R79" s="45">
        <v>73.0</v>
      </c>
      <c r="S79" s="45">
        <v>2019.0</v>
      </c>
      <c r="T79" s="45">
        <v>55.0</v>
      </c>
      <c r="U79" s="45">
        <v>2021.0</v>
      </c>
      <c r="V79" s="45">
        <v>0.0</v>
      </c>
      <c r="W79" s="45">
        <v>-5.0</v>
      </c>
      <c r="X79" s="45">
        <v>2025.0</v>
      </c>
      <c r="Y79" s="45">
        <v>1.0</v>
      </c>
      <c r="Z79" s="45">
        <v>4.0</v>
      </c>
      <c r="AA79" s="45" t="s">
        <v>1578</v>
      </c>
      <c r="AB79" s="45" t="s">
        <v>1579</v>
      </c>
      <c r="AC79" s="45">
        <v>9.391956915E9</v>
      </c>
      <c r="AD79" s="45">
        <v>9.963634655E9</v>
      </c>
      <c r="AE79" s="45">
        <v>0.0</v>
      </c>
      <c r="AF79" s="45">
        <v>0.0</v>
      </c>
      <c r="AG79" s="45" t="s">
        <v>1580</v>
      </c>
      <c r="AH79" s="45" t="s">
        <v>1581</v>
      </c>
      <c r="AI79" s="45">
        <v>5.86</v>
      </c>
      <c r="AJ79" s="45">
        <v>0.0</v>
      </c>
      <c r="AK79" s="45">
        <v>0.0</v>
      </c>
      <c r="AL79" s="45">
        <v>0.0</v>
      </c>
      <c r="AM79" s="45">
        <v>5.9</v>
      </c>
      <c r="AN79" s="45">
        <v>0.0</v>
      </c>
      <c r="AO79" s="45" t="s">
        <v>27</v>
      </c>
      <c r="AQ79" s="45" t="s">
        <v>1011</v>
      </c>
      <c r="AT79" s="45" t="s">
        <v>1012</v>
      </c>
    </row>
    <row r="80">
      <c r="A80" s="107"/>
      <c r="B80" s="108" t="s">
        <v>264</v>
      </c>
      <c r="C80" s="109" t="s">
        <v>1582</v>
      </c>
      <c r="D80" s="108" t="s">
        <v>1583</v>
      </c>
      <c r="E80" s="108" t="s">
        <v>265</v>
      </c>
      <c r="F80" s="108">
        <v>0.0</v>
      </c>
      <c r="G80" s="110">
        <v>6.62845E11</v>
      </c>
      <c r="H80" s="111" t="s">
        <v>1003</v>
      </c>
      <c r="I80" s="111" t="s">
        <v>1003</v>
      </c>
      <c r="J80" s="111" t="s">
        <v>1003</v>
      </c>
      <c r="K80" s="108" t="s">
        <v>1003</v>
      </c>
      <c r="L80" s="112" t="s">
        <v>1584</v>
      </c>
      <c r="M80" s="106">
        <v>8605.0</v>
      </c>
      <c r="N80" s="113">
        <v>0.0</v>
      </c>
      <c r="O80" s="106" t="s">
        <v>1585</v>
      </c>
      <c r="P80" s="106" t="s">
        <v>60</v>
      </c>
      <c r="Q80" s="45" t="s">
        <v>1006</v>
      </c>
      <c r="R80" s="45">
        <v>92.0</v>
      </c>
      <c r="S80" s="45">
        <v>2019.0</v>
      </c>
      <c r="T80" s="45">
        <v>98.6</v>
      </c>
      <c r="U80" s="45">
        <v>2021.0</v>
      </c>
      <c r="V80" s="45">
        <v>9.17</v>
      </c>
      <c r="W80" s="45">
        <v>86.7</v>
      </c>
      <c r="X80" s="45">
        <v>2025.0</v>
      </c>
      <c r="Y80" s="45">
        <v>0.0</v>
      </c>
      <c r="Z80" s="45">
        <v>0.0</v>
      </c>
      <c r="AA80" s="45" t="s">
        <v>1586</v>
      </c>
      <c r="AB80" s="45" t="s">
        <v>1587</v>
      </c>
      <c r="AC80" s="45">
        <v>7.99586124E9</v>
      </c>
      <c r="AD80" s="45">
        <v>9.493554286E9</v>
      </c>
      <c r="AE80" s="45" t="s">
        <v>75</v>
      </c>
      <c r="AF80" s="45" t="s">
        <v>75</v>
      </c>
      <c r="AG80" s="45" t="s">
        <v>1588</v>
      </c>
      <c r="AH80" s="45" t="s">
        <v>1589</v>
      </c>
      <c r="AI80" s="45">
        <v>9.76</v>
      </c>
      <c r="AJ80" s="45">
        <v>9.07</v>
      </c>
      <c r="AK80" s="45">
        <v>9.0</v>
      </c>
      <c r="AL80" s="45">
        <v>0.0</v>
      </c>
      <c r="AM80" s="45">
        <v>9.2</v>
      </c>
      <c r="AN80" s="45">
        <v>9.17</v>
      </c>
      <c r="AO80" s="45" t="s">
        <v>27</v>
      </c>
      <c r="AQ80" s="45" t="s">
        <v>1011</v>
      </c>
      <c r="AT80" s="45" t="s">
        <v>1012</v>
      </c>
    </row>
    <row r="81">
      <c r="A81" s="107"/>
      <c r="B81" s="108" t="s">
        <v>266</v>
      </c>
      <c r="C81" s="109" t="s">
        <v>1590</v>
      </c>
      <c r="D81" s="108" t="s">
        <v>1591</v>
      </c>
      <c r="E81" s="108" t="s">
        <v>267</v>
      </c>
      <c r="F81" s="108">
        <v>0.0</v>
      </c>
      <c r="G81" s="110">
        <v>8.57067E11</v>
      </c>
      <c r="H81" s="111" t="s">
        <v>1003</v>
      </c>
      <c r="I81" s="111">
        <v>1226.0</v>
      </c>
      <c r="J81" s="111">
        <v>5517.0</v>
      </c>
      <c r="K81" s="108">
        <v>5527.0</v>
      </c>
      <c r="L81" s="112" t="s">
        <v>1592</v>
      </c>
      <c r="M81" s="106">
        <v>8681.0</v>
      </c>
      <c r="N81" s="113">
        <v>0.0</v>
      </c>
      <c r="O81" s="106" t="s">
        <v>1593</v>
      </c>
      <c r="P81" s="106" t="s">
        <v>46</v>
      </c>
      <c r="Q81" s="45" t="s">
        <v>1006</v>
      </c>
      <c r="R81" s="45">
        <v>98.0</v>
      </c>
      <c r="S81" s="45">
        <v>2019.0</v>
      </c>
      <c r="T81" s="45">
        <v>96.2</v>
      </c>
      <c r="U81" s="45">
        <v>2021.0</v>
      </c>
      <c r="V81" s="45">
        <v>9.0</v>
      </c>
      <c r="W81" s="45">
        <v>85.0</v>
      </c>
      <c r="X81" s="45">
        <v>2025.0</v>
      </c>
      <c r="Y81" s="45">
        <v>0.0</v>
      </c>
      <c r="Z81" s="45">
        <v>0.0</v>
      </c>
      <c r="AA81" s="45" t="s">
        <v>1594</v>
      </c>
      <c r="AB81" s="45" t="s">
        <v>1595</v>
      </c>
      <c r="AC81" s="45">
        <v>9.888922267E9</v>
      </c>
      <c r="AD81" s="45">
        <v>9.963608839E9</v>
      </c>
      <c r="AE81" s="45" t="s">
        <v>1596</v>
      </c>
      <c r="AF81" s="45" t="s">
        <v>61</v>
      </c>
      <c r="AG81" s="45" t="s">
        <v>1597</v>
      </c>
      <c r="AH81" s="45" t="s">
        <v>267</v>
      </c>
      <c r="AI81" s="45">
        <v>8.92</v>
      </c>
      <c r="AJ81" s="45">
        <v>9.15</v>
      </c>
      <c r="AK81" s="45">
        <v>8.8</v>
      </c>
      <c r="AL81" s="45">
        <v>0.0</v>
      </c>
      <c r="AM81" s="45">
        <v>9.0</v>
      </c>
      <c r="AN81" s="45">
        <v>9.0</v>
      </c>
      <c r="AO81" s="45" t="s">
        <v>27</v>
      </c>
      <c r="AQ81" s="45" t="s">
        <v>1011</v>
      </c>
      <c r="AT81" s="45" t="s">
        <v>1028</v>
      </c>
    </row>
    <row r="82">
      <c r="A82" s="107"/>
      <c r="B82" s="108" t="s">
        <v>269</v>
      </c>
      <c r="C82" s="109" t="s">
        <v>1598</v>
      </c>
      <c r="D82" s="108" t="s">
        <v>1599</v>
      </c>
      <c r="E82" s="108" t="s">
        <v>270</v>
      </c>
      <c r="F82" s="108">
        <v>0.0</v>
      </c>
      <c r="G82" s="110">
        <v>4.12451E11</v>
      </c>
      <c r="H82" s="111" t="s">
        <v>1003</v>
      </c>
      <c r="I82" s="111" t="s">
        <v>1003</v>
      </c>
      <c r="J82" s="111" t="s">
        <v>1003</v>
      </c>
      <c r="K82" s="108" t="s">
        <v>1003</v>
      </c>
      <c r="L82" s="112" t="s">
        <v>1600</v>
      </c>
      <c r="M82" s="106">
        <v>0.0</v>
      </c>
      <c r="N82" s="113">
        <v>0.0</v>
      </c>
      <c r="O82" s="114">
        <v>38109.0</v>
      </c>
      <c r="P82" s="106" t="s">
        <v>60</v>
      </c>
      <c r="Q82" s="45" t="s">
        <v>1006</v>
      </c>
      <c r="R82" s="45">
        <v>89.6</v>
      </c>
      <c r="S82" s="45">
        <v>2019.0</v>
      </c>
      <c r="T82" s="45">
        <v>87.2</v>
      </c>
      <c r="U82" s="45">
        <v>2021.0</v>
      </c>
      <c r="V82" s="45">
        <v>8.88</v>
      </c>
      <c r="W82" s="45">
        <v>83.8</v>
      </c>
      <c r="X82" s="45">
        <v>2025.0</v>
      </c>
      <c r="Y82" s="45">
        <v>0.0</v>
      </c>
      <c r="Z82" s="45">
        <v>0.0</v>
      </c>
      <c r="AA82" s="45" t="s">
        <v>1601</v>
      </c>
      <c r="AB82" s="45" t="s">
        <v>1602</v>
      </c>
      <c r="AC82" s="45">
        <v>8.328679741E9</v>
      </c>
      <c r="AD82" s="45">
        <v>9.441077146E9</v>
      </c>
      <c r="AE82" s="45" t="s">
        <v>271</v>
      </c>
      <c r="AF82" s="45">
        <v>0.0</v>
      </c>
      <c r="AG82" s="45" t="s">
        <v>1603</v>
      </c>
      <c r="AH82" s="45" t="s">
        <v>1604</v>
      </c>
      <c r="AI82" s="45">
        <v>9.16</v>
      </c>
      <c r="AJ82" s="45">
        <v>8.46</v>
      </c>
      <c r="AK82" s="45">
        <v>8.5</v>
      </c>
      <c r="AL82" s="45">
        <v>0.0</v>
      </c>
      <c r="AM82" s="45">
        <v>8.83</v>
      </c>
      <c r="AN82" s="45">
        <v>8.88</v>
      </c>
      <c r="AO82" s="45" t="s">
        <v>27</v>
      </c>
      <c r="AQ82" s="45" t="s">
        <v>1011</v>
      </c>
      <c r="AT82" s="45" t="s">
        <v>1012</v>
      </c>
    </row>
    <row r="83">
      <c r="A83" s="107"/>
      <c r="B83" s="108" t="s">
        <v>272</v>
      </c>
      <c r="C83" s="109" t="s">
        <v>1605</v>
      </c>
      <c r="D83" s="108" t="s">
        <v>1606</v>
      </c>
      <c r="E83" s="108" t="s">
        <v>273</v>
      </c>
      <c r="F83" s="108">
        <v>0.0</v>
      </c>
      <c r="G83" s="110">
        <v>9.57484E11</v>
      </c>
      <c r="H83" s="111" t="s">
        <v>1003</v>
      </c>
      <c r="I83" s="111" t="s">
        <v>1003</v>
      </c>
      <c r="J83" s="111" t="s">
        <v>1003</v>
      </c>
      <c r="K83" s="108" t="s">
        <v>1003</v>
      </c>
      <c r="L83" s="112" t="s">
        <v>1607</v>
      </c>
      <c r="M83" s="106">
        <v>28131.0</v>
      </c>
      <c r="N83" s="113">
        <v>0.0</v>
      </c>
      <c r="O83" s="106" t="s">
        <v>1141</v>
      </c>
      <c r="P83" s="106" t="s">
        <v>60</v>
      </c>
      <c r="Q83" s="45" t="s">
        <v>1006</v>
      </c>
      <c r="R83" s="45">
        <v>97.0</v>
      </c>
      <c r="S83" s="45">
        <v>2019.0</v>
      </c>
      <c r="T83" s="45">
        <v>87.0</v>
      </c>
      <c r="U83" s="45">
        <v>2021.0</v>
      </c>
      <c r="V83" s="45">
        <v>7.82</v>
      </c>
      <c r="W83" s="45">
        <v>73.2</v>
      </c>
      <c r="X83" s="45">
        <v>2025.0</v>
      </c>
      <c r="Y83" s="45">
        <v>0.0</v>
      </c>
      <c r="Z83" s="45">
        <v>1.0</v>
      </c>
      <c r="AA83" s="45" t="s">
        <v>1608</v>
      </c>
      <c r="AB83" s="45" t="s">
        <v>1609</v>
      </c>
      <c r="AC83" s="45">
        <v>9.959200704E9</v>
      </c>
      <c r="AD83" s="45">
        <v>9.65240481E9</v>
      </c>
      <c r="AE83" s="45">
        <v>0.0</v>
      </c>
      <c r="AF83" s="45">
        <v>0.0</v>
      </c>
      <c r="AG83" s="45" t="s">
        <v>1610</v>
      </c>
      <c r="AH83" s="45" t="s">
        <v>1611</v>
      </c>
      <c r="AI83" s="45">
        <v>7.35</v>
      </c>
      <c r="AJ83" s="45">
        <v>7.49</v>
      </c>
      <c r="AK83" s="45">
        <v>8.05</v>
      </c>
      <c r="AL83" s="45">
        <v>7.66</v>
      </c>
      <c r="AM83" s="45">
        <v>7.42</v>
      </c>
      <c r="AN83" s="45">
        <v>7.82</v>
      </c>
      <c r="AO83" s="45" t="s">
        <v>27</v>
      </c>
      <c r="AQ83" s="45" t="s">
        <v>1011</v>
      </c>
      <c r="AT83" s="45" t="s">
        <v>1028</v>
      </c>
    </row>
    <row r="84">
      <c r="A84" s="107"/>
      <c r="B84" s="108" t="s">
        <v>274</v>
      </c>
      <c r="C84" s="109" t="s">
        <v>1612</v>
      </c>
      <c r="D84" s="108" t="s">
        <v>1613</v>
      </c>
      <c r="E84" s="108" t="s">
        <v>275</v>
      </c>
      <c r="F84" s="108">
        <v>0.0</v>
      </c>
      <c r="G84" s="110">
        <v>7.89784E11</v>
      </c>
      <c r="H84" s="111" t="s">
        <v>1003</v>
      </c>
      <c r="I84" s="111" t="s">
        <v>1003</v>
      </c>
      <c r="J84" s="111" t="s">
        <v>1003</v>
      </c>
      <c r="K84" s="108" t="s">
        <v>1003</v>
      </c>
      <c r="L84" s="112" t="s">
        <v>1356</v>
      </c>
      <c r="M84" s="106">
        <v>12495.0</v>
      </c>
      <c r="N84" s="113">
        <v>0.0</v>
      </c>
      <c r="O84" s="114">
        <v>37872.0</v>
      </c>
      <c r="P84" s="106" t="s">
        <v>46</v>
      </c>
      <c r="Q84" s="45" t="s">
        <v>1006</v>
      </c>
      <c r="R84" s="45">
        <v>100.0</v>
      </c>
      <c r="S84" s="45">
        <v>2019.0</v>
      </c>
      <c r="T84" s="45">
        <v>98.0</v>
      </c>
      <c r="U84" s="45">
        <v>2021.0</v>
      </c>
      <c r="V84" s="45">
        <v>9.04</v>
      </c>
      <c r="W84" s="45">
        <v>85.4</v>
      </c>
      <c r="X84" s="45">
        <v>2025.0</v>
      </c>
      <c r="Y84" s="45">
        <v>0.0</v>
      </c>
      <c r="Z84" s="45">
        <v>0.0</v>
      </c>
      <c r="AA84" s="45" t="s">
        <v>1614</v>
      </c>
      <c r="AB84" s="45" t="s">
        <v>1615</v>
      </c>
      <c r="AC84" s="45">
        <v>6.300066289E9</v>
      </c>
      <c r="AD84" s="45">
        <v>9.441672295E9</v>
      </c>
      <c r="AE84" s="45">
        <v>0.0</v>
      </c>
      <c r="AF84" s="45" t="s">
        <v>61</v>
      </c>
      <c r="AG84" s="45" t="s">
        <v>1616</v>
      </c>
      <c r="AH84" s="45" t="s">
        <v>1617</v>
      </c>
      <c r="AI84" s="45">
        <v>9.22</v>
      </c>
      <c r="AJ84" s="45">
        <v>8.76</v>
      </c>
      <c r="AK84" s="45">
        <v>8.59</v>
      </c>
      <c r="AL84" s="45">
        <v>0.0</v>
      </c>
      <c r="AM84" s="45">
        <v>8.99</v>
      </c>
      <c r="AN84" s="45">
        <v>9.04</v>
      </c>
      <c r="AO84" s="45" t="s">
        <v>27</v>
      </c>
      <c r="AQ84" s="45" t="s">
        <v>1011</v>
      </c>
      <c r="AT84" s="45" t="s">
        <v>1028</v>
      </c>
    </row>
    <row r="85">
      <c r="A85" s="107"/>
      <c r="B85" s="108" t="s">
        <v>276</v>
      </c>
      <c r="C85" s="109" t="s">
        <v>1618</v>
      </c>
      <c r="D85" s="108" t="s">
        <v>1619</v>
      </c>
      <c r="E85" s="108" t="s">
        <v>277</v>
      </c>
      <c r="F85" s="108">
        <v>0.0</v>
      </c>
      <c r="G85" s="110">
        <v>3.6245E11</v>
      </c>
      <c r="H85" s="111" t="s">
        <v>1003</v>
      </c>
      <c r="I85" s="111">
        <v>1040.0</v>
      </c>
      <c r="J85" s="111">
        <v>5130.0</v>
      </c>
      <c r="K85" s="108">
        <v>4890.0</v>
      </c>
      <c r="L85" s="112" t="s">
        <v>1620</v>
      </c>
      <c r="M85" s="106">
        <v>13984.0</v>
      </c>
      <c r="N85" s="113">
        <v>0.0</v>
      </c>
      <c r="O85" s="114">
        <v>37775.0</v>
      </c>
      <c r="P85" s="106" t="s">
        <v>46</v>
      </c>
      <c r="Q85" s="45" t="s">
        <v>1006</v>
      </c>
      <c r="R85" s="45">
        <v>95.0</v>
      </c>
      <c r="S85" s="45">
        <v>2019.0</v>
      </c>
      <c r="T85" s="45">
        <v>98.0</v>
      </c>
      <c r="U85" s="45">
        <v>2021.0</v>
      </c>
      <c r="V85" s="45">
        <v>8.22</v>
      </c>
      <c r="W85" s="45">
        <v>77.2</v>
      </c>
      <c r="X85" s="45">
        <v>2025.0</v>
      </c>
      <c r="Y85" s="45">
        <v>0.0</v>
      </c>
      <c r="Z85" s="45">
        <v>0.0</v>
      </c>
      <c r="AA85" s="45" t="s">
        <v>1621</v>
      </c>
      <c r="AB85" s="45" t="s">
        <v>1622</v>
      </c>
      <c r="AC85" s="45">
        <v>9.347281537E9</v>
      </c>
      <c r="AD85" s="45">
        <v>9.177191375E9</v>
      </c>
      <c r="AE85" s="45" t="s">
        <v>278</v>
      </c>
      <c r="AF85" s="45">
        <v>0.0</v>
      </c>
      <c r="AG85" s="45" t="s">
        <v>1623</v>
      </c>
      <c r="AH85" s="45" t="s">
        <v>1624</v>
      </c>
      <c r="AI85" s="45">
        <v>8.22</v>
      </c>
      <c r="AJ85" s="45">
        <v>7.78</v>
      </c>
      <c r="AK85" s="45">
        <v>8.07</v>
      </c>
      <c r="AL85" s="45">
        <v>0.0</v>
      </c>
      <c r="AM85" s="45">
        <v>8.22</v>
      </c>
      <c r="AN85" s="45">
        <v>8.22</v>
      </c>
      <c r="AO85" s="45" t="s">
        <v>27</v>
      </c>
      <c r="AQ85" s="45" t="s">
        <v>1011</v>
      </c>
      <c r="AT85" s="45" t="s">
        <v>1012</v>
      </c>
    </row>
    <row r="86">
      <c r="A86" s="107"/>
      <c r="B86" s="108" t="s">
        <v>279</v>
      </c>
      <c r="C86" s="109" t="s">
        <v>18</v>
      </c>
      <c r="D86" s="108" t="s">
        <v>1625</v>
      </c>
      <c r="E86" s="108" t="s">
        <v>280</v>
      </c>
      <c r="F86" s="108">
        <v>0.0</v>
      </c>
      <c r="G86" s="110">
        <v>4.48953E11</v>
      </c>
      <c r="H86" s="111" t="s">
        <v>1003</v>
      </c>
      <c r="I86" s="111" t="s">
        <v>1003</v>
      </c>
      <c r="J86" s="111" t="s">
        <v>1003</v>
      </c>
      <c r="K86" s="108" t="s">
        <v>1003</v>
      </c>
      <c r="L86" s="112" t="s">
        <v>1031</v>
      </c>
      <c r="M86" s="106">
        <v>13035.0</v>
      </c>
      <c r="N86" s="113">
        <v>0.0</v>
      </c>
      <c r="O86" s="106" t="s">
        <v>1626</v>
      </c>
      <c r="P86" s="106" t="s">
        <v>60</v>
      </c>
      <c r="Q86" s="45" t="s">
        <v>1006</v>
      </c>
      <c r="R86" s="45">
        <v>93.0</v>
      </c>
      <c r="S86" s="45">
        <v>2019.0</v>
      </c>
      <c r="T86" s="45">
        <v>96.0</v>
      </c>
      <c r="U86" s="45">
        <v>2021.0</v>
      </c>
      <c r="V86" s="45">
        <v>8.8</v>
      </c>
      <c r="W86" s="45">
        <v>83.0</v>
      </c>
      <c r="X86" s="45">
        <v>2025.0</v>
      </c>
      <c r="Y86" s="45">
        <v>0.0</v>
      </c>
      <c r="Z86" s="45">
        <v>0.0</v>
      </c>
      <c r="AA86" s="45" t="s">
        <v>1627</v>
      </c>
      <c r="AB86" s="45" t="s">
        <v>1628</v>
      </c>
      <c r="AC86" s="45">
        <v>9.959476606E9</v>
      </c>
      <c r="AD86" s="45">
        <v>7.093256574E9</v>
      </c>
      <c r="AE86" s="45" t="s">
        <v>271</v>
      </c>
      <c r="AF86" s="45">
        <v>0.0</v>
      </c>
      <c r="AG86" s="45" t="s">
        <v>1629</v>
      </c>
      <c r="AH86" s="45" t="s">
        <v>1630</v>
      </c>
      <c r="AI86" s="45">
        <v>9.08</v>
      </c>
      <c r="AJ86" s="45">
        <v>8.71</v>
      </c>
      <c r="AK86" s="45">
        <v>8.59</v>
      </c>
      <c r="AL86" s="45">
        <v>0.0</v>
      </c>
      <c r="AM86" s="45">
        <v>8.84</v>
      </c>
      <c r="AN86" s="45">
        <v>8.8</v>
      </c>
      <c r="AO86" s="45" t="s">
        <v>27</v>
      </c>
      <c r="AQ86" s="45" t="s">
        <v>1011</v>
      </c>
      <c r="AT86" s="45" t="s">
        <v>1028</v>
      </c>
    </row>
    <row r="87">
      <c r="A87" s="107"/>
      <c r="B87" s="108" t="s">
        <v>282</v>
      </c>
      <c r="C87" s="109" t="s">
        <v>1631</v>
      </c>
      <c r="D87" s="108" t="s">
        <v>1632</v>
      </c>
      <c r="E87" s="108" t="s">
        <v>283</v>
      </c>
      <c r="F87" s="108">
        <v>0.0</v>
      </c>
      <c r="G87" s="110">
        <v>6.31828E11</v>
      </c>
      <c r="H87" s="111" t="s">
        <v>1003</v>
      </c>
      <c r="I87" s="111">
        <v>1460.0</v>
      </c>
      <c r="J87" s="111">
        <v>5884.0</v>
      </c>
      <c r="K87" s="108">
        <v>5946.0</v>
      </c>
      <c r="L87" s="112" t="s">
        <v>1633</v>
      </c>
      <c r="M87" s="106">
        <v>5124.0</v>
      </c>
      <c r="N87" s="113">
        <v>0.0</v>
      </c>
      <c r="O87" s="106" t="s">
        <v>1634</v>
      </c>
      <c r="P87" s="106" t="s">
        <v>46</v>
      </c>
      <c r="Q87" s="45" t="s">
        <v>1006</v>
      </c>
      <c r="R87" s="45">
        <v>93.0</v>
      </c>
      <c r="S87" s="45">
        <v>2019.0</v>
      </c>
      <c r="T87" s="45">
        <v>94.0</v>
      </c>
      <c r="U87" s="45">
        <v>2021.0</v>
      </c>
      <c r="V87" s="45">
        <v>8.68</v>
      </c>
      <c r="W87" s="45">
        <v>81.8</v>
      </c>
      <c r="X87" s="45">
        <v>2025.0</v>
      </c>
      <c r="Y87" s="45">
        <v>0.0</v>
      </c>
      <c r="Z87" s="45">
        <v>0.0</v>
      </c>
      <c r="AA87" s="45" t="s">
        <v>1635</v>
      </c>
      <c r="AB87" s="45" t="s">
        <v>1636</v>
      </c>
      <c r="AC87" s="45">
        <v>9.121943066E9</v>
      </c>
      <c r="AD87" s="45">
        <v>9.985373066E9</v>
      </c>
      <c r="AE87" s="45" t="s">
        <v>284</v>
      </c>
      <c r="AF87" s="45">
        <v>0.0</v>
      </c>
      <c r="AG87" s="45" t="s">
        <v>1637</v>
      </c>
      <c r="AH87" s="45" t="s">
        <v>1638</v>
      </c>
      <c r="AI87" s="45">
        <v>8.76</v>
      </c>
      <c r="AJ87" s="45">
        <v>8.85</v>
      </c>
      <c r="AK87" s="45">
        <v>8.7</v>
      </c>
      <c r="AL87" s="45">
        <v>0.0</v>
      </c>
      <c r="AM87" s="45">
        <v>8.73</v>
      </c>
      <c r="AN87" s="45">
        <v>8.68</v>
      </c>
      <c r="AO87" s="45" t="s">
        <v>27</v>
      </c>
      <c r="AQ87" s="45" t="s">
        <v>1011</v>
      </c>
      <c r="AT87" s="45" t="s">
        <v>1028</v>
      </c>
    </row>
    <row r="88">
      <c r="A88" s="107"/>
      <c r="B88" s="108" t="s">
        <v>285</v>
      </c>
      <c r="C88" s="109" t="s">
        <v>1639</v>
      </c>
      <c r="D88" s="108" t="s">
        <v>1640</v>
      </c>
      <c r="E88" s="108" t="s">
        <v>286</v>
      </c>
      <c r="F88" s="108">
        <v>0.0</v>
      </c>
      <c r="G88" s="110">
        <v>2.50744E11</v>
      </c>
      <c r="H88" s="111" t="s">
        <v>1003</v>
      </c>
      <c r="I88" s="111" t="s">
        <v>1003</v>
      </c>
      <c r="J88" s="111" t="s">
        <v>1003</v>
      </c>
      <c r="K88" s="108" t="s">
        <v>1003</v>
      </c>
      <c r="L88" s="112" t="s">
        <v>1031</v>
      </c>
      <c r="M88" s="106">
        <v>12348.0</v>
      </c>
      <c r="N88" s="113">
        <v>0.0</v>
      </c>
      <c r="O88" s="106" t="s">
        <v>1641</v>
      </c>
      <c r="P88" s="106" t="s">
        <v>46</v>
      </c>
      <c r="Q88" s="45" t="s">
        <v>1006</v>
      </c>
      <c r="R88" s="45">
        <v>100.0</v>
      </c>
      <c r="S88" s="45">
        <v>2019.0</v>
      </c>
      <c r="T88" s="45">
        <v>96.0</v>
      </c>
      <c r="U88" s="45">
        <v>2021.0</v>
      </c>
      <c r="V88" s="45">
        <v>8.77</v>
      </c>
      <c r="W88" s="45">
        <v>82.7</v>
      </c>
      <c r="X88" s="45">
        <v>2025.0</v>
      </c>
      <c r="Y88" s="45">
        <v>0.0</v>
      </c>
      <c r="Z88" s="45">
        <v>0.0</v>
      </c>
      <c r="AA88" s="45" t="s">
        <v>1642</v>
      </c>
      <c r="AB88" s="45" t="s">
        <v>1643</v>
      </c>
      <c r="AC88" s="45">
        <v>8.247536369E9</v>
      </c>
      <c r="AD88" s="45">
        <v>9.94926353E9</v>
      </c>
      <c r="AE88" s="45" t="s">
        <v>237</v>
      </c>
      <c r="AF88" s="45">
        <v>0.0</v>
      </c>
      <c r="AG88" s="45" t="s">
        <v>1644</v>
      </c>
      <c r="AH88" s="45" t="s">
        <v>1645</v>
      </c>
      <c r="AI88" s="45">
        <v>8.7</v>
      </c>
      <c r="AJ88" s="45">
        <v>8.76</v>
      </c>
      <c r="AK88" s="45">
        <v>9.16</v>
      </c>
      <c r="AL88" s="45">
        <v>0.0</v>
      </c>
      <c r="AM88" s="45">
        <v>8.76</v>
      </c>
      <c r="AN88" s="45">
        <v>8.77</v>
      </c>
      <c r="AO88" s="45" t="s">
        <v>27</v>
      </c>
      <c r="AQ88" s="45" t="s">
        <v>1011</v>
      </c>
      <c r="AT88" s="45" t="s">
        <v>1028</v>
      </c>
    </row>
    <row r="89">
      <c r="A89" s="107"/>
      <c r="B89" s="108" t="s">
        <v>287</v>
      </c>
      <c r="C89" s="109" t="s">
        <v>1646</v>
      </c>
      <c r="D89" s="108" t="s">
        <v>1647</v>
      </c>
      <c r="E89" s="108" t="s">
        <v>288</v>
      </c>
      <c r="F89" s="108">
        <v>0.0</v>
      </c>
      <c r="G89" s="110">
        <v>5.81921E11</v>
      </c>
      <c r="H89" s="111" t="s">
        <v>1003</v>
      </c>
      <c r="I89" s="111" t="s">
        <v>1003</v>
      </c>
      <c r="J89" s="111" t="s">
        <v>1003</v>
      </c>
      <c r="K89" s="108" t="s">
        <v>1003</v>
      </c>
      <c r="L89" s="112" t="s">
        <v>1113</v>
      </c>
      <c r="M89" s="106">
        <v>17675.0</v>
      </c>
      <c r="N89" s="113">
        <v>0.0</v>
      </c>
      <c r="O89" s="106" t="s">
        <v>1648</v>
      </c>
      <c r="P89" s="106" t="s">
        <v>46</v>
      </c>
      <c r="Q89" s="45" t="s">
        <v>1006</v>
      </c>
      <c r="R89" s="45">
        <v>90.0</v>
      </c>
      <c r="S89" s="45">
        <v>2019.0</v>
      </c>
      <c r="T89" s="45">
        <v>96.0</v>
      </c>
      <c r="U89" s="45">
        <v>2021.0</v>
      </c>
      <c r="V89" s="45">
        <v>8.15</v>
      </c>
      <c r="W89" s="45">
        <v>76.5</v>
      </c>
      <c r="X89" s="45">
        <v>2025.0</v>
      </c>
      <c r="Y89" s="45">
        <v>0.0</v>
      </c>
      <c r="Z89" s="45">
        <v>0.0</v>
      </c>
      <c r="AA89" s="45" t="s">
        <v>1649</v>
      </c>
      <c r="AB89" s="45" t="s">
        <v>1650</v>
      </c>
      <c r="AC89" s="45">
        <v>6.303912631E9</v>
      </c>
      <c r="AD89" s="45">
        <v>7.981198945E9</v>
      </c>
      <c r="AE89" s="45" t="s">
        <v>122</v>
      </c>
      <c r="AF89" s="45">
        <v>0.0</v>
      </c>
      <c r="AG89" s="45" t="s">
        <v>1651</v>
      </c>
      <c r="AH89" s="45" t="s">
        <v>1652</v>
      </c>
      <c r="AI89" s="45">
        <v>8.32</v>
      </c>
      <c r="AJ89" s="45">
        <v>8.07</v>
      </c>
      <c r="AK89" s="45">
        <v>8.14</v>
      </c>
      <c r="AL89" s="45">
        <v>0.0</v>
      </c>
      <c r="AM89" s="45">
        <v>8.18</v>
      </c>
      <c r="AN89" s="45">
        <v>8.15</v>
      </c>
      <c r="AO89" s="45" t="s">
        <v>27</v>
      </c>
      <c r="AQ89" s="45" t="s">
        <v>1011</v>
      </c>
      <c r="AT89" s="45" t="s">
        <v>1012</v>
      </c>
    </row>
    <row r="90">
      <c r="A90" s="107"/>
      <c r="B90" s="108" t="s">
        <v>289</v>
      </c>
      <c r="C90" s="109" t="s">
        <v>1653</v>
      </c>
      <c r="D90" s="108" t="s">
        <v>1654</v>
      </c>
      <c r="E90" s="108" t="s">
        <v>290</v>
      </c>
      <c r="F90" s="108">
        <v>0.0</v>
      </c>
      <c r="G90" s="110">
        <v>5.2413E11</v>
      </c>
      <c r="H90" s="111" t="s">
        <v>1003</v>
      </c>
      <c r="I90" s="111">
        <v>1034.0</v>
      </c>
      <c r="J90" s="111">
        <v>4986.0</v>
      </c>
      <c r="K90" s="108">
        <v>4986.0</v>
      </c>
      <c r="L90" s="112" t="s">
        <v>1655</v>
      </c>
      <c r="M90" s="106">
        <v>15774.0</v>
      </c>
      <c r="N90" s="113">
        <v>0.0</v>
      </c>
      <c r="O90" s="106" t="s">
        <v>1656</v>
      </c>
      <c r="P90" s="106" t="s">
        <v>46</v>
      </c>
      <c r="Q90" s="45" t="s">
        <v>1006</v>
      </c>
      <c r="R90" s="45">
        <v>88.0</v>
      </c>
      <c r="S90" s="45">
        <v>2019.0</v>
      </c>
      <c r="T90" s="45">
        <v>95.6</v>
      </c>
      <c r="U90" s="45">
        <v>2021.0</v>
      </c>
      <c r="V90" s="45">
        <v>8.36</v>
      </c>
      <c r="W90" s="45">
        <v>78.6</v>
      </c>
      <c r="X90" s="45">
        <v>2025.0</v>
      </c>
      <c r="Y90" s="45">
        <v>0.0</v>
      </c>
      <c r="Z90" s="45">
        <v>0.0</v>
      </c>
      <c r="AA90" s="45" t="s">
        <v>1657</v>
      </c>
      <c r="AB90" s="45" t="s">
        <v>1658</v>
      </c>
      <c r="AC90" s="45">
        <v>7.032304365E9</v>
      </c>
      <c r="AD90" s="45">
        <v>8.328243054E9</v>
      </c>
      <c r="AE90" s="45" t="s">
        <v>52</v>
      </c>
      <c r="AF90" s="45">
        <v>0.0</v>
      </c>
      <c r="AG90" s="45" t="s">
        <v>1659</v>
      </c>
      <c r="AH90" s="45" t="s">
        <v>1660</v>
      </c>
      <c r="AI90" s="45">
        <v>8.92</v>
      </c>
      <c r="AJ90" s="45">
        <v>8.56</v>
      </c>
      <c r="AK90" s="45">
        <v>8.07</v>
      </c>
      <c r="AL90" s="45">
        <v>0.0</v>
      </c>
      <c r="AM90" s="45">
        <v>8.35</v>
      </c>
      <c r="AN90" s="45">
        <v>8.36</v>
      </c>
      <c r="AO90" s="45" t="s">
        <v>28</v>
      </c>
      <c r="AQ90" s="45" t="s">
        <v>1011</v>
      </c>
      <c r="AT90" s="45" t="s">
        <v>1012</v>
      </c>
    </row>
    <row r="91">
      <c r="A91" s="107"/>
      <c r="B91" s="108" t="s">
        <v>291</v>
      </c>
      <c r="C91" s="109" t="s">
        <v>1661</v>
      </c>
      <c r="D91" s="108" t="s">
        <v>1599</v>
      </c>
      <c r="E91" s="108" t="s">
        <v>292</v>
      </c>
      <c r="F91" s="108">
        <v>0.0</v>
      </c>
      <c r="G91" s="110">
        <v>5.97508E11</v>
      </c>
      <c r="H91" s="111" t="s">
        <v>1003</v>
      </c>
      <c r="I91" s="111" t="s">
        <v>1003</v>
      </c>
      <c r="J91" s="111" t="s">
        <v>1003</v>
      </c>
      <c r="K91" s="108" t="s">
        <v>1003</v>
      </c>
      <c r="L91" s="112" t="s">
        <v>1031</v>
      </c>
      <c r="M91" s="106">
        <v>8639.0</v>
      </c>
      <c r="N91" s="113">
        <v>0.0</v>
      </c>
      <c r="O91" s="114">
        <v>37656.0</v>
      </c>
      <c r="P91" s="106" t="s">
        <v>46</v>
      </c>
      <c r="Q91" s="45" t="s">
        <v>1006</v>
      </c>
      <c r="R91" s="45">
        <v>98.0</v>
      </c>
      <c r="S91" s="45">
        <v>2018.0</v>
      </c>
      <c r="T91" s="45">
        <v>97.3</v>
      </c>
      <c r="U91" s="45">
        <v>2020.0</v>
      </c>
      <c r="V91" s="45">
        <v>8.94</v>
      </c>
      <c r="W91" s="45">
        <v>84.4</v>
      </c>
      <c r="X91" s="45">
        <v>2025.0</v>
      </c>
      <c r="Y91" s="45">
        <v>0.0</v>
      </c>
      <c r="Z91" s="45">
        <v>0.0</v>
      </c>
      <c r="AA91" s="45" t="s">
        <v>1662</v>
      </c>
      <c r="AB91" s="45" t="s">
        <v>1663</v>
      </c>
      <c r="AC91" s="45">
        <v>7.013222541E9</v>
      </c>
      <c r="AD91" s="45">
        <v>8.099380275E9</v>
      </c>
      <c r="AE91" s="45" t="s">
        <v>215</v>
      </c>
      <c r="AF91" s="45">
        <v>0.0</v>
      </c>
      <c r="AG91" s="45" t="s">
        <v>1664</v>
      </c>
      <c r="AH91" s="45" t="s">
        <v>1665</v>
      </c>
      <c r="AI91" s="45">
        <v>9.16</v>
      </c>
      <c r="AJ91" s="45">
        <v>9.2</v>
      </c>
      <c r="AK91" s="45">
        <v>8.95</v>
      </c>
      <c r="AL91" s="45">
        <v>0.0</v>
      </c>
      <c r="AM91" s="45">
        <v>8.91</v>
      </c>
      <c r="AN91" s="45">
        <v>8.94</v>
      </c>
      <c r="AO91" s="45" t="s">
        <v>27</v>
      </c>
      <c r="AQ91" s="45" t="s">
        <v>1011</v>
      </c>
      <c r="AT91" s="45" t="s">
        <v>1012</v>
      </c>
    </row>
    <row r="92">
      <c r="A92" s="107"/>
      <c r="B92" s="108" t="s">
        <v>294</v>
      </c>
      <c r="C92" s="109" t="s">
        <v>1666</v>
      </c>
      <c r="D92" s="108" t="s">
        <v>1667</v>
      </c>
      <c r="E92" s="108" t="s">
        <v>295</v>
      </c>
      <c r="F92" s="108">
        <v>0.0</v>
      </c>
      <c r="G92" s="110">
        <v>3.00454E11</v>
      </c>
      <c r="H92" s="111" t="s">
        <v>1003</v>
      </c>
      <c r="I92" s="111">
        <v>552.0</v>
      </c>
      <c r="J92" s="111" t="s">
        <v>1003</v>
      </c>
      <c r="K92" s="108" t="s">
        <v>1003</v>
      </c>
      <c r="L92" s="112" t="s">
        <v>1668</v>
      </c>
      <c r="M92" s="106">
        <v>25535.0</v>
      </c>
      <c r="N92" s="113">
        <v>0.0</v>
      </c>
      <c r="O92" s="106" t="s">
        <v>1669</v>
      </c>
      <c r="P92" s="106" t="s">
        <v>60</v>
      </c>
      <c r="Q92" s="45" t="s">
        <v>1006</v>
      </c>
      <c r="R92" s="45">
        <v>97.0</v>
      </c>
      <c r="S92" s="45">
        <v>2019.0</v>
      </c>
      <c r="T92" s="45">
        <v>97.2</v>
      </c>
      <c r="U92" s="45">
        <v>2021.0</v>
      </c>
      <c r="V92" s="45">
        <v>8.98</v>
      </c>
      <c r="W92" s="45">
        <v>84.8</v>
      </c>
      <c r="X92" s="45">
        <v>2025.0</v>
      </c>
      <c r="Y92" s="45">
        <v>0.0</v>
      </c>
      <c r="Z92" s="45">
        <v>0.0</v>
      </c>
      <c r="AA92" s="45" t="s">
        <v>1670</v>
      </c>
      <c r="AB92" s="45" t="s">
        <v>1671</v>
      </c>
      <c r="AC92" s="45">
        <v>9.010456145E9</v>
      </c>
      <c r="AD92" s="45">
        <v>9.866019284E9</v>
      </c>
      <c r="AE92" s="45" t="s">
        <v>406</v>
      </c>
      <c r="AF92" s="45">
        <v>0.0</v>
      </c>
      <c r="AG92" s="45" t="s">
        <v>1672</v>
      </c>
      <c r="AH92" s="45" t="s">
        <v>1673</v>
      </c>
      <c r="AI92" s="45">
        <v>9.19</v>
      </c>
      <c r="AJ92" s="45">
        <v>8.93</v>
      </c>
      <c r="AK92" s="45">
        <v>8.61</v>
      </c>
      <c r="AL92" s="45">
        <v>0.0</v>
      </c>
      <c r="AM92" s="45">
        <v>8.93</v>
      </c>
      <c r="AN92" s="45">
        <v>8.98</v>
      </c>
      <c r="AO92" s="45" t="s">
        <v>27</v>
      </c>
      <c r="AQ92" s="45" t="s">
        <v>1011</v>
      </c>
      <c r="AT92" s="45" t="s">
        <v>1012</v>
      </c>
    </row>
    <row r="93">
      <c r="A93" s="107"/>
      <c r="B93" s="108" t="s">
        <v>297</v>
      </c>
      <c r="C93" s="109" t="s">
        <v>1674</v>
      </c>
      <c r="D93" s="108" t="s">
        <v>1675</v>
      </c>
      <c r="E93" s="108" t="s">
        <v>298</v>
      </c>
      <c r="F93" s="108">
        <v>0.0</v>
      </c>
      <c r="G93" s="110">
        <v>4.1107E11</v>
      </c>
      <c r="H93" s="111" t="s">
        <v>1003</v>
      </c>
      <c r="I93" s="111">
        <v>944.0</v>
      </c>
      <c r="J93" s="111">
        <v>4511.0</v>
      </c>
      <c r="K93" s="108">
        <v>4298.0</v>
      </c>
      <c r="L93" s="112" t="s">
        <v>1676</v>
      </c>
      <c r="M93" s="106">
        <v>24188.0</v>
      </c>
      <c r="N93" s="113">
        <v>0.0</v>
      </c>
      <c r="O93" s="114">
        <v>37744.0</v>
      </c>
      <c r="P93" s="106" t="s">
        <v>60</v>
      </c>
      <c r="Q93" s="45" t="s">
        <v>1006</v>
      </c>
      <c r="R93" s="45">
        <v>90.0</v>
      </c>
      <c r="S93" s="45">
        <v>2019.0</v>
      </c>
      <c r="T93" s="45">
        <v>88.0</v>
      </c>
      <c r="U93" s="45">
        <v>2021.0</v>
      </c>
      <c r="V93" s="45">
        <v>8.98</v>
      </c>
      <c r="W93" s="45">
        <v>84.8</v>
      </c>
      <c r="X93" s="45">
        <v>2025.0</v>
      </c>
      <c r="Y93" s="45">
        <v>0.0</v>
      </c>
      <c r="Z93" s="45">
        <v>0.0</v>
      </c>
      <c r="AA93" s="45" t="s">
        <v>1677</v>
      </c>
      <c r="AB93" s="45" t="s">
        <v>1678</v>
      </c>
      <c r="AC93" s="45">
        <v>7.70225951E9</v>
      </c>
      <c r="AD93" s="45">
        <v>9.440443826E9</v>
      </c>
      <c r="AE93" s="45" t="s">
        <v>255</v>
      </c>
      <c r="AF93" s="45">
        <v>0.0</v>
      </c>
      <c r="AG93" s="45" t="s">
        <v>1679</v>
      </c>
      <c r="AH93" s="45" t="s">
        <v>1680</v>
      </c>
      <c r="AI93" s="45">
        <v>9.43</v>
      </c>
      <c r="AJ93" s="45">
        <v>8.66</v>
      </c>
      <c r="AK93" s="45">
        <v>8.73</v>
      </c>
      <c r="AL93" s="45">
        <v>0.0</v>
      </c>
      <c r="AM93" s="45">
        <v>8.93</v>
      </c>
      <c r="AN93" s="45">
        <v>8.98</v>
      </c>
      <c r="AO93" s="45" t="s">
        <v>27</v>
      </c>
      <c r="AQ93" s="45" t="s">
        <v>1011</v>
      </c>
      <c r="AT93" s="45" t="s">
        <v>1012</v>
      </c>
    </row>
    <row r="94">
      <c r="A94" s="107"/>
      <c r="B94" s="108" t="s">
        <v>299</v>
      </c>
      <c r="C94" s="109" t="s">
        <v>1681</v>
      </c>
      <c r="D94" s="108" t="s">
        <v>1682</v>
      </c>
      <c r="E94" s="108" t="s">
        <v>300</v>
      </c>
      <c r="F94" s="108">
        <v>0.0</v>
      </c>
      <c r="G94" s="110">
        <v>6.56299E11</v>
      </c>
      <c r="H94" s="111" t="s">
        <v>1003</v>
      </c>
      <c r="I94" s="111" t="s">
        <v>1003</v>
      </c>
      <c r="J94" s="111" t="s">
        <v>1003</v>
      </c>
      <c r="K94" s="108" t="s">
        <v>1003</v>
      </c>
      <c r="L94" s="112" t="s">
        <v>1123</v>
      </c>
      <c r="M94" s="106">
        <v>12913.0</v>
      </c>
      <c r="N94" s="113">
        <v>0.0</v>
      </c>
      <c r="O94" s="106" t="s">
        <v>1683</v>
      </c>
      <c r="P94" s="106" t="s">
        <v>46</v>
      </c>
      <c r="Q94" s="45" t="s">
        <v>1006</v>
      </c>
      <c r="R94" s="45">
        <v>97.0</v>
      </c>
      <c r="S94" s="45">
        <v>2019.0</v>
      </c>
      <c r="T94" s="45">
        <v>94.2</v>
      </c>
      <c r="U94" s="45">
        <v>2021.0</v>
      </c>
      <c r="V94" s="45">
        <v>7.95</v>
      </c>
      <c r="W94" s="45">
        <v>74.5</v>
      </c>
      <c r="X94" s="45">
        <v>2025.0</v>
      </c>
      <c r="Y94" s="45">
        <v>0.0</v>
      </c>
      <c r="Z94" s="45">
        <v>0.0</v>
      </c>
      <c r="AA94" s="45" t="s">
        <v>1684</v>
      </c>
      <c r="AB94" s="45" t="s">
        <v>1685</v>
      </c>
      <c r="AC94" s="45">
        <v>7.981877371E9</v>
      </c>
      <c r="AD94" s="45">
        <v>8.555916803E9</v>
      </c>
      <c r="AE94" s="45" t="s">
        <v>52</v>
      </c>
      <c r="AF94" s="45">
        <v>0.0</v>
      </c>
      <c r="AG94" s="45" t="s">
        <v>1686</v>
      </c>
      <c r="AH94" s="45" t="s">
        <v>1687</v>
      </c>
      <c r="AI94" s="45">
        <v>8.43</v>
      </c>
      <c r="AJ94" s="45">
        <v>8.07</v>
      </c>
      <c r="AK94" s="45">
        <v>7.8</v>
      </c>
      <c r="AL94" s="45">
        <v>0.0</v>
      </c>
      <c r="AM94" s="45">
        <v>7.96</v>
      </c>
      <c r="AN94" s="45">
        <v>7.95</v>
      </c>
      <c r="AO94" s="45" t="s">
        <v>27</v>
      </c>
      <c r="AQ94" s="45" t="s">
        <v>1011</v>
      </c>
      <c r="AT94" s="45" t="s">
        <v>1028</v>
      </c>
    </row>
    <row r="95">
      <c r="A95" s="107"/>
      <c r="B95" s="108" t="s">
        <v>301</v>
      </c>
      <c r="C95" s="109" t="s">
        <v>1681</v>
      </c>
      <c r="D95" s="108" t="s">
        <v>1688</v>
      </c>
      <c r="E95" s="108" t="s">
        <v>302</v>
      </c>
      <c r="F95" s="108">
        <v>0.0</v>
      </c>
      <c r="G95" s="110">
        <v>2.55828E11</v>
      </c>
      <c r="H95" s="111" t="s">
        <v>1003</v>
      </c>
      <c r="I95" s="111" t="s">
        <v>1003</v>
      </c>
      <c r="J95" s="111" t="s">
        <v>1003</v>
      </c>
      <c r="K95" s="108" t="s">
        <v>1003</v>
      </c>
      <c r="L95" s="112" t="s">
        <v>1689</v>
      </c>
      <c r="M95" s="106">
        <v>11914.0</v>
      </c>
      <c r="N95" s="113">
        <v>0.0</v>
      </c>
      <c r="O95" s="114">
        <v>37959.0</v>
      </c>
      <c r="P95" s="106" t="s">
        <v>46</v>
      </c>
      <c r="Q95" s="45" t="s">
        <v>1006</v>
      </c>
      <c r="R95" s="45">
        <v>97.0</v>
      </c>
      <c r="S95" s="45">
        <v>2019.0</v>
      </c>
      <c r="T95" s="45">
        <v>95.0</v>
      </c>
      <c r="U95" s="45">
        <v>2021.0</v>
      </c>
      <c r="V95" s="45">
        <v>8.1</v>
      </c>
      <c r="W95" s="45">
        <v>76.0</v>
      </c>
      <c r="X95" s="45">
        <v>2025.0</v>
      </c>
      <c r="Y95" s="45">
        <v>0.0</v>
      </c>
      <c r="Z95" s="45">
        <v>0.0</v>
      </c>
      <c r="AA95" s="45" t="s">
        <v>1690</v>
      </c>
      <c r="AB95" s="45" t="s">
        <v>1691</v>
      </c>
      <c r="AC95" s="45">
        <v>7.075703362E9</v>
      </c>
      <c r="AD95" s="45">
        <v>7.032440491E9</v>
      </c>
      <c r="AE95" s="45">
        <v>0.0</v>
      </c>
      <c r="AF95" s="45">
        <v>0.0</v>
      </c>
      <c r="AG95" s="45" t="s">
        <v>1692</v>
      </c>
      <c r="AH95" s="45" t="s">
        <v>1693</v>
      </c>
      <c r="AI95" s="45">
        <v>7.81</v>
      </c>
      <c r="AJ95" s="45">
        <v>8.29</v>
      </c>
      <c r="AK95" s="45">
        <v>7.8</v>
      </c>
      <c r="AL95" s="45">
        <v>0.0</v>
      </c>
      <c r="AM95" s="45">
        <v>8.13</v>
      </c>
      <c r="AN95" s="45">
        <v>8.1</v>
      </c>
      <c r="AO95" s="45" t="s">
        <v>27</v>
      </c>
      <c r="AQ95" s="45" t="s">
        <v>1011</v>
      </c>
      <c r="AT95" s="45" t="s">
        <v>1028</v>
      </c>
    </row>
    <row r="96">
      <c r="A96" s="107"/>
      <c r="B96" s="108" t="s">
        <v>304</v>
      </c>
      <c r="C96" s="109" t="s">
        <v>1694</v>
      </c>
      <c r="D96" s="108" t="s">
        <v>1695</v>
      </c>
      <c r="E96" s="108" t="s">
        <v>305</v>
      </c>
      <c r="F96" s="108">
        <v>0.0</v>
      </c>
      <c r="G96" s="110">
        <v>5.39631E11</v>
      </c>
      <c r="H96" s="111" t="s">
        <v>1003</v>
      </c>
      <c r="I96" s="111">
        <v>659.0</v>
      </c>
      <c r="J96" s="111" t="s">
        <v>1003</v>
      </c>
      <c r="K96" s="108" t="s">
        <v>1003</v>
      </c>
      <c r="L96" s="112" t="s">
        <v>1696</v>
      </c>
      <c r="M96" s="106">
        <v>7760.0</v>
      </c>
      <c r="N96" s="113">
        <v>0.0</v>
      </c>
      <c r="O96" s="106" t="s">
        <v>1697</v>
      </c>
      <c r="P96" s="106" t="s">
        <v>60</v>
      </c>
      <c r="Q96" s="45" t="s">
        <v>1006</v>
      </c>
      <c r="R96" s="45">
        <v>98.0</v>
      </c>
      <c r="S96" s="45">
        <v>2019.0</v>
      </c>
      <c r="T96" s="45">
        <v>97.0</v>
      </c>
      <c r="U96" s="45">
        <v>2021.0</v>
      </c>
      <c r="V96" s="45">
        <v>9.19</v>
      </c>
      <c r="W96" s="45">
        <v>86.9</v>
      </c>
      <c r="X96" s="45">
        <v>2025.0</v>
      </c>
      <c r="Y96" s="45">
        <v>0.0</v>
      </c>
      <c r="Z96" s="45">
        <v>0.0</v>
      </c>
      <c r="AA96" s="45" t="s">
        <v>1698</v>
      </c>
      <c r="AB96" s="45" t="s">
        <v>1699</v>
      </c>
      <c r="AC96" s="45">
        <v>6.305368678E9</v>
      </c>
      <c r="AD96" s="45">
        <v>9.4410929E9</v>
      </c>
      <c r="AE96" s="45" t="s">
        <v>48</v>
      </c>
      <c r="AF96" s="45">
        <v>0.0</v>
      </c>
      <c r="AG96" s="45" t="s">
        <v>1700</v>
      </c>
      <c r="AH96" s="45" t="s">
        <v>1701</v>
      </c>
      <c r="AI96" s="45">
        <v>9.49</v>
      </c>
      <c r="AJ96" s="45">
        <v>8.9</v>
      </c>
      <c r="AK96" s="45">
        <v>9.09</v>
      </c>
      <c r="AL96" s="45">
        <v>0.0</v>
      </c>
      <c r="AM96" s="45">
        <v>9.22</v>
      </c>
      <c r="AN96" s="45">
        <v>9.19</v>
      </c>
      <c r="AO96" s="45" t="s">
        <v>27</v>
      </c>
      <c r="AQ96" s="45" t="s">
        <v>1011</v>
      </c>
      <c r="AT96" s="45" t="s">
        <v>1028</v>
      </c>
    </row>
    <row r="97">
      <c r="A97" s="107"/>
      <c r="B97" s="108" t="s">
        <v>308</v>
      </c>
      <c r="C97" s="109" t="s">
        <v>1702</v>
      </c>
      <c r="D97" s="108" t="s">
        <v>1703</v>
      </c>
      <c r="E97" s="108" t="s">
        <v>309</v>
      </c>
      <c r="F97" s="108">
        <v>0.0</v>
      </c>
      <c r="G97" s="110">
        <v>3.8246E11</v>
      </c>
      <c r="H97" s="111" t="s">
        <v>1003</v>
      </c>
      <c r="I97" s="111" t="s">
        <v>1003</v>
      </c>
      <c r="J97" s="111" t="s">
        <v>1003</v>
      </c>
      <c r="K97" s="108" t="s">
        <v>1003</v>
      </c>
      <c r="L97" s="112" t="s">
        <v>1704</v>
      </c>
      <c r="M97" s="106">
        <v>0.0</v>
      </c>
      <c r="N97" s="113">
        <v>0.0</v>
      </c>
      <c r="O97" s="114">
        <v>37782.0</v>
      </c>
      <c r="P97" s="106" t="s">
        <v>46</v>
      </c>
      <c r="Q97" s="45" t="s">
        <v>1006</v>
      </c>
      <c r="R97" s="45">
        <v>95.0</v>
      </c>
      <c r="S97" s="45">
        <v>2019.0</v>
      </c>
      <c r="T97" s="45">
        <v>92.0</v>
      </c>
      <c r="U97" s="45">
        <v>2021.0</v>
      </c>
      <c r="V97" s="45">
        <v>7.17</v>
      </c>
      <c r="W97" s="45">
        <v>66.7</v>
      </c>
      <c r="X97" s="45">
        <v>2025.0</v>
      </c>
      <c r="Y97" s="45">
        <v>0.0</v>
      </c>
      <c r="Z97" s="45">
        <v>0.0</v>
      </c>
      <c r="AA97" s="45" t="s">
        <v>1705</v>
      </c>
      <c r="AB97" s="45" t="s">
        <v>1706</v>
      </c>
      <c r="AC97" s="45">
        <v>8.125612369E9</v>
      </c>
      <c r="AD97" s="45">
        <v>9.491540838E9</v>
      </c>
      <c r="AE97" s="45">
        <v>0.0</v>
      </c>
      <c r="AF97" s="45">
        <v>0.0</v>
      </c>
      <c r="AG97" s="45" t="s">
        <v>1707</v>
      </c>
      <c r="AH97" s="45" t="s">
        <v>1708</v>
      </c>
      <c r="AI97" s="45">
        <v>8.14</v>
      </c>
      <c r="AJ97" s="45">
        <v>7.73</v>
      </c>
      <c r="AK97" s="45">
        <v>6.57</v>
      </c>
      <c r="AL97" s="45">
        <v>0.0</v>
      </c>
      <c r="AM97" s="45">
        <v>7.15</v>
      </c>
      <c r="AN97" s="45">
        <v>7.17</v>
      </c>
      <c r="AO97" s="45" t="s">
        <v>27</v>
      </c>
      <c r="AQ97" s="45" t="s">
        <v>1011</v>
      </c>
      <c r="AT97" s="45" t="s">
        <v>1028</v>
      </c>
    </row>
    <row r="98">
      <c r="A98" s="107"/>
      <c r="B98" s="108" t="s">
        <v>311</v>
      </c>
      <c r="C98" s="109" t="s">
        <v>1709</v>
      </c>
      <c r="D98" s="108" t="s">
        <v>1710</v>
      </c>
      <c r="E98" s="108" t="s">
        <v>312</v>
      </c>
      <c r="F98" s="108">
        <v>0.0</v>
      </c>
      <c r="G98" s="110">
        <v>4.59589E11</v>
      </c>
      <c r="H98" s="111" t="s">
        <v>1003</v>
      </c>
      <c r="I98" s="111" t="s">
        <v>1003</v>
      </c>
      <c r="J98" s="111" t="s">
        <v>1003</v>
      </c>
      <c r="K98" s="108" t="s">
        <v>1003</v>
      </c>
      <c r="L98" s="112" t="s">
        <v>1047</v>
      </c>
      <c r="M98" s="106">
        <v>10093.0</v>
      </c>
      <c r="N98" s="113">
        <v>0.0</v>
      </c>
      <c r="O98" s="106" t="s">
        <v>1711</v>
      </c>
      <c r="P98" s="106" t="s">
        <v>60</v>
      </c>
      <c r="Q98" s="45" t="s">
        <v>1006</v>
      </c>
      <c r="R98" s="45">
        <v>98.0</v>
      </c>
      <c r="S98" s="45">
        <v>2019.0</v>
      </c>
      <c r="T98" s="45">
        <v>97.8</v>
      </c>
      <c r="U98" s="45">
        <v>2021.0</v>
      </c>
      <c r="V98" s="45">
        <v>9.19</v>
      </c>
      <c r="W98" s="45">
        <v>86.9</v>
      </c>
      <c r="X98" s="45">
        <v>2025.0</v>
      </c>
      <c r="Y98" s="45">
        <v>0.0</v>
      </c>
      <c r="Z98" s="45">
        <v>0.0</v>
      </c>
      <c r="AA98" s="45" t="s">
        <v>1712</v>
      </c>
      <c r="AB98" s="45" t="s">
        <v>1713</v>
      </c>
      <c r="AC98" s="45">
        <v>8.074839437E9</v>
      </c>
      <c r="AD98" s="45">
        <v>9.505052259E9</v>
      </c>
      <c r="AE98" s="45" t="s">
        <v>1714</v>
      </c>
      <c r="AF98" s="45">
        <v>0.0</v>
      </c>
      <c r="AG98" s="45" t="s">
        <v>1715</v>
      </c>
      <c r="AH98" s="45" t="s">
        <v>1716</v>
      </c>
      <c r="AI98" s="45">
        <v>9.76</v>
      </c>
      <c r="AJ98" s="45">
        <v>9.22</v>
      </c>
      <c r="AK98" s="45">
        <v>8.82</v>
      </c>
      <c r="AL98" s="45">
        <v>0.0</v>
      </c>
      <c r="AM98" s="45">
        <v>9.13</v>
      </c>
      <c r="AN98" s="45">
        <v>9.19</v>
      </c>
      <c r="AO98" s="45" t="s">
        <v>27</v>
      </c>
      <c r="AQ98" s="45" t="s">
        <v>1011</v>
      </c>
      <c r="AT98" s="45" t="s">
        <v>1028</v>
      </c>
    </row>
    <row r="99">
      <c r="A99" s="107"/>
      <c r="B99" s="108" t="s">
        <v>314</v>
      </c>
      <c r="C99" s="109" t="s">
        <v>1717</v>
      </c>
      <c r="D99" s="108" t="s">
        <v>1718</v>
      </c>
      <c r="E99" s="108" t="s">
        <v>315</v>
      </c>
      <c r="F99" s="108">
        <v>0.0</v>
      </c>
      <c r="G99" s="110">
        <v>2.47693E11</v>
      </c>
      <c r="H99" s="111" t="s">
        <v>1003</v>
      </c>
      <c r="I99" s="111" t="s">
        <v>1003</v>
      </c>
      <c r="J99" s="111" t="s">
        <v>1003</v>
      </c>
      <c r="K99" s="108" t="s">
        <v>1003</v>
      </c>
      <c r="L99" s="112" t="s">
        <v>1047</v>
      </c>
      <c r="M99" s="106">
        <v>9632.0</v>
      </c>
      <c r="N99" s="113">
        <v>0.0</v>
      </c>
      <c r="O99" s="114">
        <v>37930.0</v>
      </c>
      <c r="P99" s="106" t="s">
        <v>46</v>
      </c>
      <c r="Q99" s="45" t="s">
        <v>1006</v>
      </c>
      <c r="R99" s="45">
        <v>98.0</v>
      </c>
      <c r="S99" s="45">
        <v>2019.0</v>
      </c>
      <c r="T99" s="45">
        <v>97.0</v>
      </c>
      <c r="U99" s="45">
        <v>2021.0</v>
      </c>
      <c r="V99" s="45">
        <v>9.23</v>
      </c>
      <c r="W99" s="45">
        <v>87.3</v>
      </c>
      <c r="X99" s="45">
        <v>2025.0</v>
      </c>
      <c r="Y99" s="45">
        <v>0.0</v>
      </c>
      <c r="Z99" s="45">
        <v>0.0</v>
      </c>
      <c r="AA99" s="45" t="s">
        <v>1719</v>
      </c>
      <c r="AB99" s="45" t="s">
        <v>1720</v>
      </c>
      <c r="AC99" s="45">
        <v>8.6396891E9</v>
      </c>
      <c r="AD99" s="45">
        <v>9.010171211E9</v>
      </c>
      <c r="AE99" s="45" t="s">
        <v>316</v>
      </c>
      <c r="AF99" s="45">
        <v>0.0</v>
      </c>
      <c r="AG99" s="45" t="s">
        <v>1721</v>
      </c>
      <c r="AH99" s="45" t="s">
        <v>1722</v>
      </c>
      <c r="AI99" s="45">
        <v>9.03</v>
      </c>
      <c r="AJ99" s="45">
        <v>9.22</v>
      </c>
      <c r="AK99" s="45">
        <v>8.86</v>
      </c>
      <c r="AL99" s="45">
        <v>0.0</v>
      </c>
      <c r="AM99" s="45">
        <v>9.16</v>
      </c>
      <c r="AN99" s="45">
        <v>9.23</v>
      </c>
      <c r="AO99" s="45" t="s">
        <v>28</v>
      </c>
      <c r="AQ99" s="45" t="s">
        <v>1011</v>
      </c>
      <c r="AT99" s="45" t="s">
        <v>1028</v>
      </c>
    </row>
    <row r="100">
      <c r="A100" s="107"/>
      <c r="B100" s="108" t="s">
        <v>317</v>
      </c>
      <c r="C100" s="109" t="s">
        <v>1723</v>
      </c>
      <c r="D100" s="108" t="s">
        <v>1724</v>
      </c>
      <c r="E100" s="108" t="s">
        <v>318</v>
      </c>
      <c r="F100" s="108">
        <v>0.0</v>
      </c>
      <c r="G100" s="110">
        <v>4.36578E11</v>
      </c>
      <c r="H100" s="111" t="s">
        <v>1003</v>
      </c>
      <c r="I100" s="111" t="s">
        <v>1003</v>
      </c>
      <c r="J100" s="111" t="s">
        <v>1003</v>
      </c>
      <c r="K100" s="108" t="s">
        <v>1003</v>
      </c>
      <c r="L100" s="112" t="s">
        <v>1725</v>
      </c>
      <c r="M100" s="106">
        <v>11124.0</v>
      </c>
      <c r="N100" s="113">
        <v>0.0</v>
      </c>
      <c r="O100" s="114">
        <v>37626.0</v>
      </c>
      <c r="P100" s="106" t="s">
        <v>60</v>
      </c>
      <c r="Q100" s="45" t="s">
        <v>1006</v>
      </c>
      <c r="R100" s="45">
        <v>100.0</v>
      </c>
      <c r="S100" s="45">
        <v>2019.0</v>
      </c>
      <c r="T100" s="45">
        <v>92.8</v>
      </c>
      <c r="U100" s="45">
        <v>2021.0</v>
      </c>
      <c r="V100" s="45">
        <v>8.95</v>
      </c>
      <c r="W100" s="45">
        <v>84.5</v>
      </c>
      <c r="X100" s="45">
        <v>2025.0</v>
      </c>
      <c r="Y100" s="45">
        <v>0.0</v>
      </c>
      <c r="Z100" s="45">
        <v>0.0</v>
      </c>
      <c r="AA100" s="45" t="s">
        <v>1726</v>
      </c>
      <c r="AB100" s="45" t="s">
        <v>1727</v>
      </c>
      <c r="AC100" s="45">
        <v>7.386222466E9</v>
      </c>
      <c r="AD100" s="45">
        <v>9.848408968E9</v>
      </c>
      <c r="AE100" s="45" t="s">
        <v>319</v>
      </c>
      <c r="AF100" s="45">
        <v>0.0</v>
      </c>
      <c r="AG100" s="45" t="s">
        <v>1728</v>
      </c>
      <c r="AH100" s="45" t="s">
        <v>1729</v>
      </c>
      <c r="AI100" s="45">
        <v>9.51</v>
      </c>
      <c r="AJ100" s="45">
        <v>8.78</v>
      </c>
      <c r="AK100" s="45">
        <v>8.55</v>
      </c>
      <c r="AL100" s="45">
        <v>0.0</v>
      </c>
      <c r="AM100" s="45">
        <v>8.94</v>
      </c>
      <c r="AN100" s="45">
        <v>8.95</v>
      </c>
      <c r="AO100" s="45" t="s">
        <v>28</v>
      </c>
      <c r="AQ100" s="45" t="s">
        <v>1011</v>
      </c>
      <c r="AT100" s="45" t="s">
        <v>1028</v>
      </c>
    </row>
    <row r="101">
      <c r="A101" s="107"/>
      <c r="B101" s="108" t="s">
        <v>320</v>
      </c>
      <c r="C101" s="109" t="s">
        <v>1730</v>
      </c>
      <c r="D101" s="108" t="s">
        <v>1731</v>
      </c>
      <c r="E101" s="108" t="s">
        <v>321</v>
      </c>
      <c r="F101" s="108">
        <v>0.0</v>
      </c>
      <c r="G101" s="110">
        <v>7.38355E11</v>
      </c>
      <c r="H101" s="111" t="s">
        <v>1003</v>
      </c>
      <c r="I101" s="111">
        <v>1106.0</v>
      </c>
      <c r="J101" s="111">
        <v>5900.0</v>
      </c>
      <c r="K101" s="108">
        <v>5992.0</v>
      </c>
      <c r="L101" s="112" t="s">
        <v>1732</v>
      </c>
      <c r="M101" s="106">
        <v>17036.0</v>
      </c>
      <c r="N101" s="113">
        <v>0.0</v>
      </c>
      <c r="O101" s="106" t="s">
        <v>1733</v>
      </c>
      <c r="P101" s="106" t="s">
        <v>60</v>
      </c>
      <c r="Q101" s="45" t="s">
        <v>1006</v>
      </c>
      <c r="R101" s="45">
        <v>97.0</v>
      </c>
      <c r="S101" s="45">
        <v>2019.0</v>
      </c>
      <c r="T101" s="45">
        <v>96.6</v>
      </c>
      <c r="U101" s="45">
        <v>2021.0</v>
      </c>
      <c r="V101" s="45">
        <v>9.13</v>
      </c>
      <c r="W101" s="45">
        <v>86.3</v>
      </c>
      <c r="X101" s="45">
        <v>2025.0</v>
      </c>
      <c r="Y101" s="45">
        <v>0.0</v>
      </c>
      <c r="Z101" s="45">
        <v>0.0</v>
      </c>
      <c r="AA101" s="45" t="s">
        <v>1734</v>
      </c>
      <c r="AB101" s="45" t="s">
        <v>1735</v>
      </c>
      <c r="AC101" s="45">
        <v>9.912870714E9</v>
      </c>
      <c r="AD101" s="45">
        <v>8.639450385E9</v>
      </c>
      <c r="AE101" s="45" t="s">
        <v>322</v>
      </c>
      <c r="AF101" s="45" t="s">
        <v>75</v>
      </c>
      <c r="AG101" s="45" t="s">
        <v>1736</v>
      </c>
      <c r="AH101" s="45" t="s">
        <v>1737</v>
      </c>
      <c r="AI101" s="45">
        <v>9.16</v>
      </c>
      <c r="AJ101" s="45">
        <v>9.07</v>
      </c>
      <c r="AK101" s="45">
        <v>9.14</v>
      </c>
      <c r="AL101" s="45">
        <v>0.0</v>
      </c>
      <c r="AM101" s="45">
        <v>9.15</v>
      </c>
      <c r="AN101" s="45">
        <v>9.13</v>
      </c>
      <c r="AO101" s="45" t="s">
        <v>27</v>
      </c>
      <c r="AQ101" s="45" t="s">
        <v>1011</v>
      </c>
      <c r="AT101" s="45" t="s">
        <v>1012</v>
      </c>
    </row>
    <row r="102">
      <c r="A102" s="107"/>
      <c r="B102" s="108" t="s">
        <v>323</v>
      </c>
      <c r="C102" s="109" t="s">
        <v>1738</v>
      </c>
      <c r="D102" s="108" t="s">
        <v>1739</v>
      </c>
      <c r="E102" s="108" t="s">
        <v>324</v>
      </c>
      <c r="F102" s="108">
        <v>0.0</v>
      </c>
      <c r="G102" s="110">
        <v>2.05812E11</v>
      </c>
      <c r="H102" s="111" t="s">
        <v>1003</v>
      </c>
      <c r="I102" s="111" t="s">
        <v>1003</v>
      </c>
      <c r="J102" s="111" t="s">
        <v>1003</v>
      </c>
      <c r="K102" s="108" t="s">
        <v>1003</v>
      </c>
      <c r="L102" s="112" t="s">
        <v>1341</v>
      </c>
      <c r="M102" s="106">
        <v>41213.0</v>
      </c>
      <c r="N102" s="113">
        <v>0.0</v>
      </c>
      <c r="O102" s="106" t="s">
        <v>1740</v>
      </c>
      <c r="P102" s="106" t="s">
        <v>46</v>
      </c>
      <c r="Q102" s="45" t="s">
        <v>1006</v>
      </c>
      <c r="R102" s="45">
        <v>92.0</v>
      </c>
      <c r="S102" s="45">
        <v>2019.0</v>
      </c>
      <c r="T102" s="45">
        <v>78.0</v>
      </c>
      <c r="U102" s="45">
        <v>2021.0</v>
      </c>
      <c r="V102" s="45">
        <v>0.0</v>
      </c>
      <c r="W102" s="45">
        <v>-5.0</v>
      </c>
      <c r="X102" s="45">
        <v>2025.0</v>
      </c>
      <c r="Y102" s="45">
        <v>4.0</v>
      </c>
      <c r="Z102" s="45">
        <v>3.0</v>
      </c>
      <c r="AA102" s="45" t="s">
        <v>1741</v>
      </c>
      <c r="AB102" s="45" t="s">
        <v>1742</v>
      </c>
      <c r="AC102" s="45">
        <v>9.949399343E9</v>
      </c>
      <c r="AD102" s="45">
        <v>9.849445214E9</v>
      </c>
      <c r="AE102" s="45">
        <v>0.0</v>
      </c>
      <c r="AF102" s="45">
        <v>0.0</v>
      </c>
      <c r="AG102" s="45" t="s">
        <v>1743</v>
      </c>
      <c r="AH102" s="45" t="s">
        <v>1744</v>
      </c>
      <c r="AI102" s="45">
        <v>8.03</v>
      </c>
      <c r="AJ102" s="45">
        <v>6.66</v>
      </c>
      <c r="AK102" s="45">
        <v>0.0</v>
      </c>
      <c r="AL102" s="45">
        <v>0.0</v>
      </c>
      <c r="AM102" s="45">
        <v>6.17</v>
      </c>
      <c r="AN102" s="45">
        <v>0.0</v>
      </c>
      <c r="AO102" s="45" t="s">
        <v>27</v>
      </c>
      <c r="AQ102" s="45" t="s">
        <v>1011</v>
      </c>
      <c r="AT102" s="45" t="s">
        <v>1028</v>
      </c>
    </row>
    <row r="103">
      <c r="A103" s="107"/>
      <c r="B103" s="108" t="s">
        <v>325</v>
      </c>
      <c r="C103" s="109" t="s">
        <v>1745</v>
      </c>
      <c r="D103" s="108" t="s">
        <v>1599</v>
      </c>
      <c r="E103" s="108" t="s">
        <v>326</v>
      </c>
      <c r="F103" s="108">
        <v>0.0</v>
      </c>
      <c r="G103" s="110">
        <v>6.26327E11</v>
      </c>
      <c r="H103" s="111" t="s">
        <v>1003</v>
      </c>
      <c r="I103" s="111">
        <v>1111.0</v>
      </c>
      <c r="J103" s="111">
        <v>5807.0</v>
      </c>
      <c r="K103" s="108">
        <v>5901.0</v>
      </c>
      <c r="L103" s="112" t="s">
        <v>1479</v>
      </c>
      <c r="M103" s="106">
        <v>6458.0</v>
      </c>
      <c r="N103" s="113">
        <v>0.0</v>
      </c>
      <c r="O103" s="106" t="s">
        <v>1746</v>
      </c>
      <c r="P103" s="106" t="s">
        <v>60</v>
      </c>
      <c r="Q103" s="45" t="s">
        <v>1006</v>
      </c>
      <c r="R103" s="45">
        <v>94.6</v>
      </c>
      <c r="S103" s="45">
        <v>2019.0</v>
      </c>
      <c r="T103" s="45">
        <v>98.6</v>
      </c>
      <c r="U103" s="45">
        <v>2021.0</v>
      </c>
      <c r="V103" s="45">
        <v>9.06</v>
      </c>
      <c r="W103" s="45">
        <v>85.6</v>
      </c>
      <c r="X103" s="45">
        <v>2025.0</v>
      </c>
      <c r="Y103" s="45">
        <v>0.0</v>
      </c>
      <c r="Z103" s="45">
        <v>0.0</v>
      </c>
      <c r="AA103" s="45" t="s">
        <v>1747</v>
      </c>
      <c r="AB103" s="45" t="s">
        <v>1748</v>
      </c>
      <c r="AC103" s="45">
        <v>9.849071488E9</v>
      </c>
      <c r="AD103" s="45">
        <v>8.121514155E9</v>
      </c>
      <c r="AE103" s="45" t="s">
        <v>62</v>
      </c>
      <c r="AF103" s="45">
        <v>0.0</v>
      </c>
      <c r="AG103" s="45" t="s">
        <v>1749</v>
      </c>
      <c r="AH103" s="45" t="s">
        <v>1750</v>
      </c>
      <c r="AI103" s="45">
        <v>8.92</v>
      </c>
      <c r="AJ103" s="45">
        <v>9.12</v>
      </c>
      <c r="AK103" s="45">
        <v>8.82</v>
      </c>
      <c r="AL103" s="45">
        <v>0.0</v>
      </c>
      <c r="AM103" s="45">
        <v>9.08</v>
      </c>
      <c r="AN103" s="45">
        <v>9.06</v>
      </c>
      <c r="AO103" s="45" t="s">
        <v>28</v>
      </c>
      <c r="AQ103" s="45" t="s">
        <v>1011</v>
      </c>
      <c r="AT103" s="45" t="s">
        <v>1028</v>
      </c>
    </row>
    <row r="104">
      <c r="A104" s="107"/>
      <c r="B104" s="108" t="s">
        <v>327</v>
      </c>
      <c r="C104" s="109" t="s">
        <v>1751</v>
      </c>
      <c r="D104" s="108" t="s">
        <v>1752</v>
      </c>
      <c r="E104" s="108" t="s">
        <v>328</v>
      </c>
      <c r="F104" s="108">
        <v>0.0</v>
      </c>
      <c r="G104" s="110">
        <v>3.27691E11</v>
      </c>
      <c r="H104" s="111" t="s">
        <v>1003</v>
      </c>
      <c r="I104" s="111" t="s">
        <v>1003</v>
      </c>
      <c r="J104" s="111" t="s">
        <v>1003</v>
      </c>
      <c r="K104" s="108" t="s">
        <v>1003</v>
      </c>
      <c r="L104" s="112" t="s">
        <v>1753</v>
      </c>
      <c r="M104" s="106">
        <v>8344.0</v>
      </c>
      <c r="N104" s="113">
        <v>0.0</v>
      </c>
      <c r="O104" s="114">
        <v>37875.0</v>
      </c>
      <c r="P104" s="106" t="s">
        <v>46</v>
      </c>
      <c r="Q104" s="45" t="s">
        <v>1006</v>
      </c>
      <c r="R104" s="45">
        <v>95.0</v>
      </c>
      <c r="S104" s="45">
        <v>2019.0</v>
      </c>
      <c r="T104" s="45">
        <v>96.5</v>
      </c>
      <c r="U104" s="45">
        <v>2021.0</v>
      </c>
      <c r="V104" s="45">
        <v>8.78</v>
      </c>
      <c r="W104" s="45">
        <v>82.8</v>
      </c>
      <c r="X104" s="45">
        <v>2025.0</v>
      </c>
      <c r="Y104" s="45">
        <v>0.0</v>
      </c>
      <c r="Z104" s="45">
        <v>0.0</v>
      </c>
      <c r="AA104" s="45" t="s">
        <v>1754</v>
      </c>
      <c r="AB104" s="45" t="s">
        <v>1755</v>
      </c>
      <c r="AC104" s="45">
        <v>9.849813665E9</v>
      </c>
      <c r="AD104" s="45">
        <v>8.142614049E9</v>
      </c>
      <c r="AE104" s="45" t="s">
        <v>215</v>
      </c>
      <c r="AF104" s="45">
        <v>0.0</v>
      </c>
      <c r="AG104" s="45" t="s">
        <v>1756</v>
      </c>
      <c r="AH104" s="45" t="s">
        <v>1757</v>
      </c>
      <c r="AI104" s="45">
        <v>9.35</v>
      </c>
      <c r="AJ104" s="45">
        <v>8.68</v>
      </c>
      <c r="AK104" s="45">
        <v>8.16</v>
      </c>
      <c r="AL104" s="45">
        <v>0.0</v>
      </c>
      <c r="AM104" s="45">
        <v>8.78</v>
      </c>
      <c r="AN104" s="45">
        <v>8.78</v>
      </c>
      <c r="AO104" s="45" t="s">
        <v>28</v>
      </c>
      <c r="AQ104" s="45" t="s">
        <v>1011</v>
      </c>
      <c r="AT104" s="45" t="s">
        <v>1028</v>
      </c>
    </row>
    <row r="105">
      <c r="A105" s="107"/>
      <c r="B105" s="108" t="s">
        <v>329</v>
      </c>
      <c r="C105" s="109" t="s">
        <v>1758</v>
      </c>
      <c r="D105" s="108" t="s">
        <v>1759</v>
      </c>
      <c r="E105" s="108" t="s">
        <v>330</v>
      </c>
      <c r="F105" s="108">
        <v>0.0</v>
      </c>
      <c r="G105" s="110">
        <v>9.53655E11</v>
      </c>
      <c r="H105" s="111" t="s">
        <v>1003</v>
      </c>
      <c r="I105" s="111" t="s">
        <v>1003</v>
      </c>
      <c r="J105" s="111" t="s">
        <v>1003</v>
      </c>
      <c r="K105" s="108" t="s">
        <v>1003</v>
      </c>
      <c r="L105" s="112" t="s">
        <v>1760</v>
      </c>
      <c r="M105" s="106">
        <v>7843.0</v>
      </c>
      <c r="N105" s="113">
        <v>0.0</v>
      </c>
      <c r="O105" s="106" t="s">
        <v>1761</v>
      </c>
      <c r="P105" s="106" t="s">
        <v>46</v>
      </c>
      <c r="Q105" s="45" t="s">
        <v>1006</v>
      </c>
      <c r="R105" s="45">
        <v>98.0</v>
      </c>
      <c r="S105" s="45">
        <v>2019.0</v>
      </c>
      <c r="T105" s="45">
        <v>98.6</v>
      </c>
      <c r="U105" s="45">
        <v>2021.0</v>
      </c>
      <c r="V105" s="45">
        <v>9.09</v>
      </c>
      <c r="W105" s="45">
        <v>85.9</v>
      </c>
      <c r="X105" s="45">
        <v>2025.0</v>
      </c>
      <c r="Y105" s="45">
        <v>0.0</v>
      </c>
      <c r="Z105" s="45">
        <v>0.0</v>
      </c>
      <c r="AA105" s="45" t="s">
        <v>1762</v>
      </c>
      <c r="AB105" s="45" t="s">
        <v>1763</v>
      </c>
      <c r="AC105" s="45">
        <v>7.330700534E9</v>
      </c>
      <c r="AD105" s="45">
        <v>9.985790894E9</v>
      </c>
      <c r="AE105" s="45" t="s">
        <v>48</v>
      </c>
      <c r="AF105" s="45">
        <v>0.0</v>
      </c>
      <c r="AG105" s="45" t="s">
        <v>1764</v>
      </c>
      <c r="AH105" s="45" t="s">
        <v>1765</v>
      </c>
      <c r="AI105" s="45">
        <v>8.84</v>
      </c>
      <c r="AJ105" s="45">
        <v>9.0</v>
      </c>
      <c r="AK105" s="45">
        <v>8.61</v>
      </c>
      <c r="AL105" s="45">
        <v>0.0</v>
      </c>
      <c r="AM105" s="45">
        <v>9.06</v>
      </c>
      <c r="AN105" s="45">
        <v>9.09</v>
      </c>
      <c r="AO105" s="45" t="s">
        <v>27</v>
      </c>
      <c r="AQ105" s="45" t="s">
        <v>1011</v>
      </c>
      <c r="AT105" s="45" t="s">
        <v>1012</v>
      </c>
    </row>
    <row r="106">
      <c r="A106" s="116" t="s">
        <v>1766</v>
      </c>
      <c r="B106" s="108" t="s">
        <v>332</v>
      </c>
      <c r="C106" s="109" t="s">
        <v>1767</v>
      </c>
      <c r="D106" s="108" t="s">
        <v>1768</v>
      </c>
      <c r="E106" s="108" t="s">
        <v>333</v>
      </c>
      <c r="F106" s="108">
        <v>0.0</v>
      </c>
      <c r="G106" s="110">
        <v>3.13722E11</v>
      </c>
      <c r="H106" s="111" t="s">
        <v>1003</v>
      </c>
      <c r="I106" s="111" t="s">
        <v>1003</v>
      </c>
      <c r="J106" s="111" t="s">
        <v>1003</v>
      </c>
      <c r="K106" s="108" t="s">
        <v>1003</v>
      </c>
      <c r="L106" s="112" t="s">
        <v>1341</v>
      </c>
      <c r="M106" s="106">
        <v>43303.0</v>
      </c>
      <c r="N106" s="113">
        <v>0.0</v>
      </c>
      <c r="O106" s="114">
        <v>38239.0</v>
      </c>
      <c r="P106" s="106" t="s">
        <v>46</v>
      </c>
      <c r="Q106" s="45" t="s">
        <v>1006</v>
      </c>
      <c r="R106" s="45">
        <v>93.0</v>
      </c>
      <c r="S106" s="45">
        <v>2019.0</v>
      </c>
      <c r="T106" s="45">
        <v>91.1</v>
      </c>
      <c r="U106" s="45">
        <v>2021.0</v>
      </c>
      <c r="V106" s="45">
        <v>7.04</v>
      </c>
      <c r="W106" s="45">
        <v>65.4</v>
      </c>
      <c r="X106" s="45">
        <v>2025.0</v>
      </c>
      <c r="Y106" s="45">
        <v>0.0</v>
      </c>
      <c r="Z106" s="45">
        <v>0.0</v>
      </c>
      <c r="AA106" s="45" t="s">
        <v>1769</v>
      </c>
      <c r="AB106" s="45" t="s">
        <v>1770</v>
      </c>
      <c r="AC106" s="45">
        <v>9.951466666E9</v>
      </c>
      <c r="AD106" s="45">
        <v>9.849327745E9</v>
      </c>
      <c r="AE106" s="45">
        <v>0.0</v>
      </c>
      <c r="AF106" s="45">
        <v>0.0</v>
      </c>
      <c r="AG106" s="45" t="s">
        <v>1771</v>
      </c>
      <c r="AH106" s="45" t="s">
        <v>1772</v>
      </c>
      <c r="AI106" s="45">
        <v>7.19</v>
      </c>
      <c r="AJ106" s="45">
        <v>6.8</v>
      </c>
      <c r="AK106" s="45">
        <v>6.84</v>
      </c>
      <c r="AL106" s="45">
        <v>0.0</v>
      </c>
      <c r="AM106" s="45">
        <v>6.96</v>
      </c>
      <c r="AN106" s="45">
        <v>7.04</v>
      </c>
      <c r="AO106" s="45" t="s">
        <v>28</v>
      </c>
      <c r="AQ106" s="45" t="s">
        <v>1011</v>
      </c>
      <c r="AT106" s="45" t="s">
        <v>1028</v>
      </c>
    </row>
    <row r="107">
      <c r="A107" s="107"/>
      <c r="B107" s="108" t="s">
        <v>334</v>
      </c>
      <c r="C107" s="109" t="s">
        <v>1773</v>
      </c>
      <c r="D107" s="108" t="s">
        <v>1767</v>
      </c>
      <c r="E107" s="108" t="s">
        <v>335</v>
      </c>
      <c r="F107" s="108">
        <v>0.0</v>
      </c>
      <c r="G107" s="110">
        <v>9.55639E11</v>
      </c>
      <c r="H107" s="111" t="s">
        <v>1003</v>
      </c>
      <c r="I107" s="111" t="s">
        <v>1003</v>
      </c>
      <c r="J107" s="111" t="s">
        <v>1003</v>
      </c>
      <c r="K107" s="108" t="s">
        <v>1003</v>
      </c>
      <c r="L107" s="112" t="s">
        <v>1774</v>
      </c>
      <c r="M107" s="106">
        <v>0.0</v>
      </c>
      <c r="N107" s="113">
        <v>0.0</v>
      </c>
      <c r="O107" s="106" t="s">
        <v>1775</v>
      </c>
      <c r="P107" s="106" t="s">
        <v>60</v>
      </c>
      <c r="Q107" s="45" t="s">
        <v>1006</v>
      </c>
      <c r="R107" s="45">
        <v>98.0</v>
      </c>
      <c r="S107" s="45">
        <v>2019.0</v>
      </c>
      <c r="T107" s="45">
        <v>95.0</v>
      </c>
      <c r="U107" s="45">
        <v>2021.0</v>
      </c>
      <c r="V107" s="45">
        <v>8.52</v>
      </c>
      <c r="W107" s="45">
        <v>80.2</v>
      </c>
      <c r="X107" s="45">
        <v>2025.0</v>
      </c>
      <c r="Y107" s="45">
        <v>0.0</v>
      </c>
      <c r="Z107" s="45">
        <v>0.0</v>
      </c>
      <c r="AA107" s="45" t="s">
        <v>1776</v>
      </c>
      <c r="AB107" s="45" t="s">
        <v>1777</v>
      </c>
      <c r="AC107" s="45">
        <v>8.340027031E9</v>
      </c>
      <c r="AD107" s="45">
        <v>6.301777655E9</v>
      </c>
      <c r="AE107" s="45" t="s">
        <v>1778</v>
      </c>
      <c r="AF107" s="45">
        <v>0.0</v>
      </c>
      <c r="AG107" s="45" t="s">
        <v>1779</v>
      </c>
      <c r="AH107" s="45" t="s">
        <v>1780</v>
      </c>
      <c r="AI107" s="45">
        <v>8.84</v>
      </c>
      <c r="AJ107" s="45">
        <v>8.54</v>
      </c>
      <c r="AK107" s="45">
        <v>7.86</v>
      </c>
      <c r="AL107" s="45">
        <v>0.0</v>
      </c>
      <c r="AM107" s="45">
        <v>8.45</v>
      </c>
      <c r="AN107" s="45">
        <v>8.52</v>
      </c>
      <c r="AO107" s="45" t="s">
        <v>27</v>
      </c>
      <c r="AQ107" s="45" t="s">
        <v>1011</v>
      </c>
      <c r="AT107" s="45" t="s">
        <v>1012</v>
      </c>
    </row>
    <row r="108">
      <c r="A108" s="107"/>
      <c r="B108" s="108" t="s">
        <v>337</v>
      </c>
      <c r="C108" s="109" t="s">
        <v>1781</v>
      </c>
      <c r="D108" s="108" t="s">
        <v>1782</v>
      </c>
      <c r="E108" s="108" t="s">
        <v>338</v>
      </c>
      <c r="F108" s="108">
        <v>0.0</v>
      </c>
      <c r="G108" s="110">
        <v>9.53524E11</v>
      </c>
      <c r="H108" s="111" t="s">
        <v>1003</v>
      </c>
      <c r="I108" s="111" t="s">
        <v>1003</v>
      </c>
      <c r="J108" s="111" t="s">
        <v>1003</v>
      </c>
      <c r="K108" s="108" t="s">
        <v>1003</v>
      </c>
      <c r="L108" s="112" t="s">
        <v>1783</v>
      </c>
      <c r="M108" s="106">
        <v>39584.0</v>
      </c>
      <c r="N108" s="113">
        <v>0.0</v>
      </c>
      <c r="O108" s="114">
        <v>38205.0</v>
      </c>
      <c r="P108" s="106" t="s">
        <v>60</v>
      </c>
      <c r="Q108" s="45" t="s">
        <v>1006</v>
      </c>
      <c r="R108" s="45">
        <v>92.0</v>
      </c>
      <c r="S108" s="45">
        <v>2019.0</v>
      </c>
      <c r="T108" s="45">
        <v>91.6</v>
      </c>
      <c r="U108" s="45">
        <v>2021.0</v>
      </c>
      <c r="V108" s="45">
        <v>8.4</v>
      </c>
      <c r="W108" s="45">
        <v>79.0</v>
      </c>
      <c r="X108" s="45">
        <v>2025.0</v>
      </c>
      <c r="Y108" s="45">
        <v>0.0</v>
      </c>
      <c r="Z108" s="45">
        <v>0.0</v>
      </c>
      <c r="AA108" s="45" t="s">
        <v>1784</v>
      </c>
      <c r="AB108" s="45" t="s">
        <v>1785</v>
      </c>
      <c r="AC108" s="45">
        <v>9.849985627E9</v>
      </c>
      <c r="AD108" s="45">
        <v>9.490393102E9</v>
      </c>
      <c r="AE108" s="45" t="s">
        <v>48</v>
      </c>
      <c r="AF108" s="45">
        <v>0.0</v>
      </c>
      <c r="AG108" s="45" t="s">
        <v>1786</v>
      </c>
      <c r="AH108" s="45" t="s">
        <v>1787</v>
      </c>
      <c r="AI108" s="45">
        <v>7.92</v>
      </c>
      <c r="AJ108" s="45">
        <v>8.02</v>
      </c>
      <c r="AK108" s="45">
        <v>0.0</v>
      </c>
      <c r="AL108" s="45">
        <v>0.0</v>
      </c>
      <c r="AM108" s="45">
        <v>8.36</v>
      </c>
      <c r="AN108" s="45">
        <v>8.4</v>
      </c>
      <c r="AO108" s="45" t="s">
        <v>28</v>
      </c>
      <c r="AQ108" s="45" t="s">
        <v>1011</v>
      </c>
      <c r="AT108" s="45" t="s">
        <v>1012</v>
      </c>
    </row>
    <row r="109">
      <c r="A109" s="107"/>
      <c r="B109" s="108" t="s">
        <v>339</v>
      </c>
      <c r="C109" s="109" t="s">
        <v>1788</v>
      </c>
      <c r="D109" s="108" t="s">
        <v>1789</v>
      </c>
      <c r="E109" s="108" t="s">
        <v>340</v>
      </c>
      <c r="F109" s="108">
        <v>0.0</v>
      </c>
      <c r="G109" s="110">
        <v>6.50085E11</v>
      </c>
      <c r="H109" s="111" t="s">
        <v>1003</v>
      </c>
      <c r="I109" s="111" t="s">
        <v>1003</v>
      </c>
      <c r="J109" s="111" t="s">
        <v>1003</v>
      </c>
      <c r="K109" s="108" t="s">
        <v>1003</v>
      </c>
      <c r="L109" s="112" t="s">
        <v>1790</v>
      </c>
      <c r="M109" s="106">
        <v>7637.0</v>
      </c>
      <c r="N109" s="113">
        <v>0.0</v>
      </c>
      <c r="O109" s="114">
        <v>37718.0</v>
      </c>
      <c r="P109" s="106" t="s">
        <v>46</v>
      </c>
      <c r="Q109" s="45" t="s">
        <v>1006</v>
      </c>
      <c r="R109" s="45">
        <v>87.8</v>
      </c>
      <c r="S109" s="45">
        <v>2019.0</v>
      </c>
      <c r="T109" s="45">
        <v>97.2</v>
      </c>
      <c r="U109" s="45">
        <v>2021.0</v>
      </c>
      <c r="V109" s="45">
        <v>8.61</v>
      </c>
      <c r="W109" s="45">
        <v>81.1</v>
      </c>
      <c r="X109" s="45">
        <v>2025.0</v>
      </c>
      <c r="Y109" s="45">
        <v>0.0</v>
      </c>
      <c r="Z109" s="45">
        <v>0.0</v>
      </c>
      <c r="AA109" s="45" t="s">
        <v>1791</v>
      </c>
      <c r="AB109" s="45" t="s">
        <v>1792</v>
      </c>
      <c r="AC109" s="45">
        <v>9.6182288E9</v>
      </c>
      <c r="AD109" s="45">
        <v>8.79099986E9</v>
      </c>
      <c r="AE109" s="45" t="s">
        <v>1793</v>
      </c>
      <c r="AF109" s="45">
        <v>0.0</v>
      </c>
      <c r="AG109" s="45" t="s">
        <v>1794</v>
      </c>
      <c r="AH109" s="45" t="s">
        <v>1795</v>
      </c>
      <c r="AI109" s="45">
        <v>8.51</v>
      </c>
      <c r="AJ109" s="45">
        <v>8.68</v>
      </c>
      <c r="AK109" s="45">
        <v>8.25</v>
      </c>
      <c r="AL109" s="45">
        <v>0.0</v>
      </c>
      <c r="AM109" s="45">
        <v>8.58</v>
      </c>
      <c r="AN109" s="45">
        <v>8.61</v>
      </c>
      <c r="AO109" s="45" t="s">
        <v>27</v>
      </c>
      <c r="AQ109" s="45" t="s">
        <v>1011</v>
      </c>
      <c r="AT109" s="45" t="s">
        <v>1012</v>
      </c>
    </row>
    <row r="110">
      <c r="A110" s="107"/>
      <c r="B110" s="108" t="s">
        <v>342</v>
      </c>
      <c r="C110" s="109" t="s">
        <v>1796</v>
      </c>
      <c r="D110" s="108" t="s">
        <v>1797</v>
      </c>
      <c r="E110" s="108" t="s">
        <v>343</v>
      </c>
      <c r="F110" s="108">
        <v>0.0</v>
      </c>
      <c r="G110" s="110">
        <v>6.5606E11</v>
      </c>
      <c r="H110" s="111" t="s">
        <v>1003</v>
      </c>
      <c r="I110" s="111">
        <v>1534.0</v>
      </c>
      <c r="J110" s="111">
        <v>8050.0</v>
      </c>
      <c r="K110" s="108">
        <v>8477.0</v>
      </c>
      <c r="L110" s="112" t="s">
        <v>1798</v>
      </c>
      <c r="M110" s="106">
        <v>0.0</v>
      </c>
      <c r="N110" s="113">
        <v>0.0</v>
      </c>
      <c r="O110" s="114">
        <v>38169.0</v>
      </c>
      <c r="P110" s="106" t="s">
        <v>46</v>
      </c>
      <c r="Q110" s="45" t="s">
        <v>1006</v>
      </c>
      <c r="R110" s="45">
        <v>95.0</v>
      </c>
      <c r="S110" s="45">
        <v>2019.0</v>
      </c>
      <c r="T110" s="45">
        <v>96.4</v>
      </c>
      <c r="U110" s="45">
        <v>2021.0</v>
      </c>
      <c r="V110" s="45">
        <v>8.31</v>
      </c>
      <c r="W110" s="45">
        <v>78.1</v>
      </c>
      <c r="X110" s="45">
        <v>2025.0</v>
      </c>
      <c r="Y110" s="45">
        <v>0.0</v>
      </c>
      <c r="Z110" s="45">
        <v>0.0</v>
      </c>
      <c r="AA110" s="45" t="s">
        <v>1799</v>
      </c>
      <c r="AB110" s="45" t="s">
        <v>1800</v>
      </c>
      <c r="AC110" s="45">
        <v>8.5000933E9</v>
      </c>
      <c r="AD110" s="45">
        <v>9.392436947E9</v>
      </c>
      <c r="AE110" s="45" t="s">
        <v>1801</v>
      </c>
      <c r="AF110" s="45">
        <v>0.0</v>
      </c>
      <c r="AG110" s="45" t="s">
        <v>1802</v>
      </c>
      <c r="AH110" s="45" t="s">
        <v>1803</v>
      </c>
      <c r="AI110" s="45">
        <v>8.7</v>
      </c>
      <c r="AJ110" s="45">
        <v>8.02</v>
      </c>
      <c r="AK110" s="45">
        <v>8.11</v>
      </c>
      <c r="AL110" s="45">
        <v>0.0</v>
      </c>
      <c r="AM110" s="45">
        <v>8.27</v>
      </c>
      <c r="AN110" s="45">
        <v>8.31</v>
      </c>
      <c r="AO110" s="45" t="s">
        <v>28</v>
      </c>
      <c r="AQ110" s="45" t="s">
        <v>1011</v>
      </c>
      <c r="AT110" s="45" t="s">
        <v>1012</v>
      </c>
    </row>
    <row r="111">
      <c r="A111" s="107"/>
      <c r="B111" s="108" t="s">
        <v>345</v>
      </c>
      <c r="C111" s="109" t="s">
        <v>1804</v>
      </c>
      <c r="D111" s="108" t="s">
        <v>1805</v>
      </c>
      <c r="E111" s="108" t="s">
        <v>346</v>
      </c>
      <c r="F111" s="108">
        <v>0.0</v>
      </c>
      <c r="G111" s="110">
        <v>5.96842E11</v>
      </c>
      <c r="H111" s="111" t="s">
        <v>1003</v>
      </c>
      <c r="I111" s="111" t="s">
        <v>1003</v>
      </c>
      <c r="J111" s="111" t="s">
        <v>1003</v>
      </c>
      <c r="K111" s="108" t="s">
        <v>1003</v>
      </c>
      <c r="L111" s="112" t="s">
        <v>1806</v>
      </c>
      <c r="M111" s="106">
        <v>0.0</v>
      </c>
      <c r="N111" s="113">
        <v>0.0</v>
      </c>
      <c r="O111" s="106" t="s">
        <v>1807</v>
      </c>
      <c r="P111" s="106" t="s">
        <v>46</v>
      </c>
      <c r="Q111" s="45" t="s">
        <v>1006</v>
      </c>
      <c r="R111" s="45">
        <v>93.0</v>
      </c>
      <c r="S111" s="45">
        <v>2019.0</v>
      </c>
      <c r="T111" s="45">
        <v>86.0</v>
      </c>
      <c r="U111" s="45">
        <v>2021.0</v>
      </c>
      <c r="V111" s="45">
        <v>7.62</v>
      </c>
      <c r="W111" s="45">
        <v>71.2</v>
      </c>
      <c r="X111" s="45">
        <v>2025.0</v>
      </c>
      <c r="Y111" s="45">
        <v>0.0</v>
      </c>
      <c r="Z111" s="45">
        <v>0.0</v>
      </c>
      <c r="AA111" s="45" t="s">
        <v>1808</v>
      </c>
      <c r="AB111" s="45" t="s">
        <v>1809</v>
      </c>
      <c r="AC111" s="45">
        <v>9.014344884E9</v>
      </c>
      <c r="AD111" s="45">
        <v>9.441174825E9</v>
      </c>
      <c r="AE111" s="45" t="s">
        <v>210</v>
      </c>
      <c r="AF111" s="45">
        <v>0.0</v>
      </c>
      <c r="AG111" s="45" t="s">
        <v>1810</v>
      </c>
      <c r="AH111" s="45" t="s">
        <v>1811</v>
      </c>
      <c r="AI111" s="45">
        <v>7.81</v>
      </c>
      <c r="AJ111" s="45">
        <v>7.68</v>
      </c>
      <c r="AK111" s="45">
        <v>7.52</v>
      </c>
      <c r="AL111" s="45">
        <v>0.0</v>
      </c>
      <c r="AM111" s="45">
        <v>7.71</v>
      </c>
      <c r="AN111" s="45">
        <v>7.62</v>
      </c>
      <c r="AO111" s="45" t="s">
        <v>28</v>
      </c>
      <c r="AQ111" s="45" t="s">
        <v>1011</v>
      </c>
      <c r="AT111" s="45" t="s">
        <v>1028</v>
      </c>
    </row>
    <row r="112">
      <c r="A112" s="107"/>
      <c r="B112" s="108" t="s">
        <v>347</v>
      </c>
      <c r="C112" s="109" t="s">
        <v>1812</v>
      </c>
      <c r="D112" s="108" t="s">
        <v>1813</v>
      </c>
      <c r="E112" s="108" t="s">
        <v>348</v>
      </c>
      <c r="F112" s="108">
        <v>0.0</v>
      </c>
      <c r="G112" s="110">
        <v>2.33365E11</v>
      </c>
      <c r="H112" s="111" t="s">
        <v>1003</v>
      </c>
      <c r="I112" s="111">
        <v>1025.0</v>
      </c>
      <c r="J112" s="111">
        <v>5389.0</v>
      </c>
      <c r="K112" s="108">
        <v>5397.0</v>
      </c>
      <c r="L112" s="112" t="s">
        <v>1814</v>
      </c>
      <c r="M112" s="106">
        <v>8415.0</v>
      </c>
      <c r="N112" s="113">
        <v>0.0</v>
      </c>
      <c r="O112" s="106" t="s">
        <v>1815</v>
      </c>
      <c r="P112" s="106" t="s">
        <v>60</v>
      </c>
      <c r="Q112" s="45" t="s">
        <v>1006</v>
      </c>
      <c r="R112" s="45">
        <v>100.0</v>
      </c>
      <c r="S112" s="45">
        <v>2019.0</v>
      </c>
      <c r="T112" s="45">
        <v>98.8</v>
      </c>
      <c r="U112" s="45">
        <v>2021.0</v>
      </c>
      <c r="V112" s="45">
        <v>9.46</v>
      </c>
      <c r="W112" s="45">
        <v>89.6</v>
      </c>
      <c r="X112" s="45">
        <v>2025.0</v>
      </c>
      <c r="Y112" s="45">
        <v>0.0</v>
      </c>
      <c r="Z112" s="45">
        <v>0.0</v>
      </c>
      <c r="AA112" s="45" t="s">
        <v>1816</v>
      </c>
      <c r="AB112" s="45" t="s">
        <v>1817</v>
      </c>
      <c r="AC112" s="45">
        <v>9.39236067E9</v>
      </c>
      <c r="AD112" s="45">
        <v>7.382186589E9</v>
      </c>
      <c r="AE112" s="45" t="s">
        <v>87</v>
      </c>
      <c r="AF112" s="45" t="s">
        <v>349</v>
      </c>
      <c r="AG112" s="45" t="s">
        <v>1818</v>
      </c>
      <c r="AH112" s="45" t="s">
        <v>1819</v>
      </c>
      <c r="AI112" s="45">
        <v>9.76</v>
      </c>
      <c r="AJ112" s="45">
        <v>9.61</v>
      </c>
      <c r="AK112" s="45">
        <v>9.05</v>
      </c>
      <c r="AL112" s="45">
        <v>0.0</v>
      </c>
      <c r="AM112" s="45">
        <v>9.48</v>
      </c>
      <c r="AN112" s="45">
        <v>9.46</v>
      </c>
      <c r="AO112" s="45" t="s">
        <v>27</v>
      </c>
      <c r="AQ112" s="45" t="s">
        <v>1011</v>
      </c>
      <c r="AT112" s="45" t="s">
        <v>1012</v>
      </c>
    </row>
    <row r="113">
      <c r="A113" s="107"/>
      <c r="B113" s="108" t="s">
        <v>350</v>
      </c>
      <c r="C113" s="109" t="s">
        <v>1820</v>
      </c>
      <c r="D113" s="108" t="s">
        <v>1821</v>
      </c>
      <c r="E113" s="108" t="s">
        <v>351</v>
      </c>
      <c r="F113" s="108">
        <v>0.0</v>
      </c>
      <c r="G113" s="110">
        <v>5.00612E11</v>
      </c>
      <c r="H113" s="111" t="s">
        <v>1003</v>
      </c>
      <c r="I113" s="111" t="s">
        <v>1003</v>
      </c>
      <c r="J113" s="111" t="s">
        <v>1003</v>
      </c>
      <c r="K113" s="108" t="s">
        <v>1003</v>
      </c>
      <c r="L113" s="112" t="s">
        <v>1822</v>
      </c>
      <c r="M113" s="106">
        <v>0.0</v>
      </c>
      <c r="N113" s="113">
        <v>0.0</v>
      </c>
      <c r="O113" s="106" t="s">
        <v>1823</v>
      </c>
      <c r="P113" s="106" t="s">
        <v>46</v>
      </c>
      <c r="Q113" s="45" t="s">
        <v>1006</v>
      </c>
      <c r="R113" s="45">
        <v>97.0</v>
      </c>
      <c r="S113" s="45">
        <v>2019.0</v>
      </c>
      <c r="T113" s="45">
        <v>93.0</v>
      </c>
      <c r="U113" s="45">
        <v>2021.0</v>
      </c>
      <c r="V113" s="45">
        <v>8.58</v>
      </c>
      <c r="W113" s="45">
        <v>80.8</v>
      </c>
      <c r="X113" s="45">
        <v>2025.0</v>
      </c>
      <c r="Y113" s="45">
        <v>0.0</v>
      </c>
      <c r="Z113" s="45">
        <v>0.0</v>
      </c>
      <c r="AA113" s="45" t="s">
        <v>1824</v>
      </c>
      <c r="AB113" s="45" t="s">
        <v>1825</v>
      </c>
      <c r="AC113" s="45">
        <v>7.675983418E9</v>
      </c>
      <c r="AD113" s="45">
        <v>9.866395979E9</v>
      </c>
      <c r="AE113" s="45">
        <v>0.0</v>
      </c>
      <c r="AF113" s="45">
        <v>0.0</v>
      </c>
      <c r="AG113" s="45" t="s">
        <v>1826</v>
      </c>
      <c r="AH113" s="45" t="s">
        <v>1827</v>
      </c>
      <c r="AI113" s="45">
        <v>9.35</v>
      </c>
      <c r="AJ113" s="45">
        <v>8.85</v>
      </c>
      <c r="AK113" s="45">
        <v>8.48</v>
      </c>
      <c r="AL113" s="45">
        <v>0.0</v>
      </c>
      <c r="AM113" s="45">
        <v>8.59</v>
      </c>
      <c r="AN113" s="45">
        <v>8.58</v>
      </c>
      <c r="AO113" s="45" t="s">
        <v>352</v>
      </c>
      <c r="AQ113" s="45" t="s">
        <v>1011</v>
      </c>
      <c r="AT113" s="45" t="s">
        <v>1028</v>
      </c>
    </row>
    <row r="114">
      <c r="A114" s="107"/>
      <c r="B114" s="108" t="s">
        <v>353</v>
      </c>
      <c r="C114" s="109" t="s">
        <v>1828</v>
      </c>
      <c r="D114" s="108" t="s">
        <v>1829</v>
      </c>
      <c r="E114" s="108" t="s">
        <v>354</v>
      </c>
      <c r="F114" s="108">
        <v>0.0</v>
      </c>
      <c r="G114" s="110">
        <v>5.14809E11</v>
      </c>
      <c r="H114" s="111" t="s">
        <v>1003</v>
      </c>
      <c r="I114" s="111" t="s">
        <v>1003</v>
      </c>
      <c r="J114" s="111" t="s">
        <v>1003</v>
      </c>
      <c r="K114" s="108" t="s">
        <v>1003</v>
      </c>
      <c r="L114" s="112" t="s">
        <v>1123</v>
      </c>
      <c r="M114" s="106">
        <v>29473.0</v>
      </c>
      <c r="N114" s="113">
        <v>0.0</v>
      </c>
      <c r="O114" s="114">
        <v>38085.0</v>
      </c>
      <c r="P114" s="106" t="s">
        <v>60</v>
      </c>
      <c r="Q114" s="45" t="s">
        <v>1006</v>
      </c>
      <c r="R114" s="45">
        <v>95.0</v>
      </c>
      <c r="S114" s="45">
        <v>2019.0</v>
      </c>
      <c r="T114" s="45">
        <v>95.0</v>
      </c>
      <c r="U114" s="45">
        <v>2021.0</v>
      </c>
      <c r="V114" s="45">
        <v>8.98</v>
      </c>
      <c r="W114" s="45">
        <v>84.8</v>
      </c>
      <c r="X114" s="45">
        <v>2025.0</v>
      </c>
      <c r="Y114" s="45">
        <v>0.0</v>
      </c>
      <c r="Z114" s="45">
        <v>0.0</v>
      </c>
      <c r="AA114" s="45" t="s">
        <v>1830</v>
      </c>
      <c r="AB114" s="45" t="s">
        <v>1831</v>
      </c>
      <c r="AC114" s="45">
        <v>9.849639601E9</v>
      </c>
      <c r="AD114" s="45">
        <v>9.912642175E9</v>
      </c>
      <c r="AE114" s="45">
        <v>0.0</v>
      </c>
      <c r="AF114" s="45">
        <v>0.0</v>
      </c>
      <c r="AG114" s="45" t="s">
        <v>1832</v>
      </c>
      <c r="AH114" s="45" t="s">
        <v>1833</v>
      </c>
      <c r="AI114" s="45">
        <v>8.92</v>
      </c>
      <c r="AJ114" s="45">
        <v>8.71</v>
      </c>
      <c r="AK114" s="45">
        <v>8.68</v>
      </c>
      <c r="AL114" s="45">
        <v>0.0</v>
      </c>
      <c r="AM114" s="45">
        <v>8.91</v>
      </c>
      <c r="AN114" s="45">
        <v>8.98</v>
      </c>
      <c r="AO114" s="45" t="s">
        <v>27</v>
      </c>
      <c r="AQ114" s="45" t="s">
        <v>1011</v>
      </c>
      <c r="AT114" s="45" t="s">
        <v>1012</v>
      </c>
    </row>
    <row r="115">
      <c r="A115" s="107"/>
      <c r="B115" s="108" t="s">
        <v>355</v>
      </c>
      <c r="C115" s="109" t="s">
        <v>1834</v>
      </c>
      <c r="D115" s="108" t="s">
        <v>1835</v>
      </c>
      <c r="E115" s="108" t="s">
        <v>356</v>
      </c>
      <c r="F115" s="108">
        <v>0.0</v>
      </c>
      <c r="G115" s="110">
        <v>4.14213E11</v>
      </c>
      <c r="H115" s="111" t="s">
        <v>1003</v>
      </c>
      <c r="I115" s="111" t="s">
        <v>1003</v>
      </c>
      <c r="J115" s="111" t="s">
        <v>1003</v>
      </c>
      <c r="K115" s="108" t="s">
        <v>1003</v>
      </c>
      <c r="L115" s="112" t="s">
        <v>1577</v>
      </c>
      <c r="M115" s="106">
        <v>0.0</v>
      </c>
      <c r="N115" s="113">
        <v>0.0</v>
      </c>
      <c r="O115" s="114">
        <v>38058.0</v>
      </c>
      <c r="P115" s="106" t="s">
        <v>46</v>
      </c>
      <c r="Q115" s="45" t="s">
        <v>1006</v>
      </c>
      <c r="R115" s="45">
        <v>71.6</v>
      </c>
      <c r="S115" s="45">
        <v>2019.0</v>
      </c>
      <c r="T115" s="45">
        <v>86.6</v>
      </c>
      <c r="U115" s="45">
        <v>2021.0</v>
      </c>
      <c r="V115" s="45">
        <v>7.42</v>
      </c>
      <c r="W115" s="45">
        <v>69.2</v>
      </c>
      <c r="X115" s="45">
        <v>2025.0</v>
      </c>
      <c r="Y115" s="45">
        <v>0.0</v>
      </c>
      <c r="Z115" s="45">
        <v>0.0</v>
      </c>
      <c r="AA115" s="45" t="s">
        <v>1836</v>
      </c>
      <c r="AB115" s="45" t="s">
        <v>1837</v>
      </c>
      <c r="AC115" s="45">
        <v>9.014752066E9</v>
      </c>
      <c r="AD115" s="45">
        <v>9.84916243E9</v>
      </c>
      <c r="AE115" s="45">
        <v>0.0</v>
      </c>
      <c r="AF115" s="45">
        <v>0.0</v>
      </c>
      <c r="AG115" s="45" t="s">
        <v>1838</v>
      </c>
      <c r="AH115" s="45" t="s">
        <v>1839</v>
      </c>
      <c r="AI115" s="45">
        <v>7.51</v>
      </c>
      <c r="AJ115" s="45">
        <v>7.05</v>
      </c>
      <c r="AK115" s="45">
        <v>7.32</v>
      </c>
      <c r="AL115" s="45">
        <v>0.0</v>
      </c>
      <c r="AM115" s="45">
        <v>7.42</v>
      </c>
      <c r="AN115" s="45">
        <v>7.42</v>
      </c>
      <c r="AO115" s="45" t="s">
        <v>28</v>
      </c>
      <c r="AQ115" s="45" t="s">
        <v>1011</v>
      </c>
      <c r="AT115" s="45" t="s">
        <v>1012</v>
      </c>
    </row>
    <row r="116">
      <c r="A116" s="107"/>
      <c r="B116" s="108" t="s">
        <v>357</v>
      </c>
      <c r="C116" s="109" t="s">
        <v>1840</v>
      </c>
      <c r="D116" s="108" t="s">
        <v>1841</v>
      </c>
      <c r="E116" s="108" t="s">
        <v>358</v>
      </c>
      <c r="F116" s="108">
        <v>0.0</v>
      </c>
      <c r="G116" s="110">
        <v>6.15255E11</v>
      </c>
      <c r="H116" s="111" t="s">
        <v>1003</v>
      </c>
      <c r="I116" s="111" t="s">
        <v>1003</v>
      </c>
      <c r="J116" s="111" t="s">
        <v>1003</v>
      </c>
      <c r="K116" s="108" t="s">
        <v>1003</v>
      </c>
      <c r="L116" s="112" t="s">
        <v>1842</v>
      </c>
      <c r="M116" s="106">
        <v>26461.0</v>
      </c>
      <c r="N116" s="113">
        <v>0.0</v>
      </c>
      <c r="O116" s="106" t="s">
        <v>1843</v>
      </c>
      <c r="P116" s="106" t="s">
        <v>46</v>
      </c>
      <c r="Q116" s="45" t="s">
        <v>1006</v>
      </c>
      <c r="R116" s="45">
        <v>92.0</v>
      </c>
      <c r="S116" s="45">
        <v>2019.0</v>
      </c>
      <c r="T116" s="45">
        <v>97.4</v>
      </c>
      <c r="U116" s="45">
        <v>2021.0</v>
      </c>
      <c r="V116" s="45">
        <v>8.7</v>
      </c>
      <c r="W116" s="45">
        <v>82.0</v>
      </c>
      <c r="X116" s="45">
        <v>2025.0</v>
      </c>
      <c r="Y116" s="45">
        <v>0.0</v>
      </c>
      <c r="Z116" s="45">
        <v>0.0</v>
      </c>
      <c r="AA116" s="45" t="s">
        <v>1844</v>
      </c>
      <c r="AB116" s="45" t="s">
        <v>1845</v>
      </c>
      <c r="AC116" s="45">
        <v>9.701967654E9</v>
      </c>
      <c r="AD116" s="45">
        <v>8.639893747E9</v>
      </c>
      <c r="AE116" s="45" t="s">
        <v>360</v>
      </c>
      <c r="AF116" s="45" t="s">
        <v>644</v>
      </c>
      <c r="AG116" s="45" t="s">
        <v>1846</v>
      </c>
      <c r="AH116" s="45" t="s">
        <v>1847</v>
      </c>
      <c r="AI116" s="45">
        <v>8.68</v>
      </c>
      <c r="AJ116" s="45">
        <v>8.61</v>
      </c>
      <c r="AK116" s="45">
        <v>8.61</v>
      </c>
      <c r="AL116" s="45">
        <v>0.0</v>
      </c>
      <c r="AM116" s="45">
        <v>8.71</v>
      </c>
      <c r="AN116" s="45">
        <v>8.7</v>
      </c>
      <c r="AO116" s="45" t="s">
        <v>27</v>
      </c>
      <c r="AQ116" s="45" t="s">
        <v>1011</v>
      </c>
      <c r="AT116" s="45" t="s">
        <v>1028</v>
      </c>
    </row>
    <row r="117">
      <c r="A117" s="107"/>
      <c r="B117" s="108" t="s">
        <v>361</v>
      </c>
      <c r="C117" s="109" t="s">
        <v>1848</v>
      </c>
      <c r="D117" s="108" t="s">
        <v>1849</v>
      </c>
      <c r="E117" s="108" t="s">
        <v>362</v>
      </c>
      <c r="F117" s="108">
        <v>0.0</v>
      </c>
      <c r="G117" s="110">
        <v>5.44711E11</v>
      </c>
      <c r="H117" s="111" t="s">
        <v>1003</v>
      </c>
      <c r="I117" s="111" t="s">
        <v>1003</v>
      </c>
      <c r="J117" s="111" t="s">
        <v>1003</v>
      </c>
      <c r="K117" s="108" t="s">
        <v>1003</v>
      </c>
      <c r="L117" s="112" t="s">
        <v>1850</v>
      </c>
      <c r="M117" s="106">
        <v>0.0</v>
      </c>
      <c r="N117" s="113">
        <v>0.0</v>
      </c>
      <c r="O117" s="114">
        <v>37927.0</v>
      </c>
      <c r="P117" s="106" t="s">
        <v>46</v>
      </c>
      <c r="Q117" s="45" t="s">
        <v>1006</v>
      </c>
      <c r="R117" s="45">
        <v>97.0</v>
      </c>
      <c r="S117" s="45">
        <v>2019.0</v>
      </c>
      <c r="T117" s="45">
        <v>94.0</v>
      </c>
      <c r="U117" s="45">
        <v>2022.0</v>
      </c>
      <c r="V117" s="45">
        <v>7.26</v>
      </c>
      <c r="W117" s="45">
        <v>67.6</v>
      </c>
      <c r="X117" s="45">
        <v>2025.0</v>
      </c>
      <c r="Y117" s="45">
        <v>0.0</v>
      </c>
      <c r="Z117" s="45">
        <v>0.0</v>
      </c>
      <c r="AA117" s="45" t="s">
        <v>1851</v>
      </c>
      <c r="AB117" s="45" t="s">
        <v>1852</v>
      </c>
      <c r="AC117" s="45">
        <v>6.309604339E9</v>
      </c>
      <c r="AD117" s="45">
        <v>9.949386333E9</v>
      </c>
      <c r="AE117" s="45">
        <v>0.0</v>
      </c>
      <c r="AF117" s="45">
        <v>0.0</v>
      </c>
      <c r="AG117" s="45" t="s">
        <v>1853</v>
      </c>
      <c r="AH117" s="45" t="s">
        <v>1854</v>
      </c>
      <c r="AI117" s="45">
        <v>6.51</v>
      </c>
      <c r="AJ117" s="45">
        <v>6.59</v>
      </c>
      <c r="AK117" s="45">
        <v>6.45</v>
      </c>
      <c r="AL117" s="45">
        <v>0.0</v>
      </c>
      <c r="AM117" s="45">
        <v>7.08</v>
      </c>
      <c r="AN117" s="45">
        <v>7.26</v>
      </c>
      <c r="AO117" s="45" t="s">
        <v>27</v>
      </c>
      <c r="AQ117" s="45" t="s">
        <v>1011</v>
      </c>
      <c r="AT117" s="45" t="s">
        <v>1028</v>
      </c>
    </row>
    <row r="118">
      <c r="A118" s="107"/>
      <c r="B118" s="108" t="s">
        <v>363</v>
      </c>
      <c r="C118" s="109" t="s">
        <v>1855</v>
      </c>
      <c r="D118" s="108" t="s">
        <v>1856</v>
      </c>
      <c r="E118" s="108" t="s">
        <v>364</v>
      </c>
      <c r="F118" s="108">
        <v>0.0</v>
      </c>
      <c r="G118" s="110">
        <v>3.99321E11</v>
      </c>
      <c r="H118" s="111" t="s">
        <v>1003</v>
      </c>
      <c r="I118" s="111" t="s">
        <v>1003</v>
      </c>
      <c r="J118" s="111" t="s">
        <v>1003</v>
      </c>
      <c r="K118" s="108" t="s">
        <v>1003</v>
      </c>
      <c r="L118" s="112" t="s">
        <v>1857</v>
      </c>
      <c r="M118" s="106">
        <v>0.0</v>
      </c>
      <c r="N118" s="113">
        <v>0.0</v>
      </c>
      <c r="O118" s="114">
        <v>38082.0</v>
      </c>
      <c r="P118" s="106" t="s">
        <v>60</v>
      </c>
      <c r="Q118" s="45" t="s">
        <v>1006</v>
      </c>
      <c r="R118" s="45">
        <v>89.0</v>
      </c>
      <c r="S118" s="45">
        <v>2019.0</v>
      </c>
      <c r="T118" s="45">
        <v>96.2</v>
      </c>
      <c r="U118" s="45">
        <v>2021.0</v>
      </c>
      <c r="V118" s="45">
        <v>9.06</v>
      </c>
      <c r="W118" s="45">
        <v>85.6</v>
      </c>
      <c r="X118" s="45">
        <v>2025.0</v>
      </c>
      <c r="Y118" s="45">
        <v>0.0</v>
      </c>
      <c r="Z118" s="45">
        <v>0.0</v>
      </c>
      <c r="AA118" s="45" t="s">
        <v>1858</v>
      </c>
      <c r="AB118" s="45" t="s">
        <v>1859</v>
      </c>
      <c r="AC118" s="45">
        <v>6.30184994E9</v>
      </c>
      <c r="AD118" s="45">
        <v>9.849284661E9</v>
      </c>
      <c r="AE118" s="45" t="s">
        <v>366</v>
      </c>
      <c r="AF118" s="45" t="s">
        <v>440</v>
      </c>
      <c r="AG118" s="45" t="s">
        <v>1860</v>
      </c>
      <c r="AH118" s="45" t="s">
        <v>1861</v>
      </c>
      <c r="AI118" s="45">
        <v>9.35</v>
      </c>
      <c r="AJ118" s="45">
        <v>8.66</v>
      </c>
      <c r="AK118" s="45">
        <v>9.02</v>
      </c>
      <c r="AL118" s="45">
        <v>0.0</v>
      </c>
      <c r="AM118" s="45">
        <v>9.05</v>
      </c>
      <c r="AN118" s="45">
        <v>9.06</v>
      </c>
      <c r="AO118" s="45" t="s">
        <v>27</v>
      </c>
      <c r="AQ118" s="45" t="s">
        <v>1011</v>
      </c>
      <c r="AT118" s="45" t="s">
        <v>1028</v>
      </c>
    </row>
    <row r="119">
      <c r="A119" s="107"/>
      <c r="B119" s="108" t="s">
        <v>367</v>
      </c>
      <c r="C119" s="109" t="s">
        <v>1862</v>
      </c>
      <c r="D119" s="108" t="s">
        <v>1863</v>
      </c>
      <c r="E119" s="108" t="s">
        <v>368</v>
      </c>
      <c r="F119" s="108">
        <v>0.0</v>
      </c>
      <c r="G119" s="110">
        <v>2.17706E11</v>
      </c>
      <c r="H119" s="111" t="s">
        <v>1003</v>
      </c>
      <c r="I119" s="111" t="s">
        <v>1003</v>
      </c>
      <c r="J119" s="111" t="s">
        <v>1003</v>
      </c>
      <c r="K119" s="108" t="s">
        <v>1003</v>
      </c>
      <c r="L119" s="112" t="s">
        <v>1864</v>
      </c>
      <c r="M119" s="106">
        <v>1400.0</v>
      </c>
      <c r="N119" s="113">
        <v>0.0</v>
      </c>
      <c r="O119" s="106" t="s">
        <v>1865</v>
      </c>
      <c r="P119" s="106" t="s">
        <v>46</v>
      </c>
      <c r="Q119" s="45" t="s">
        <v>1006</v>
      </c>
      <c r="R119" s="45">
        <v>97.0</v>
      </c>
      <c r="S119" s="45">
        <v>2019.0</v>
      </c>
      <c r="T119" s="45">
        <v>88.0</v>
      </c>
      <c r="U119" s="45">
        <v>2021.0</v>
      </c>
      <c r="V119" s="45">
        <v>7.88</v>
      </c>
      <c r="W119" s="45">
        <v>73.8</v>
      </c>
      <c r="X119" s="45">
        <v>2025.0</v>
      </c>
      <c r="Y119" s="45">
        <v>0.0</v>
      </c>
      <c r="Z119" s="45">
        <v>0.0</v>
      </c>
      <c r="AA119" s="45" t="s">
        <v>1866</v>
      </c>
      <c r="AB119" s="45" t="s">
        <v>1867</v>
      </c>
      <c r="AC119" s="45">
        <v>7.093172593E9</v>
      </c>
      <c r="AD119" s="45">
        <v>9.989430536E9</v>
      </c>
      <c r="AE119" s="45">
        <v>0.0</v>
      </c>
      <c r="AF119" s="45">
        <v>0.0</v>
      </c>
      <c r="AG119" s="45" t="s">
        <v>1299</v>
      </c>
      <c r="AH119" s="45" t="s">
        <v>1868</v>
      </c>
      <c r="AI119" s="45">
        <v>8.08</v>
      </c>
      <c r="AJ119" s="45">
        <v>7.59</v>
      </c>
      <c r="AK119" s="45">
        <v>7.59</v>
      </c>
      <c r="AL119" s="45">
        <v>0.0</v>
      </c>
      <c r="AM119" s="45">
        <v>7.87</v>
      </c>
      <c r="AN119" s="45">
        <v>7.88</v>
      </c>
      <c r="AO119" s="45" t="s">
        <v>27</v>
      </c>
      <c r="AQ119" s="45" t="s">
        <v>1011</v>
      </c>
      <c r="AT119" s="45" t="s">
        <v>1012</v>
      </c>
    </row>
    <row r="120">
      <c r="A120" s="107"/>
      <c r="B120" s="108" t="s">
        <v>370</v>
      </c>
      <c r="C120" s="109" t="s">
        <v>1869</v>
      </c>
      <c r="D120" s="108" t="s">
        <v>1599</v>
      </c>
      <c r="E120" s="108" t="s">
        <v>371</v>
      </c>
      <c r="F120" s="108">
        <v>0.0</v>
      </c>
      <c r="G120" s="110">
        <v>6.82703E11</v>
      </c>
      <c r="H120" s="111" t="s">
        <v>1003</v>
      </c>
      <c r="I120" s="111" t="s">
        <v>1003</v>
      </c>
      <c r="J120" s="111" t="s">
        <v>1003</v>
      </c>
      <c r="K120" s="108" t="s">
        <v>1003</v>
      </c>
      <c r="L120" s="112" t="s">
        <v>1870</v>
      </c>
      <c r="M120" s="106">
        <v>0.0</v>
      </c>
      <c r="N120" s="113">
        <v>0.0</v>
      </c>
      <c r="O120" s="106" t="s">
        <v>1871</v>
      </c>
      <c r="P120" s="106" t="s">
        <v>46</v>
      </c>
      <c r="Q120" s="45" t="s">
        <v>1006</v>
      </c>
      <c r="R120" s="45">
        <v>80.0</v>
      </c>
      <c r="S120" s="45">
        <v>2019.0</v>
      </c>
      <c r="T120" s="45">
        <v>50.0</v>
      </c>
      <c r="U120" s="45">
        <v>2021.0</v>
      </c>
      <c r="V120" s="45">
        <v>0.0</v>
      </c>
      <c r="W120" s="45">
        <v>-5.0</v>
      </c>
      <c r="X120" s="45">
        <v>2025.0</v>
      </c>
      <c r="Y120" s="45">
        <v>22.0</v>
      </c>
      <c r="Z120" s="45">
        <v>21.0</v>
      </c>
      <c r="AA120" s="45" t="s">
        <v>1872</v>
      </c>
      <c r="AB120" s="45" t="s">
        <v>1873</v>
      </c>
      <c r="AC120" s="45">
        <v>7.99550731E9</v>
      </c>
      <c r="AD120" s="45">
        <v>9.441515088E9</v>
      </c>
      <c r="AE120" s="45">
        <v>0.0</v>
      </c>
      <c r="AF120" s="45">
        <v>0.0</v>
      </c>
      <c r="AG120" s="45" t="s">
        <v>1874</v>
      </c>
      <c r="AH120" s="45" t="s">
        <v>1875</v>
      </c>
      <c r="AI120" s="45">
        <v>0.0</v>
      </c>
      <c r="AJ120" s="45">
        <v>0.0</v>
      </c>
      <c r="AK120" s="45">
        <v>0.0</v>
      </c>
      <c r="AL120" s="45">
        <v>0.0</v>
      </c>
      <c r="AM120" s="45">
        <v>2.91</v>
      </c>
      <c r="AN120" s="45">
        <v>0.0</v>
      </c>
      <c r="AO120" s="45" t="s">
        <v>27</v>
      </c>
      <c r="AQ120" s="45" t="s">
        <v>1011</v>
      </c>
      <c r="AT120" s="45" t="s">
        <v>1012</v>
      </c>
    </row>
    <row r="121">
      <c r="A121" s="107"/>
      <c r="B121" s="108" t="s">
        <v>372</v>
      </c>
      <c r="C121" s="109" t="s">
        <v>1876</v>
      </c>
      <c r="D121" s="108" t="s">
        <v>1498</v>
      </c>
      <c r="E121" s="108" t="s">
        <v>373</v>
      </c>
      <c r="F121" s="108">
        <v>0.0</v>
      </c>
      <c r="G121" s="110">
        <v>7.24056E11</v>
      </c>
      <c r="H121" s="111" t="s">
        <v>1003</v>
      </c>
      <c r="I121" s="111" t="s">
        <v>1003</v>
      </c>
      <c r="J121" s="111" t="s">
        <v>1003</v>
      </c>
      <c r="K121" s="108" t="s">
        <v>1003</v>
      </c>
      <c r="L121" s="112" t="s">
        <v>1877</v>
      </c>
      <c r="M121" s="106">
        <v>11065.0</v>
      </c>
      <c r="N121" s="113">
        <v>0.0</v>
      </c>
      <c r="O121" s="114">
        <v>37895.0</v>
      </c>
      <c r="P121" s="106" t="s">
        <v>60</v>
      </c>
      <c r="Q121" s="45" t="s">
        <v>1006</v>
      </c>
      <c r="R121" s="45">
        <v>100.0</v>
      </c>
      <c r="S121" s="45">
        <v>2019.0</v>
      </c>
      <c r="T121" s="45">
        <v>97.2</v>
      </c>
      <c r="U121" s="45">
        <v>2021.0</v>
      </c>
      <c r="V121" s="45">
        <v>9.33</v>
      </c>
      <c r="W121" s="45">
        <v>88.3</v>
      </c>
      <c r="X121" s="45">
        <v>2025.0</v>
      </c>
      <c r="Y121" s="45">
        <v>0.0</v>
      </c>
      <c r="Z121" s="45">
        <v>0.0</v>
      </c>
      <c r="AA121" s="45" t="s">
        <v>1878</v>
      </c>
      <c r="AB121" s="45" t="s">
        <v>1879</v>
      </c>
      <c r="AC121" s="45">
        <v>9.121968826E9</v>
      </c>
      <c r="AD121" s="45">
        <v>9.490003804E9</v>
      </c>
      <c r="AE121" s="45" t="s">
        <v>374</v>
      </c>
      <c r="AF121" s="45">
        <v>0.0</v>
      </c>
      <c r="AG121" s="45" t="s">
        <v>1880</v>
      </c>
      <c r="AH121" s="45" t="s">
        <v>1881</v>
      </c>
      <c r="AI121" s="45">
        <v>9.41</v>
      </c>
      <c r="AJ121" s="45">
        <v>9.17</v>
      </c>
      <c r="AK121" s="45">
        <v>8.48</v>
      </c>
      <c r="AL121" s="45">
        <v>0.0</v>
      </c>
      <c r="AM121" s="45">
        <v>9.27</v>
      </c>
      <c r="AN121" s="45">
        <v>9.33</v>
      </c>
      <c r="AO121" s="45" t="s">
        <v>28</v>
      </c>
      <c r="AQ121" s="45" t="s">
        <v>1011</v>
      </c>
      <c r="AT121" s="45" t="s">
        <v>1028</v>
      </c>
    </row>
    <row r="122">
      <c r="A122" s="107"/>
      <c r="B122" s="108" t="s">
        <v>375</v>
      </c>
      <c r="C122" s="109" t="s">
        <v>1882</v>
      </c>
      <c r="D122" s="108" t="s">
        <v>1883</v>
      </c>
      <c r="E122" s="108" t="s">
        <v>376</v>
      </c>
      <c r="F122" s="108">
        <v>0.0</v>
      </c>
      <c r="G122" s="110">
        <v>4.11547E11</v>
      </c>
      <c r="H122" s="111" t="s">
        <v>1003</v>
      </c>
      <c r="I122" s="111" t="s">
        <v>1003</v>
      </c>
      <c r="J122" s="111" t="s">
        <v>1003</v>
      </c>
      <c r="K122" s="108" t="s">
        <v>1003</v>
      </c>
      <c r="L122" s="112" t="s">
        <v>1047</v>
      </c>
      <c r="M122" s="106">
        <v>0.0</v>
      </c>
      <c r="N122" s="113">
        <v>0.0</v>
      </c>
      <c r="O122" s="106" t="s">
        <v>1884</v>
      </c>
      <c r="P122" s="106" t="s">
        <v>46</v>
      </c>
      <c r="Q122" s="45" t="s">
        <v>1006</v>
      </c>
      <c r="R122" s="45">
        <v>82.0</v>
      </c>
      <c r="S122" s="45">
        <v>2019.0</v>
      </c>
      <c r="T122" s="45">
        <v>85.0</v>
      </c>
      <c r="U122" s="45">
        <v>2021.0</v>
      </c>
      <c r="V122" s="45">
        <v>0.0</v>
      </c>
      <c r="W122" s="45">
        <v>-5.0</v>
      </c>
      <c r="X122" s="45">
        <v>2025.0</v>
      </c>
      <c r="Y122" s="45">
        <v>2.0</v>
      </c>
      <c r="Z122" s="45">
        <v>2.0</v>
      </c>
      <c r="AA122" s="45" t="s">
        <v>1885</v>
      </c>
      <c r="AB122" s="45" t="s">
        <v>1886</v>
      </c>
      <c r="AC122" s="45">
        <v>6.303155181E9</v>
      </c>
      <c r="AD122" s="45">
        <v>9.676264899E9</v>
      </c>
      <c r="AE122" s="45">
        <v>0.0</v>
      </c>
      <c r="AF122" s="45">
        <v>0.0</v>
      </c>
      <c r="AG122" s="45" t="s">
        <v>1887</v>
      </c>
      <c r="AH122" s="45" t="s">
        <v>1888</v>
      </c>
      <c r="AI122" s="45">
        <v>7.49</v>
      </c>
      <c r="AJ122" s="45">
        <v>0.0</v>
      </c>
      <c r="AK122" s="45">
        <v>0.0</v>
      </c>
      <c r="AL122" s="45">
        <v>0.0</v>
      </c>
      <c r="AM122" s="45">
        <v>6.89</v>
      </c>
      <c r="AN122" s="45">
        <v>0.0</v>
      </c>
      <c r="AO122" s="45" t="s">
        <v>28</v>
      </c>
      <c r="AQ122" s="45" t="s">
        <v>1011</v>
      </c>
      <c r="AT122" s="45" t="s">
        <v>1012</v>
      </c>
    </row>
    <row r="123">
      <c r="A123" s="107"/>
      <c r="B123" s="108" t="s">
        <v>377</v>
      </c>
      <c r="C123" s="109" t="s">
        <v>1889</v>
      </c>
      <c r="D123" s="108" t="s">
        <v>1890</v>
      </c>
      <c r="E123" s="108" t="s">
        <v>378</v>
      </c>
      <c r="F123" s="108">
        <v>0.0</v>
      </c>
      <c r="G123" s="110">
        <v>2.79069E11</v>
      </c>
      <c r="H123" s="111" t="s">
        <v>1003</v>
      </c>
      <c r="I123" s="111" t="s">
        <v>1003</v>
      </c>
      <c r="J123" s="111" t="s">
        <v>1003</v>
      </c>
      <c r="K123" s="108" t="s">
        <v>1003</v>
      </c>
      <c r="L123" s="112" t="s">
        <v>1891</v>
      </c>
      <c r="M123" s="106">
        <v>5391.0</v>
      </c>
      <c r="N123" s="113">
        <v>0.0</v>
      </c>
      <c r="O123" s="114">
        <v>38116.0</v>
      </c>
      <c r="P123" s="106" t="s">
        <v>46</v>
      </c>
      <c r="Q123" s="45" t="s">
        <v>1006</v>
      </c>
      <c r="R123" s="45">
        <v>95.0</v>
      </c>
      <c r="S123" s="45">
        <v>2019.0</v>
      </c>
      <c r="T123" s="45">
        <v>95.4</v>
      </c>
      <c r="U123" s="45">
        <v>2021.0</v>
      </c>
      <c r="V123" s="45">
        <v>9.13</v>
      </c>
      <c r="W123" s="45">
        <v>86.3</v>
      </c>
      <c r="X123" s="45">
        <v>2025.0</v>
      </c>
      <c r="Y123" s="45">
        <v>0.0</v>
      </c>
      <c r="Z123" s="45">
        <v>0.0</v>
      </c>
      <c r="AA123" s="45" t="s">
        <v>1892</v>
      </c>
      <c r="AB123" s="45" t="s">
        <v>1893</v>
      </c>
      <c r="AC123" s="45">
        <v>9.390783389E9</v>
      </c>
      <c r="AD123" s="45">
        <v>9.493469577E9</v>
      </c>
      <c r="AE123" s="45" t="s">
        <v>57</v>
      </c>
      <c r="AF123" s="45" t="s">
        <v>61</v>
      </c>
      <c r="AG123" s="45" t="s">
        <v>1894</v>
      </c>
      <c r="AH123" s="45" t="s">
        <v>1895</v>
      </c>
      <c r="AI123" s="45">
        <v>9.27</v>
      </c>
      <c r="AJ123" s="45">
        <v>9.37</v>
      </c>
      <c r="AK123" s="45">
        <v>9.0</v>
      </c>
      <c r="AL123" s="45">
        <v>0.0</v>
      </c>
      <c r="AM123" s="45">
        <v>9.17</v>
      </c>
      <c r="AN123" s="45">
        <v>9.13</v>
      </c>
      <c r="AO123" s="45" t="s">
        <v>28</v>
      </c>
      <c r="AQ123" s="45" t="s">
        <v>1011</v>
      </c>
      <c r="AT123" s="45" t="s">
        <v>1028</v>
      </c>
    </row>
    <row r="124">
      <c r="A124" s="107"/>
      <c r="B124" s="108" t="s">
        <v>379</v>
      </c>
      <c r="C124" s="109" t="s">
        <v>1896</v>
      </c>
      <c r="D124" s="108" t="s">
        <v>1897</v>
      </c>
      <c r="E124" s="108" t="s">
        <v>380</v>
      </c>
      <c r="F124" s="108">
        <v>0.0</v>
      </c>
      <c r="G124" s="110">
        <v>3.40833E11</v>
      </c>
      <c r="H124" s="111" t="s">
        <v>1003</v>
      </c>
      <c r="I124" s="111" t="s">
        <v>1003</v>
      </c>
      <c r="J124" s="111" t="s">
        <v>1003</v>
      </c>
      <c r="K124" s="108" t="s">
        <v>1003</v>
      </c>
      <c r="L124" s="112" t="s">
        <v>1031</v>
      </c>
      <c r="M124" s="106">
        <v>9528.0</v>
      </c>
      <c r="N124" s="113">
        <v>0.0</v>
      </c>
      <c r="O124" s="106" t="s">
        <v>1898</v>
      </c>
      <c r="P124" s="106" t="s">
        <v>46</v>
      </c>
      <c r="Q124" s="45" t="s">
        <v>1006</v>
      </c>
      <c r="R124" s="45">
        <v>98.0</v>
      </c>
      <c r="S124" s="45">
        <v>2019.0</v>
      </c>
      <c r="T124" s="45">
        <v>90.8</v>
      </c>
      <c r="U124" s="45">
        <v>2021.0</v>
      </c>
      <c r="V124" s="45">
        <v>8.22</v>
      </c>
      <c r="W124" s="45">
        <v>77.2</v>
      </c>
      <c r="X124" s="45">
        <v>2025.0</v>
      </c>
      <c r="Y124" s="45">
        <v>0.0</v>
      </c>
      <c r="Z124" s="45">
        <v>0.0</v>
      </c>
      <c r="AA124" s="45" t="s">
        <v>1899</v>
      </c>
      <c r="AB124" s="45" t="s">
        <v>1900</v>
      </c>
      <c r="AC124" s="45">
        <v>7.675023525E9</v>
      </c>
      <c r="AD124" s="45">
        <v>9.86600191E9</v>
      </c>
      <c r="AE124" s="45" t="s">
        <v>83</v>
      </c>
      <c r="AF124" s="45">
        <v>0.0</v>
      </c>
      <c r="AG124" s="45" t="s">
        <v>1901</v>
      </c>
      <c r="AH124" s="45" t="s">
        <v>1902</v>
      </c>
      <c r="AI124" s="45">
        <v>7.84</v>
      </c>
      <c r="AJ124" s="45">
        <v>8.1</v>
      </c>
      <c r="AK124" s="45">
        <v>8.32</v>
      </c>
      <c r="AL124" s="45">
        <v>0.0</v>
      </c>
      <c r="AM124" s="45">
        <v>8.2</v>
      </c>
      <c r="AN124" s="45">
        <v>8.22</v>
      </c>
      <c r="AO124" s="45" t="s">
        <v>28</v>
      </c>
      <c r="AQ124" s="45" t="s">
        <v>1011</v>
      </c>
      <c r="AT124" s="45" t="s">
        <v>1012</v>
      </c>
    </row>
    <row r="125">
      <c r="A125" s="107"/>
      <c r="B125" s="108" t="s">
        <v>381</v>
      </c>
      <c r="C125" s="109" t="s">
        <v>1903</v>
      </c>
      <c r="D125" s="108" t="s">
        <v>1904</v>
      </c>
      <c r="E125" s="108" t="s">
        <v>382</v>
      </c>
      <c r="F125" s="108">
        <v>0.0</v>
      </c>
      <c r="G125" s="110">
        <v>9.50195E11</v>
      </c>
      <c r="H125" s="111" t="s">
        <v>1003</v>
      </c>
      <c r="I125" s="111" t="s">
        <v>1003</v>
      </c>
      <c r="J125" s="111" t="s">
        <v>1003</v>
      </c>
      <c r="K125" s="108" t="s">
        <v>1003</v>
      </c>
      <c r="L125" s="112" t="s">
        <v>1479</v>
      </c>
      <c r="M125" s="106">
        <v>56708.0</v>
      </c>
      <c r="N125" s="113">
        <v>0.0</v>
      </c>
      <c r="O125" s="106" t="s">
        <v>1905</v>
      </c>
      <c r="P125" s="106" t="s">
        <v>46</v>
      </c>
      <c r="Q125" s="45" t="s">
        <v>1006</v>
      </c>
      <c r="R125" s="45">
        <v>80.0</v>
      </c>
      <c r="S125" s="45">
        <v>2019.0</v>
      </c>
      <c r="T125" s="45">
        <v>73.0</v>
      </c>
      <c r="U125" s="45">
        <v>2021.0</v>
      </c>
      <c r="V125" s="45">
        <v>0.0</v>
      </c>
      <c r="W125" s="45">
        <v>-5.0</v>
      </c>
      <c r="X125" s="45">
        <v>2025.0</v>
      </c>
      <c r="Y125" s="45">
        <v>1.0</v>
      </c>
      <c r="Z125" s="45">
        <v>10.0</v>
      </c>
      <c r="AA125" s="45" t="s">
        <v>1906</v>
      </c>
      <c r="AB125" s="45" t="s">
        <v>1907</v>
      </c>
      <c r="AC125" s="45">
        <v>8.096164717E9</v>
      </c>
      <c r="AD125" s="45">
        <v>9.912275745E9</v>
      </c>
      <c r="AE125" s="45">
        <v>0.0</v>
      </c>
      <c r="AF125" s="45">
        <v>0.0</v>
      </c>
      <c r="AG125" s="45" t="s">
        <v>1908</v>
      </c>
      <c r="AH125" s="45" t="s">
        <v>1909</v>
      </c>
      <c r="AI125" s="45">
        <v>0.0</v>
      </c>
      <c r="AJ125" s="45">
        <v>0.0</v>
      </c>
      <c r="AK125" s="45">
        <v>0.0</v>
      </c>
      <c r="AL125" s="45">
        <v>0.0</v>
      </c>
      <c r="AM125" s="45">
        <v>4.96</v>
      </c>
      <c r="AN125" s="45">
        <v>0.0</v>
      </c>
      <c r="AO125" s="45" t="s">
        <v>27</v>
      </c>
      <c r="AQ125" s="45" t="s">
        <v>1011</v>
      </c>
      <c r="AT125" s="45" t="s">
        <v>1012</v>
      </c>
    </row>
    <row r="126">
      <c r="A126" s="107"/>
      <c r="B126" s="108" t="s">
        <v>383</v>
      </c>
      <c r="C126" s="109" t="s">
        <v>1910</v>
      </c>
      <c r="D126" s="108" t="s">
        <v>1911</v>
      </c>
      <c r="E126" s="108" t="s">
        <v>384</v>
      </c>
      <c r="F126" s="108">
        <v>0.0</v>
      </c>
      <c r="G126" s="110">
        <v>5.83349E11</v>
      </c>
      <c r="H126" s="111" t="s">
        <v>1003</v>
      </c>
      <c r="I126" s="111">
        <v>994.0</v>
      </c>
      <c r="J126" s="111">
        <v>4965.0</v>
      </c>
      <c r="K126" s="108">
        <v>4707.0</v>
      </c>
      <c r="L126" s="112" t="s">
        <v>1912</v>
      </c>
      <c r="M126" s="106">
        <v>13726.0</v>
      </c>
      <c r="N126" s="113">
        <v>0.0</v>
      </c>
      <c r="O126" s="114">
        <v>37870.0</v>
      </c>
      <c r="P126" s="106" t="s">
        <v>60</v>
      </c>
      <c r="Q126" s="45" t="s">
        <v>1006</v>
      </c>
      <c r="R126" s="45">
        <v>100.0</v>
      </c>
      <c r="S126" s="45">
        <v>2019.0</v>
      </c>
      <c r="T126" s="45">
        <v>96.4</v>
      </c>
      <c r="U126" s="45">
        <v>2021.0</v>
      </c>
      <c r="V126" s="45">
        <v>9.17</v>
      </c>
      <c r="W126" s="45">
        <v>86.7</v>
      </c>
      <c r="X126" s="45">
        <v>2025.0</v>
      </c>
      <c r="Y126" s="45">
        <v>0.0</v>
      </c>
      <c r="Z126" s="45">
        <v>0.0</v>
      </c>
      <c r="AA126" s="45" t="s">
        <v>1913</v>
      </c>
      <c r="AB126" s="45" t="s">
        <v>1914</v>
      </c>
      <c r="AC126" s="45">
        <v>7.093919555E9</v>
      </c>
      <c r="AD126" s="45">
        <v>9.440627713E9</v>
      </c>
      <c r="AE126" s="45" t="s">
        <v>52</v>
      </c>
      <c r="AF126" s="45">
        <v>0.0</v>
      </c>
      <c r="AG126" s="45" t="s">
        <v>1915</v>
      </c>
      <c r="AH126" s="45" t="s">
        <v>1916</v>
      </c>
      <c r="AI126" s="45">
        <v>9.43</v>
      </c>
      <c r="AJ126" s="45">
        <v>9.07</v>
      </c>
      <c r="AK126" s="45">
        <v>9.14</v>
      </c>
      <c r="AL126" s="45">
        <v>0.0</v>
      </c>
      <c r="AM126" s="45">
        <v>9.2</v>
      </c>
      <c r="AN126" s="45">
        <v>9.17</v>
      </c>
      <c r="AO126" s="45" t="s">
        <v>27</v>
      </c>
      <c r="AQ126" s="45" t="s">
        <v>1011</v>
      </c>
      <c r="AT126" s="45" t="s">
        <v>1012</v>
      </c>
    </row>
    <row r="127">
      <c r="A127" s="107"/>
      <c r="B127" s="108" t="s">
        <v>385</v>
      </c>
      <c r="C127" s="109" t="s">
        <v>1773</v>
      </c>
      <c r="D127" s="108" t="s">
        <v>1917</v>
      </c>
      <c r="E127" s="108" t="s">
        <v>386</v>
      </c>
      <c r="F127" s="108">
        <v>0.0</v>
      </c>
      <c r="G127" s="110">
        <v>2.02148E11</v>
      </c>
      <c r="H127" s="111" t="s">
        <v>1003</v>
      </c>
      <c r="I127" s="111" t="s">
        <v>1003</v>
      </c>
      <c r="J127" s="111" t="s">
        <v>1003</v>
      </c>
      <c r="K127" s="108" t="s">
        <v>1003</v>
      </c>
      <c r="L127" s="112" t="s">
        <v>1918</v>
      </c>
      <c r="M127" s="106">
        <v>13529.0</v>
      </c>
      <c r="N127" s="113">
        <v>0.0</v>
      </c>
      <c r="O127" s="106" t="s">
        <v>1919</v>
      </c>
      <c r="P127" s="106" t="s">
        <v>60</v>
      </c>
      <c r="Q127" s="45" t="s">
        <v>1006</v>
      </c>
      <c r="R127" s="45">
        <v>98.0</v>
      </c>
      <c r="S127" s="45">
        <v>2019.0</v>
      </c>
      <c r="T127" s="45">
        <v>97.4</v>
      </c>
      <c r="U127" s="45">
        <v>2021.0</v>
      </c>
      <c r="V127" s="45">
        <v>9.18</v>
      </c>
      <c r="W127" s="45">
        <v>86.8</v>
      </c>
      <c r="X127" s="45">
        <v>2025.0</v>
      </c>
      <c r="Y127" s="45">
        <v>0.0</v>
      </c>
      <c r="Z127" s="45">
        <v>0.0</v>
      </c>
      <c r="AA127" s="45" t="s">
        <v>1920</v>
      </c>
      <c r="AB127" s="45" t="s">
        <v>1921</v>
      </c>
      <c r="AC127" s="45">
        <v>9.392740876E9</v>
      </c>
      <c r="AD127" s="45">
        <v>9.121207291E9</v>
      </c>
      <c r="AE127" s="45" t="s">
        <v>87</v>
      </c>
      <c r="AF127" s="45">
        <v>0.0</v>
      </c>
      <c r="AG127" s="45" t="s">
        <v>1922</v>
      </c>
      <c r="AH127" s="45" t="s">
        <v>1923</v>
      </c>
      <c r="AI127" s="45">
        <v>9.19</v>
      </c>
      <c r="AJ127" s="45">
        <v>9.24</v>
      </c>
      <c r="AK127" s="45">
        <v>8.86</v>
      </c>
      <c r="AL127" s="45">
        <v>0.0</v>
      </c>
      <c r="AM127" s="45">
        <v>9.19</v>
      </c>
      <c r="AN127" s="45">
        <v>9.18</v>
      </c>
      <c r="AO127" s="45" t="s">
        <v>28</v>
      </c>
      <c r="AQ127" s="45" t="s">
        <v>1011</v>
      </c>
      <c r="AT127" s="45" t="s">
        <v>1028</v>
      </c>
    </row>
    <row r="128">
      <c r="A128" s="107"/>
      <c r="B128" s="108" t="s">
        <v>387</v>
      </c>
      <c r="C128" s="109" t="s">
        <v>1924</v>
      </c>
      <c r="D128" s="108" t="s">
        <v>1925</v>
      </c>
      <c r="E128" s="108" t="s">
        <v>388</v>
      </c>
      <c r="F128" s="108">
        <v>0.0</v>
      </c>
      <c r="G128" s="110">
        <v>8.89505E11</v>
      </c>
      <c r="H128" s="111" t="s">
        <v>1003</v>
      </c>
      <c r="I128" s="111">
        <v>94.0</v>
      </c>
      <c r="J128" s="111" t="s">
        <v>1003</v>
      </c>
      <c r="K128" s="108" t="s">
        <v>1003</v>
      </c>
      <c r="L128" s="112" t="s">
        <v>1047</v>
      </c>
      <c r="M128" s="106">
        <v>42742.0</v>
      </c>
      <c r="N128" s="113">
        <v>0.0</v>
      </c>
      <c r="O128" s="114">
        <v>37844.0</v>
      </c>
      <c r="P128" s="106" t="s">
        <v>46</v>
      </c>
      <c r="Q128" s="45" t="s">
        <v>1006</v>
      </c>
      <c r="R128" s="45">
        <v>87.0</v>
      </c>
      <c r="S128" s="45">
        <v>2019.0</v>
      </c>
      <c r="T128" s="45">
        <v>62.0</v>
      </c>
      <c r="U128" s="45">
        <v>2021.0</v>
      </c>
      <c r="V128" s="45">
        <v>0.0</v>
      </c>
      <c r="W128" s="45">
        <v>-5.0</v>
      </c>
      <c r="X128" s="45">
        <v>2025.0</v>
      </c>
      <c r="Y128" s="45">
        <v>4.0</v>
      </c>
      <c r="Z128" s="45">
        <v>8.0</v>
      </c>
      <c r="AA128" s="45" t="s">
        <v>1926</v>
      </c>
      <c r="AB128" s="45" t="s">
        <v>1927</v>
      </c>
      <c r="AC128" s="45">
        <v>9.059180525E9</v>
      </c>
      <c r="AD128" s="45">
        <v>8.143449779E9</v>
      </c>
      <c r="AE128" s="45">
        <v>0.0</v>
      </c>
      <c r="AF128" s="45">
        <v>0.0</v>
      </c>
      <c r="AG128" s="45" t="s">
        <v>1928</v>
      </c>
      <c r="AH128" s="45" t="s">
        <v>1929</v>
      </c>
      <c r="AI128" s="45">
        <v>6.49</v>
      </c>
      <c r="AJ128" s="45">
        <v>0.0</v>
      </c>
      <c r="AK128" s="45">
        <v>0.0</v>
      </c>
      <c r="AL128" s="45">
        <v>0.0</v>
      </c>
      <c r="AM128" s="45">
        <v>5.04</v>
      </c>
      <c r="AN128" s="45">
        <v>0.0</v>
      </c>
      <c r="AO128" s="45" t="s">
        <v>28</v>
      </c>
      <c r="AQ128" s="45" t="s">
        <v>1011</v>
      </c>
      <c r="AT128" s="45" t="s">
        <v>1028</v>
      </c>
    </row>
    <row r="129">
      <c r="A129" s="107"/>
      <c r="B129" s="108" t="s">
        <v>389</v>
      </c>
      <c r="C129" s="109" t="s">
        <v>1930</v>
      </c>
      <c r="D129" s="108" t="s">
        <v>1883</v>
      </c>
      <c r="E129" s="108" t="s">
        <v>390</v>
      </c>
      <c r="F129" s="108">
        <v>0.0</v>
      </c>
      <c r="G129" s="110">
        <v>2.76795E11</v>
      </c>
      <c r="H129" s="111" t="s">
        <v>1003</v>
      </c>
      <c r="I129" s="111" t="s">
        <v>1003</v>
      </c>
      <c r="J129" s="111" t="s">
        <v>1003</v>
      </c>
      <c r="K129" s="108" t="s">
        <v>1003</v>
      </c>
      <c r="L129" s="112" t="s">
        <v>1931</v>
      </c>
      <c r="M129" s="106">
        <v>0.0</v>
      </c>
      <c r="N129" s="113">
        <v>0.0</v>
      </c>
      <c r="O129" s="106" t="s">
        <v>1932</v>
      </c>
      <c r="P129" s="106" t="s">
        <v>46</v>
      </c>
      <c r="Q129" s="45" t="s">
        <v>1006</v>
      </c>
      <c r="R129" s="45">
        <v>83.0</v>
      </c>
      <c r="S129" s="45">
        <v>2018.0</v>
      </c>
      <c r="T129" s="45">
        <v>80.0</v>
      </c>
      <c r="U129" s="45">
        <v>2020.0</v>
      </c>
      <c r="V129" s="45">
        <v>0.0</v>
      </c>
      <c r="W129" s="45">
        <v>-5.0</v>
      </c>
      <c r="X129" s="45">
        <v>2025.0</v>
      </c>
      <c r="Y129" s="45">
        <v>2.0</v>
      </c>
      <c r="Z129" s="45">
        <v>5.0</v>
      </c>
      <c r="AA129" s="45" t="s">
        <v>1933</v>
      </c>
      <c r="AB129" s="45" t="s">
        <v>1934</v>
      </c>
      <c r="AC129" s="45">
        <v>9.030713214E9</v>
      </c>
      <c r="AD129" s="45">
        <v>9.849050318E9</v>
      </c>
      <c r="AE129" s="45">
        <v>0.0</v>
      </c>
      <c r="AF129" s="45">
        <v>0.0</v>
      </c>
      <c r="AG129" s="45" t="s">
        <v>1935</v>
      </c>
      <c r="AH129" s="45" t="s">
        <v>1936</v>
      </c>
      <c r="AI129" s="45">
        <v>7.3</v>
      </c>
      <c r="AJ129" s="45">
        <v>6.34</v>
      </c>
      <c r="AK129" s="45">
        <v>0.0</v>
      </c>
      <c r="AL129" s="45">
        <v>0.0</v>
      </c>
      <c r="AM129" s="45">
        <v>6.02</v>
      </c>
      <c r="AN129" s="45">
        <v>0.0</v>
      </c>
      <c r="AO129" s="45" t="s">
        <v>28</v>
      </c>
      <c r="AQ129" s="45" t="s">
        <v>1011</v>
      </c>
      <c r="AT129" s="45" t="s">
        <v>1028</v>
      </c>
    </row>
    <row r="130">
      <c r="A130" s="107"/>
      <c r="B130" s="108" t="s">
        <v>391</v>
      </c>
      <c r="C130" s="109" t="s">
        <v>1937</v>
      </c>
      <c r="D130" s="108" t="s">
        <v>1938</v>
      </c>
      <c r="E130" s="108" t="s">
        <v>392</v>
      </c>
      <c r="F130" s="108">
        <v>0.0</v>
      </c>
      <c r="G130" s="110">
        <v>3.33127E11</v>
      </c>
      <c r="H130" s="111" t="s">
        <v>1003</v>
      </c>
      <c r="I130" s="111" t="s">
        <v>1003</v>
      </c>
      <c r="J130" s="111" t="s">
        <v>1003</v>
      </c>
      <c r="K130" s="108" t="s">
        <v>1003</v>
      </c>
      <c r="L130" s="112" t="s">
        <v>1939</v>
      </c>
      <c r="M130" s="106">
        <v>69007.0</v>
      </c>
      <c r="N130" s="113">
        <v>0.0</v>
      </c>
      <c r="O130" s="114">
        <v>38178.0</v>
      </c>
      <c r="P130" s="106" t="s">
        <v>46</v>
      </c>
      <c r="Q130" s="45" t="s">
        <v>1006</v>
      </c>
      <c r="R130" s="45">
        <v>93.0</v>
      </c>
      <c r="S130" s="45">
        <v>2019.0</v>
      </c>
      <c r="T130" s="45">
        <v>89.6</v>
      </c>
      <c r="U130" s="45">
        <v>2021.0</v>
      </c>
      <c r="V130" s="45">
        <v>0.0</v>
      </c>
      <c r="W130" s="45">
        <v>-5.0</v>
      </c>
      <c r="X130" s="45">
        <v>2025.0</v>
      </c>
      <c r="Y130" s="45">
        <v>1.0</v>
      </c>
      <c r="Z130" s="45">
        <v>1.0</v>
      </c>
      <c r="AA130" s="45" t="s">
        <v>1940</v>
      </c>
      <c r="AB130" s="45" t="s">
        <v>1941</v>
      </c>
      <c r="AC130" s="45">
        <v>7.702738796E9</v>
      </c>
      <c r="AD130" s="45">
        <v>7.013591896E9</v>
      </c>
      <c r="AE130" s="45">
        <v>0.0</v>
      </c>
      <c r="AF130" s="45">
        <v>0.0</v>
      </c>
      <c r="AG130" s="45" t="s">
        <v>1942</v>
      </c>
      <c r="AH130" s="45" t="s">
        <v>1943</v>
      </c>
      <c r="AI130" s="45">
        <v>7.51</v>
      </c>
      <c r="AJ130" s="45">
        <v>7.05</v>
      </c>
      <c r="AK130" s="45">
        <v>0.0</v>
      </c>
      <c r="AL130" s="45">
        <v>0.0</v>
      </c>
      <c r="AM130" s="45">
        <v>6.96</v>
      </c>
      <c r="AN130" s="45">
        <v>0.0</v>
      </c>
      <c r="AO130" s="45" t="s">
        <v>28</v>
      </c>
      <c r="AQ130" s="45" t="s">
        <v>1011</v>
      </c>
      <c r="AT130" s="45" t="s">
        <v>1028</v>
      </c>
    </row>
    <row r="131">
      <c r="A131" s="107"/>
      <c r="B131" s="108" t="s">
        <v>393</v>
      </c>
      <c r="C131" s="109" t="s">
        <v>1944</v>
      </c>
      <c r="D131" s="108" t="s">
        <v>1945</v>
      </c>
      <c r="E131" s="108" t="s">
        <v>394</v>
      </c>
      <c r="F131" s="108">
        <v>0.0</v>
      </c>
      <c r="G131" s="110">
        <v>4.83619E11</v>
      </c>
      <c r="H131" s="111" t="s">
        <v>1003</v>
      </c>
      <c r="I131" s="111">
        <v>281.0</v>
      </c>
      <c r="J131" s="111" t="s">
        <v>1003</v>
      </c>
      <c r="K131" s="108" t="s">
        <v>1003</v>
      </c>
      <c r="L131" s="112" t="s">
        <v>1946</v>
      </c>
      <c r="M131" s="106">
        <v>0.0</v>
      </c>
      <c r="N131" s="113">
        <v>0.0</v>
      </c>
      <c r="O131" s="106" t="s">
        <v>1311</v>
      </c>
      <c r="P131" s="106" t="s">
        <v>46</v>
      </c>
      <c r="Q131" s="45" t="s">
        <v>1006</v>
      </c>
      <c r="R131" s="45">
        <v>75.0</v>
      </c>
      <c r="S131" s="45">
        <v>2019.0</v>
      </c>
      <c r="T131" s="45">
        <v>92.0</v>
      </c>
      <c r="U131" s="45">
        <v>2021.0</v>
      </c>
      <c r="V131" s="45">
        <v>8.1</v>
      </c>
      <c r="W131" s="45">
        <v>76.0</v>
      </c>
      <c r="X131" s="45">
        <v>2025.0</v>
      </c>
      <c r="Y131" s="45">
        <v>0.0</v>
      </c>
      <c r="Z131" s="45">
        <v>0.0</v>
      </c>
      <c r="AA131" s="45" t="s">
        <v>1947</v>
      </c>
      <c r="AB131" s="45" t="s">
        <v>1948</v>
      </c>
      <c r="AC131" s="45">
        <v>7.989261753E9</v>
      </c>
      <c r="AD131" s="45">
        <v>9.440137284E9</v>
      </c>
      <c r="AE131" s="45">
        <v>0.0</v>
      </c>
      <c r="AF131" s="45">
        <v>0.0</v>
      </c>
      <c r="AG131" s="45" t="s">
        <v>1949</v>
      </c>
      <c r="AH131" s="45" t="s">
        <v>1950</v>
      </c>
      <c r="AI131" s="45">
        <v>8.05</v>
      </c>
      <c r="AJ131" s="45">
        <v>7.73</v>
      </c>
      <c r="AK131" s="45">
        <v>7.86</v>
      </c>
      <c r="AL131" s="45">
        <v>0.0</v>
      </c>
      <c r="AM131" s="45">
        <v>8.06</v>
      </c>
      <c r="AN131" s="45">
        <v>8.1</v>
      </c>
      <c r="AO131" s="45" t="s">
        <v>27</v>
      </c>
      <c r="AQ131" s="45" t="s">
        <v>1011</v>
      </c>
      <c r="AT131" s="45" t="s">
        <v>1028</v>
      </c>
    </row>
    <row r="132">
      <c r="A132" s="107"/>
      <c r="B132" s="108" t="s">
        <v>395</v>
      </c>
      <c r="C132" s="109" t="s">
        <v>1951</v>
      </c>
      <c r="D132" s="108" t="s">
        <v>1952</v>
      </c>
      <c r="E132" s="108" t="s">
        <v>396</v>
      </c>
      <c r="F132" s="108">
        <v>0.0</v>
      </c>
      <c r="G132" s="110">
        <v>2.89406E11</v>
      </c>
      <c r="H132" s="111" t="s">
        <v>1003</v>
      </c>
      <c r="I132" s="111" t="s">
        <v>1003</v>
      </c>
      <c r="J132" s="111" t="s">
        <v>1003</v>
      </c>
      <c r="K132" s="108" t="s">
        <v>1003</v>
      </c>
      <c r="L132" s="112" t="s">
        <v>1806</v>
      </c>
      <c r="M132" s="106">
        <v>32721.0</v>
      </c>
      <c r="N132" s="113">
        <v>0.0</v>
      </c>
      <c r="O132" s="106" t="s">
        <v>1953</v>
      </c>
      <c r="P132" s="106" t="s">
        <v>46</v>
      </c>
      <c r="Q132" s="45" t="s">
        <v>1006</v>
      </c>
      <c r="R132" s="45">
        <v>97.0</v>
      </c>
      <c r="S132" s="45">
        <v>2019.0</v>
      </c>
      <c r="T132" s="45">
        <v>97.6</v>
      </c>
      <c r="U132" s="45">
        <v>2021.0</v>
      </c>
      <c r="V132" s="45">
        <v>9.0</v>
      </c>
      <c r="W132" s="45">
        <v>85.0</v>
      </c>
      <c r="X132" s="45">
        <v>2025.0</v>
      </c>
      <c r="Y132" s="45">
        <v>0.0</v>
      </c>
      <c r="Z132" s="45">
        <v>0.0</v>
      </c>
      <c r="AA132" s="45" t="s">
        <v>1954</v>
      </c>
      <c r="AB132" s="45" t="s">
        <v>1955</v>
      </c>
      <c r="AC132" s="45">
        <v>6.302669764E9</v>
      </c>
      <c r="AD132" s="45">
        <v>9.652665419E9</v>
      </c>
      <c r="AE132" s="45">
        <v>0.0</v>
      </c>
      <c r="AF132" s="45">
        <v>0.0</v>
      </c>
      <c r="AG132" s="45" t="s">
        <v>1956</v>
      </c>
      <c r="AH132" s="45" t="s">
        <v>1957</v>
      </c>
      <c r="AI132" s="45">
        <v>8.68</v>
      </c>
      <c r="AJ132" s="45">
        <v>8.32</v>
      </c>
      <c r="AK132" s="45">
        <v>9.14</v>
      </c>
      <c r="AL132" s="45">
        <v>0.0</v>
      </c>
      <c r="AM132" s="45">
        <v>8.95</v>
      </c>
      <c r="AN132" s="45">
        <v>9.0</v>
      </c>
      <c r="AO132" s="45" t="s">
        <v>27</v>
      </c>
      <c r="AQ132" s="45" t="s">
        <v>1011</v>
      </c>
      <c r="AT132" s="45" t="s">
        <v>1012</v>
      </c>
    </row>
    <row r="133">
      <c r="A133" s="107"/>
      <c r="B133" s="108" t="s">
        <v>397</v>
      </c>
      <c r="C133" s="109" t="s">
        <v>1958</v>
      </c>
      <c r="D133" s="108" t="s">
        <v>1959</v>
      </c>
      <c r="E133" s="108" t="s">
        <v>398</v>
      </c>
      <c r="F133" s="108">
        <v>0.0</v>
      </c>
      <c r="G133" s="110">
        <v>9.03111E11</v>
      </c>
      <c r="H133" s="111" t="s">
        <v>1003</v>
      </c>
      <c r="I133" s="111">
        <v>595.0</v>
      </c>
      <c r="J133" s="111" t="s">
        <v>1003</v>
      </c>
      <c r="K133" s="108" t="s">
        <v>1003</v>
      </c>
      <c r="L133" s="112" t="s">
        <v>1960</v>
      </c>
      <c r="M133" s="106">
        <v>14206.0</v>
      </c>
      <c r="N133" s="113">
        <v>0.0</v>
      </c>
      <c r="O133" s="114">
        <v>38385.0</v>
      </c>
      <c r="P133" s="106" t="s">
        <v>60</v>
      </c>
      <c r="Q133" s="45" t="s">
        <v>1006</v>
      </c>
      <c r="R133" s="45">
        <v>97.0</v>
      </c>
      <c r="S133" s="45">
        <v>2019.0</v>
      </c>
      <c r="T133" s="45">
        <v>95.0</v>
      </c>
      <c r="U133" s="45">
        <v>2021.0</v>
      </c>
      <c r="V133" s="45">
        <v>8.56</v>
      </c>
      <c r="W133" s="45">
        <v>80.6</v>
      </c>
      <c r="X133" s="45">
        <v>2025.0</v>
      </c>
      <c r="Y133" s="45">
        <v>0.0</v>
      </c>
      <c r="Z133" s="45">
        <v>0.0</v>
      </c>
      <c r="AA133" s="45" t="s">
        <v>1961</v>
      </c>
      <c r="AB133" s="45" t="s">
        <v>1962</v>
      </c>
      <c r="AC133" s="45">
        <v>9.398173395E9</v>
      </c>
      <c r="AD133" s="45">
        <v>9.3945566E9</v>
      </c>
      <c r="AE133" s="45">
        <v>0.0</v>
      </c>
      <c r="AF133" s="45">
        <v>0.0</v>
      </c>
      <c r="AG133" s="45" t="s">
        <v>1963</v>
      </c>
      <c r="AH133" s="45" t="s">
        <v>1964</v>
      </c>
      <c r="AI133" s="45">
        <v>8.76</v>
      </c>
      <c r="AJ133" s="45">
        <v>8.46</v>
      </c>
      <c r="AK133" s="45">
        <v>8.2</v>
      </c>
      <c r="AL133" s="45">
        <v>0.0</v>
      </c>
      <c r="AM133" s="45">
        <v>8.54</v>
      </c>
      <c r="AN133" s="45">
        <v>8.56</v>
      </c>
      <c r="AO133" s="45" t="s">
        <v>28</v>
      </c>
      <c r="AQ133" s="45" t="s">
        <v>1011</v>
      </c>
      <c r="AT133" s="45" t="s">
        <v>1028</v>
      </c>
    </row>
    <row r="134">
      <c r="A134" s="107"/>
      <c r="B134" s="108" t="s">
        <v>399</v>
      </c>
      <c r="C134" s="109" t="s">
        <v>1965</v>
      </c>
      <c r="D134" s="108" t="s">
        <v>1883</v>
      </c>
      <c r="E134" s="108" t="s">
        <v>400</v>
      </c>
      <c r="F134" s="108">
        <v>0.0</v>
      </c>
      <c r="G134" s="110">
        <v>6.9436E11</v>
      </c>
      <c r="H134" s="111" t="s">
        <v>1003</v>
      </c>
      <c r="I134" s="111" t="s">
        <v>1003</v>
      </c>
      <c r="J134" s="111" t="s">
        <v>1003</v>
      </c>
      <c r="K134" s="108" t="s">
        <v>1003</v>
      </c>
      <c r="L134" s="112" t="s">
        <v>1966</v>
      </c>
      <c r="M134" s="106">
        <v>35000.0</v>
      </c>
      <c r="N134" s="113">
        <v>0.0</v>
      </c>
      <c r="O134" s="106" t="s">
        <v>1967</v>
      </c>
      <c r="P134" s="106" t="s">
        <v>46</v>
      </c>
      <c r="Q134" s="45" t="s">
        <v>1006</v>
      </c>
      <c r="R134" s="45">
        <v>95.0</v>
      </c>
      <c r="S134" s="45">
        <v>2019.0</v>
      </c>
      <c r="T134" s="45">
        <v>78.0</v>
      </c>
      <c r="U134" s="45">
        <v>2021.0</v>
      </c>
      <c r="V134" s="45">
        <v>7.38</v>
      </c>
      <c r="W134" s="45">
        <v>68.8</v>
      </c>
      <c r="X134" s="45">
        <v>2025.0</v>
      </c>
      <c r="Y134" s="45">
        <v>0.0</v>
      </c>
      <c r="Z134" s="45">
        <v>1.0</v>
      </c>
      <c r="AA134" s="45" t="s">
        <v>1968</v>
      </c>
      <c r="AB134" s="45" t="s">
        <v>1969</v>
      </c>
      <c r="AC134" s="45">
        <v>9.398584324E9</v>
      </c>
      <c r="AD134" s="45">
        <v>9.948752639E9</v>
      </c>
      <c r="AE134" s="45" t="s">
        <v>401</v>
      </c>
      <c r="AF134" s="45" t="s">
        <v>440</v>
      </c>
      <c r="AG134" s="45" t="s">
        <v>1970</v>
      </c>
      <c r="AH134" s="45" t="s">
        <v>1971</v>
      </c>
      <c r="AI134" s="45">
        <v>7.49</v>
      </c>
      <c r="AJ134" s="45">
        <v>7.8</v>
      </c>
      <c r="AK134" s="45">
        <v>7.35</v>
      </c>
      <c r="AL134" s="45">
        <v>7.13</v>
      </c>
      <c r="AM134" s="45">
        <v>7.08</v>
      </c>
      <c r="AN134" s="45">
        <v>7.39</v>
      </c>
      <c r="AO134" s="45" t="s">
        <v>28</v>
      </c>
      <c r="AQ134" s="45" t="s">
        <v>1011</v>
      </c>
      <c r="AT134" s="45" t="s">
        <v>1028</v>
      </c>
    </row>
    <row r="135">
      <c r="A135" s="107"/>
      <c r="B135" s="108" t="s">
        <v>402</v>
      </c>
      <c r="C135" s="109" t="s">
        <v>1972</v>
      </c>
      <c r="D135" s="108" t="s">
        <v>1973</v>
      </c>
      <c r="E135" s="108" t="s">
        <v>403</v>
      </c>
      <c r="F135" s="108">
        <v>0.0</v>
      </c>
      <c r="G135" s="110">
        <v>6.13052E11</v>
      </c>
      <c r="H135" s="111" t="s">
        <v>1003</v>
      </c>
      <c r="I135" s="111" t="s">
        <v>1003</v>
      </c>
      <c r="J135" s="111" t="s">
        <v>1003</v>
      </c>
      <c r="K135" s="108" t="s">
        <v>1003</v>
      </c>
      <c r="L135" s="112" t="s">
        <v>1974</v>
      </c>
      <c r="M135" s="106">
        <v>0.0</v>
      </c>
      <c r="N135" s="113">
        <v>0.0</v>
      </c>
      <c r="O135" s="106" t="s">
        <v>1975</v>
      </c>
      <c r="P135" s="106" t="s">
        <v>46</v>
      </c>
      <c r="Q135" s="45" t="s">
        <v>1006</v>
      </c>
      <c r="R135" s="45">
        <v>82.0</v>
      </c>
      <c r="S135" s="45">
        <v>2019.0</v>
      </c>
      <c r="T135" s="45">
        <v>96.0</v>
      </c>
      <c r="U135" s="45">
        <v>2021.0</v>
      </c>
      <c r="V135" s="45">
        <v>8.47</v>
      </c>
      <c r="W135" s="45">
        <v>79.7</v>
      </c>
      <c r="X135" s="45">
        <v>2025.0</v>
      </c>
      <c r="Y135" s="45">
        <v>0.0</v>
      </c>
      <c r="Z135" s="45">
        <v>0.0</v>
      </c>
      <c r="AA135" s="45" t="s">
        <v>1976</v>
      </c>
      <c r="AB135" s="45" t="s">
        <v>1977</v>
      </c>
      <c r="AC135" s="45">
        <v>8.856844331E9</v>
      </c>
      <c r="AD135" s="45">
        <v>9.177277766E9</v>
      </c>
      <c r="AE135" s="45" t="s">
        <v>52</v>
      </c>
      <c r="AF135" s="45">
        <v>0.0</v>
      </c>
      <c r="AG135" s="45" t="s">
        <v>1978</v>
      </c>
      <c r="AH135" s="45" t="s">
        <v>1979</v>
      </c>
      <c r="AI135" s="45">
        <v>9.11</v>
      </c>
      <c r="AJ135" s="45">
        <v>8.56</v>
      </c>
      <c r="AK135" s="45">
        <v>7.73</v>
      </c>
      <c r="AL135" s="45">
        <v>0.0</v>
      </c>
      <c r="AM135" s="45">
        <v>8.41</v>
      </c>
      <c r="AN135" s="45">
        <v>8.47</v>
      </c>
      <c r="AO135" s="45" t="s">
        <v>27</v>
      </c>
      <c r="AQ135" s="45" t="s">
        <v>1011</v>
      </c>
      <c r="AT135" s="45" t="s">
        <v>1028</v>
      </c>
    </row>
    <row r="136">
      <c r="A136" s="107"/>
      <c r="B136" s="108" t="s">
        <v>404</v>
      </c>
      <c r="C136" s="109" t="s">
        <v>1980</v>
      </c>
      <c r="D136" s="108" t="s">
        <v>1981</v>
      </c>
      <c r="E136" s="108" t="s">
        <v>405</v>
      </c>
      <c r="F136" s="108">
        <v>0.0</v>
      </c>
      <c r="G136" s="110">
        <v>2.51704E11</v>
      </c>
      <c r="H136" s="111" t="s">
        <v>1003</v>
      </c>
      <c r="I136" s="111" t="s">
        <v>1003</v>
      </c>
      <c r="J136" s="111" t="s">
        <v>1003</v>
      </c>
      <c r="K136" s="108" t="s">
        <v>1003</v>
      </c>
      <c r="L136" s="117" t="s">
        <v>1982</v>
      </c>
      <c r="M136" s="106">
        <v>0.0</v>
      </c>
      <c r="N136" s="113">
        <v>0.0</v>
      </c>
      <c r="O136" s="106" t="s">
        <v>1983</v>
      </c>
      <c r="P136" s="106" t="s">
        <v>60</v>
      </c>
      <c r="Q136" s="45" t="s">
        <v>1006</v>
      </c>
      <c r="R136" s="45">
        <v>93.0</v>
      </c>
      <c r="S136" s="45">
        <v>2019.0</v>
      </c>
      <c r="T136" s="45">
        <v>92.8</v>
      </c>
      <c r="U136" s="45">
        <v>2021.0</v>
      </c>
      <c r="V136" s="45">
        <v>8.35</v>
      </c>
      <c r="W136" s="45">
        <v>78.5</v>
      </c>
      <c r="X136" s="45">
        <v>2025.0</v>
      </c>
      <c r="Y136" s="45">
        <v>0.0</v>
      </c>
      <c r="Z136" s="45">
        <v>0.0</v>
      </c>
      <c r="AA136" s="45" t="s">
        <v>1984</v>
      </c>
      <c r="AB136" s="45" t="s">
        <v>1985</v>
      </c>
      <c r="AC136" s="45">
        <v>9.032824149E9</v>
      </c>
      <c r="AD136" s="45">
        <v>9.84916299E9</v>
      </c>
      <c r="AE136" s="45" t="s">
        <v>406</v>
      </c>
      <c r="AF136" s="45">
        <v>0.0</v>
      </c>
      <c r="AG136" s="45" t="s">
        <v>1986</v>
      </c>
      <c r="AH136" s="45" t="s">
        <v>1987</v>
      </c>
      <c r="AI136" s="45">
        <v>8.49</v>
      </c>
      <c r="AJ136" s="45">
        <v>8.17</v>
      </c>
      <c r="AK136" s="45">
        <v>7.98</v>
      </c>
      <c r="AL136" s="45">
        <v>0.0</v>
      </c>
      <c r="AM136" s="45">
        <v>8.33</v>
      </c>
      <c r="AN136" s="45">
        <v>8.35</v>
      </c>
      <c r="AO136" s="45" t="s">
        <v>27</v>
      </c>
      <c r="AQ136" s="45" t="s">
        <v>1011</v>
      </c>
      <c r="AT136" s="45" t="s">
        <v>1012</v>
      </c>
    </row>
    <row r="137">
      <c r="A137" s="107"/>
      <c r="B137" s="108" t="s">
        <v>407</v>
      </c>
      <c r="C137" s="109" t="s">
        <v>1988</v>
      </c>
      <c r="D137" s="108" t="s">
        <v>1989</v>
      </c>
      <c r="E137" s="108" t="s">
        <v>408</v>
      </c>
      <c r="F137" s="108">
        <v>0.0</v>
      </c>
      <c r="G137" s="110">
        <v>9.31614E11</v>
      </c>
      <c r="H137" s="111" t="s">
        <v>1003</v>
      </c>
      <c r="I137" s="111" t="s">
        <v>1003</v>
      </c>
      <c r="J137" s="111" t="s">
        <v>1003</v>
      </c>
      <c r="K137" s="108" t="s">
        <v>1003</v>
      </c>
      <c r="L137" s="112" t="s">
        <v>1990</v>
      </c>
      <c r="M137" s="106">
        <v>0.0</v>
      </c>
      <c r="N137" s="113">
        <v>0.0</v>
      </c>
      <c r="O137" s="114">
        <v>38026.0</v>
      </c>
      <c r="P137" s="106" t="s">
        <v>46</v>
      </c>
      <c r="Q137" s="45" t="s">
        <v>1006</v>
      </c>
      <c r="R137" s="45">
        <v>63.0</v>
      </c>
      <c r="S137" s="45">
        <v>2019.0</v>
      </c>
      <c r="T137" s="45">
        <v>92.0</v>
      </c>
      <c r="U137" s="45">
        <v>2021.0</v>
      </c>
      <c r="V137" s="45">
        <v>7.85</v>
      </c>
      <c r="W137" s="45">
        <v>73.5</v>
      </c>
      <c r="X137" s="45">
        <v>2025.0</v>
      </c>
      <c r="Y137" s="45">
        <v>0.0</v>
      </c>
      <c r="Z137" s="45">
        <v>1.0</v>
      </c>
      <c r="AA137" s="45" t="s">
        <v>1991</v>
      </c>
      <c r="AB137" s="45" t="s">
        <v>1992</v>
      </c>
      <c r="AC137" s="45">
        <v>9.966880756E9</v>
      </c>
      <c r="AD137" s="45">
        <v>9.885500737E9</v>
      </c>
      <c r="AE137" s="45" t="s">
        <v>271</v>
      </c>
      <c r="AF137" s="45">
        <v>0.0</v>
      </c>
      <c r="AG137" s="45" t="s">
        <v>1993</v>
      </c>
      <c r="AH137" s="45" t="s">
        <v>1994</v>
      </c>
      <c r="AI137" s="45">
        <v>8.24</v>
      </c>
      <c r="AJ137" s="45">
        <v>7.32</v>
      </c>
      <c r="AK137" s="45">
        <v>0.0</v>
      </c>
      <c r="AL137" s="45">
        <v>0.0</v>
      </c>
      <c r="AM137" s="45">
        <v>7.86</v>
      </c>
      <c r="AN137" s="45">
        <v>7.85</v>
      </c>
      <c r="AO137" s="45" t="s">
        <v>27</v>
      </c>
      <c r="AQ137" s="45" t="s">
        <v>1011</v>
      </c>
      <c r="AT137" s="45" t="s">
        <v>1012</v>
      </c>
    </row>
    <row r="138">
      <c r="A138" s="107"/>
      <c r="B138" s="108" t="s">
        <v>410</v>
      </c>
      <c r="C138" s="109" t="s">
        <v>1995</v>
      </c>
      <c r="D138" s="108" t="s">
        <v>1996</v>
      </c>
      <c r="E138" s="108" t="s">
        <v>411</v>
      </c>
      <c r="F138" s="108">
        <v>0.0</v>
      </c>
      <c r="G138" s="110">
        <v>8.48607E11</v>
      </c>
      <c r="H138" s="111" t="s">
        <v>1003</v>
      </c>
      <c r="I138" s="111" t="s">
        <v>1003</v>
      </c>
      <c r="J138" s="111" t="s">
        <v>1003</v>
      </c>
      <c r="K138" s="108" t="s">
        <v>1003</v>
      </c>
      <c r="L138" s="112" t="s">
        <v>1997</v>
      </c>
      <c r="M138" s="106">
        <v>9482.0</v>
      </c>
      <c r="N138" s="113">
        <v>0.0</v>
      </c>
      <c r="O138" s="114">
        <v>37934.0</v>
      </c>
      <c r="P138" s="106" t="s">
        <v>60</v>
      </c>
      <c r="Q138" s="45" t="s">
        <v>1006</v>
      </c>
      <c r="R138" s="45">
        <v>95.0</v>
      </c>
      <c r="S138" s="45">
        <v>2019.0</v>
      </c>
      <c r="T138" s="45">
        <v>95.8</v>
      </c>
      <c r="U138" s="45">
        <v>2021.0</v>
      </c>
      <c r="V138" s="45">
        <v>8.78</v>
      </c>
      <c r="W138" s="45">
        <v>82.8</v>
      </c>
      <c r="X138" s="45">
        <v>2025.0</v>
      </c>
      <c r="Y138" s="45">
        <v>0.0</v>
      </c>
      <c r="Z138" s="45">
        <v>0.0</v>
      </c>
      <c r="AA138" s="45" t="s">
        <v>1998</v>
      </c>
      <c r="AB138" s="45" t="s">
        <v>1999</v>
      </c>
      <c r="AC138" s="45">
        <v>9.059293538E9</v>
      </c>
      <c r="AD138" s="45">
        <v>9.848293538E9</v>
      </c>
      <c r="AE138" s="45">
        <v>0.0</v>
      </c>
      <c r="AF138" s="45">
        <v>0.0</v>
      </c>
      <c r="AG138" s="45" t="s">
        <v>2000</v>
      </c>
      <c r="AH138" s="45" t="s">
        <v>2001</v>
      </c>
      <c r="AI138" s="45">
        <v>8.65</v>
      </c>
      <c r="AJ138" s="45">
        <v>8.85</v>
      </c>
      <c r="AK138" s="45">
        <v>8.5</v>
      </c>
      <c r="AL138" s="45">
        <v>0.0</v>
      </c>
      <c r="AM138" s="45">
        <v>8.74</v>
      </c>
      <c r="AN138" s="45">
        <v>8.78</v>
      </c>
      <c r="AO138" s="45" t="s">
        <v>27</v>
      </c>
      <c r="AQ138" s="45" t="s">
        <v>1011</v>
      </c>
      <c r="AT138" s="45" t="s">
        <v>1028</v>
      </c>
    </row>
    <row r="139">
      <c r="A139" s="107"/>
      <c r="B139" s="108" t="s">
        <v>412</v>
      </c>
      <c r="C139" s="109" t="s">
        <v>2002</v>
      </c>
      <c r="D139" s="108" t="s">
        <v>2003</v>
      </c>
      <c r="E139" s="108" t="s">
        <v>413</v>
      </c>
      <c r="F139" s="108">
        <v>0.0</v>
      </c>
      <c r="G139" s="110">
        <v>2.87304E11</v>
      </c>
      <c r="H139" s="111" t="s">
        <v>1003</v>
      </c>
      <c r="I139" s="111" t="s">
        <v>1003</v>
      </c>
      <c r="J139" s="111" t="s">
        <v>1003</v>
      </c>
      <c r="K139" s="108" t="s">
        <v>1003</v>
      </c>
      <c r="L139" s="112" t="s">
        <v>1123</v>
      </c>
      <c r="M139" s="106">
        <v>0.0</v>
      </c>
      <c r="N139" s="113">
        <v>1397.0</v>
      </c>
      <c r="O139" s="106" t="s">
        <v>2004</v>
      </c>
      <c r="P139" s="106" t="s">
        <v>46</v>
      </c>
      <c r="Q139" s="45" t="s">
        <v>1006</v>
      </c>
      <c r="R139" s="45">
        <v>92.0</v>
      </c>
      <c r="S139" s="45">
        <v>2019.0</v>
      </c>
      <c r="T139" s="45">
        <v>72.0</v>
      </c>
      <c r="U139" s="45">
        <v>2022.0</v>
      </c>
      <c r="V139" s="45">
        <v>7.43</v>
      </c>
      <c r="W139" s="45">
        <v>69.3</v>
      </c>
      <c r="X139" s="45">
        <v>2025.0</v>
      </c>
      <c r="Y139" s="45">
        <v>0.0</v>
      </c>
      <c r="Z139" s="45">
        <v>0.0</v>
      </c>
      <c r="AA139" s="45" t="s">
        <v>2005</v>
      </c>
      <c r="AB139" s="45" t="s">
        <v>2006</v>
      </c>
      <c r="AC139" s="45">
        <v>9.014100865E9</v>
      </c>
      <c r="AD139" s="45">
        <v>9.121617631E9</v>
      </c>
      <c r="AE139" s="45">
        <v>0.0</v>
      </c>
      <c r="AF139" s="45">
        <v>0.0</v>
      </c>
      <c r="AG139" s="45" t="s">
        <v>2007</v>
      </c>
      <c r="AH139" s="45" t="s">
        <v>2008</v>
      </c>
      <c r="AI139" s="45">
        <v>0.0</v>
      </c>
      <c r="AJ139" s="45">
        <v>0.0</v>
      </c>
      <c r="AK139" s="45">
        <v>6.39</v>
      </c>
      <c r="AL139" s="45">
        <v>0.0</v>
      </c>
      <c r="AM139" s="45">
        <v>7.22</v>
      </c>
      <c r="AN139" s="45">
        <v>7.43</v>
      </c>
      <c r="AO139" s="45" t="s">
        <v>28</v>
      </c>
      <c r="AQ139" s="45" t="s">
        <v>1011</v>
      </c>
      <c r="AT139" s="45" t="s">
        <v>1012</v>
      </c>
    </row>
    <row r="140">
      <c r="A140" s="107"/>
      <c r="B140" s="108" t="s">
        <v>414</v>
      </c>
      <c r="C140" s="109" t="s">
        <v>2009</v>
      </c>
      <c r="D140" s="108" t="s">
        <v>2010</v>
      </c>
      <c r="E140" s="108" t="s">
        <v>415</v>
      </c>
      <c r="F140" s="108">
        <v>0.0</v>
      </c>
      <c r="G140" s="110">
        <v>8.82201E11</v>
      </c>
      <c r="H140" s="111" t="s">
        <v>1003</v>
      </c>
      <c r="I140" s="111" t="s">
        <v>1003</v>
      </c>
      <c r="J140" s="111" t="s">
        <v>1003</v>
      </c>
      <c r="K140" s="108" t="s">
        <v>1003</v>
      </c>
      <c r="L140" s="112" t="s">
        <v>2011</v>
      </c>
      <c r="M140" s="106">
        <v>0.0</v>
      </c>
      <c r="N140" s="113">
        <v>180.0</v>
      </c>
      <c r="O140" s="114">
        <v>38050.0</v>
      </c>
      <c r="P140" s="106" t="s">
        <v>46</v>
      </c>
      <c r="Q140" s="45" t="s">
        <v>1006</v>
      </c>
      <c r="R140" s="45">
        <v>100.0</v>
      </c>
      <c r="S140" s="45">
        <v>2019.0</v>
      </c>
      <c r="T140" s="45">
        <v>91.2</v>
      </c>
      <c r="U140" s="45">
        <v>2022.0</v>
      </c>
      <c r="V140" s="45">
        <v>8.73</v>
      </c>
      <c r="W140" s="45">
        <v>82.3</v>
      </c>
      <c r="X140" s="45">
        <v>2025.0</v>
      </c>
      <c r="Y140" s="45">
        <v>0.0</v>
      </c>
      <c r="Z140" s="45">
        <v>0.0</v>
      </c>
      <c r="AA140" s="45" t="s">
        <v>2012</v>
      </c>
      <c r="AB140" s="45" t="s">
        <v>2013</v>
      </c>
      <c r="AC140" s="45">
        <v>9.391433256E9</v>
      </c>
      <c r="AD140" s="45">
        <v>9.866770367E9</v>
      </c>
      <c r="AE140" s="45" t="s">
        <v>52</v>
      </c>
      <c r="AF140" s="45" t="s">
        <v>416</v>
      </c>
      <c r="AG140" s="45" t="s">
        <v>2014</v>
      </c>
      <c r="AH140" s="45" t="s">
        <v>2015</v>
      </c>
      <c r="AI140" s="45">
        <v>0.0</v>
      </c>
      <c r="AJ140" s="45">
        <v>0.0</v>
      </c>
      <c r="AK140" s="45">
        <v>8.27</v>
      </c>
      <c r="AL140" s="45">
        <v>0.0</v>
      </c>
      <c r="AM140" s="45">
        <v>8.64</v>
      </c>
      <c r="AN140" s="45">
        <v>8.67</v>
      </c>
      <c r="AO140" s="45" t="s">
        <v>27</v>
      </c>
      <c r="AQ140" s="45" t="s">
        <v>1011</v>
      </c>
      <c r="AT140" s="45" t="s">
        <v>1012</v>
      </c>
    </row>
    <row r="141">
      <c r="A141" s="107"/>
      <c r="B141" s="108" t="s">
        <v>417</v>
      </c>
      <c r="C141" s="109" t="s">
        <v>2016</v>
      </c>
      <c r="D141" s="108" t="s">
        <v>2017</v>
      </c>
      <c r="E141" s="108" t="s">
        <v>418</v>
      </c>
      <c r="F141" s="108">
        <v>0.0</v>
      </c>
      <c r="G141" s="110">
        <v>3.19661E11</v>
      </c>
      <c r="H141" s="111" t="s">
        <v>1003</v>
      </c>
      <c r="I141" s="111" t="s">
        <v>1003</v>
      </c>
      <c r="J141" s="111" t="s">
        <v>1003</v>
      </c>
      <c r="K141" s="108" t="s">
        <v>1003</v>
      </c>
      <c r="L141" s="112" t="s">
        <v>2018</v>
      </c>
      <c r="M141" s="106">
        <v>0.0</v>
      </c>
      <c r="N141" s="113">
        <v>774.0</v>
      </c>
      <c r="O141" s="114">
        <v>37626.0</v>
      </c>
      <c r="P141" s="106" t="s">
        <v>60</v>
      </c>
      <c r="Q141" s="45" t="s">
        <v>1006</v>
      </c>
      <c r="R141" s="45">
        <v>88.0</v>
      </c>
      <c r="S141" s="45">
        <v>2019.0</v>
      </c>
      <c r="T141" s="45">
        <v>91.0</v>
      </c>
      <c r="U141" s="45">
        <v>2022.0</v>
      </c>
      <c r="V141" s="45">
        <v>8.94</v>
      </c>
      <c r="W141" s="45">
        <v>84.4</v>
      </c>
      <c r="X141" s="45">
        <v>2025.0</v>
      </c>
      <c r="Y141" s="45">
        <v>0.0</v>
      </c>
      <c r="Z141" s="45">
        <v>0.0</v>
      </c>
      <c r="AA141" s="45" t="s">
        <v>2019</v>
      </c>
      <c r="AB141" s="45" t="s">
        <v>2020</v>
      </c>
      <c r="AC141" s="45">
        <v>8.977437191E9</v>
      </c>
      <c r="AD141" s="45">
        <v>9.618837191E9</v>
      </c>
      <c r="AE141" s="45">
        <v>0.0</v>
      </c>
      <c r="AF141" s="45">
        <v>0.0</v>
      </c>
      <c r="AG141" s="45" t="s">
        <v>2021</v>
      </c>
      <c r="AH141" s="45" t="s">
        <v>2022</v>
      </c>
      <c r="AI141" s="45">
        <v>0.0</v>
      </c>
      <c r="AJ141" s="45">
        <v>0.0</v>
      </c>
      <c r="AK141" s="45">
        <v>8.75</v>
      </c>
      <c r="AL141" s="45">
        <v>0.0</v>
      </c>
      <c r="AM141" s="45">
        <v>8.98</v>
      </c>
      <c r="AN141" s="45">
        <v>8.94</v>
      </c>
      <c r="AO141" s="45" t="s">
        <v>28</v>
      </c>
      <c r="AQ141" s="45" t="s">
        <v>1011</v>
      </c>
      <c r="AT141" s="45" t="s">
        <v>1028</v>
      </c>
    </row>
    <row r="142">
      <c r="A142" s="107"/>
      <c r="B142" s="108" t="s">
        <v>419</v>
      </c>
      <c r="C142" s="109" t="s">
        <v>2023</v>
      </c>
      <c r="D142" s="108" t="s">
        <v>2024</v>
      </c>
      <c r="E142" s="108" t="s">
        <v>420</v>
      </c>
      <c r="F142" s="108">
        <v>0.0</v>
      </c>
      <c r="G142" s="110">
        <v>4.43722E11</v>
      </c>
      <c r="H142" s="111" t="s">
        <v>1003</v>
      </c>
      <c r="I142" s="111">
        <v>840.0</v>
      </c>
      <c r="J142" s="111" t="s">
        <v>1003</v>
      </c>
      <c r="K142" s="108" t="s">
        <v>1003</v>
      </c>
      <c r="L142" s="112" t="s">
        <v>2025</v>
      </c>
      <c r="M142" s="106">
        <v>0.0</v>
      </c>
      <c r="N142" s="113">
        <v>427.0</v>
      </c>
      <c r="O142" s="106" t="s">
        <v>2026</v>
      </c>
      <c r="P142" s="106" t="s">
        <v>60</v>
      </c>
      <c r="Q142" s="45" t="s">
        <v>1006</v>
      </c>
      <c r="R142" s="45">
        <v>93.0</v>
      </c>
      <c r="S142" s="45">
        <v>2019.0</v>
      </c>
      <c r="T142" s="45">
        <v>94.0</v>
      </c>
      <c r="U142" s="45">
        <v>2022.0</v>
      </c>
      <c r="V142" s="45">
        <v>8.27</v>
      </c>
      <c r="W142" s="45">
        <v>77.7</v>
      </c>
      <c r="X142" s="45">
        <v>2025.0</v>
      </c>
      <c r="Y142" s="45">
        <v>0.0</v>
      </c>
      <c r="Z142" s="45">
        <v>0.0</v>
      </c>
      <c r="AA142" s="45" t="s">
        <v>2027</v>
      </c>
      <c r="AB142" s="45" t="s">
        <v>2028</v>
      </c>
      <c r="AC142" s="45">
        <v>9.701823397E9</v>
      </c>
      <c r="AD142" s="45">
        <v>8.466024424E9</v>
      </c>
      <c r="AE142" s="45" t="s">
        <v>421</v>
      </c>
      <c r="AF142" s="45">
        <v>0.0</v>
      </c>
      <c r="AG142" s="45" t="s">
        <v>2029</v>
      </c>
      <c r="AH142" s="45" t="s">
        <v>2030</v>
      </c>
      <c r="AI142" s="45">
        <v>0.0</v>
      </c>
      <c r="AJ142" s="45">
        <v>0.0</v>
      </c>
      <c r="AK142" s="45">
        <v>7.93</v>
      </c>
      <c r="AL142" s="45">
        <v>0.0</v>
      </c>
      <c r="AM142" s="45">
        <v>8.38</v>
      </c>
      <c r="AN142" s="45">
        <v>8.27</v>
      </c>
      <c r="AO142" s="45" t="s">
        <v>27</v>
      </c>
      <c r="AQ142" s="45" t="s">
        <v>1011</v>
      </c>
      <c r="AT142" s="45" t="s">
        <v>1028</v>
      </c>
    </row>
    <row r="143">
      <c r="A143" s="107"/>
      <c r="B143" s="108" t="s">
        <v>422</v>
      </c>
      <c r="C143" s="109" t="s">
        <v>2031</v>
      </c>
      <c r="D143" s="108" t="s">
        <v>2032</v>
      </c>
      <c r="E143" s="108" t="s">
        <v>423</v>
      </c>
      <c r="F143" s="108">
        <v>0.0</v>
      </c>
      <c r="G143" s="110">
        <v>8.58997E11</v>
      </c>
      <c r="H143" s="111" t="s">
        <v>1003</v>
      </c>
      <c r="I143" s="111" t="s">
        <v>1003</v>
      </c>
      <c r="J143" s="111" t="s">
        <v>1003</v>
      </c>
      <c r="K143" s="108" t="s">
        <v>1003</v>
      </c>
      <c r="L143" s="112" t="s">
        <v>2033</v>
      </c>
      <c r="M143" s="106">
        <v>0.0</v>
      </c>
      <c r="N143" s="113">
        <v>0.0</v>
      </c>
      <c r="O143" s="114">
        <v>37443.0</v>
      </c>
      <c r="P143" s="106" t="s">
        <v>46</v>
      </c>
      <c r="Q143" s="45" t="s">
        <v>1006</v>
      </c>
      <c r="R143" s="45">
        <v>83.0</v>
      </c>
      <c r="S143" s="45">
        <v>2018.0</v>
      </c>
      <c r="T143" s="45">
        <v>70.0</v>
      </c>
      <c r="U143" s="45">
        <v>2022.0</v>
      </c>
      <c r="V143" s="45">
        <v>7.75</v>
      </c>
      <c r="W143" s="45">
        <v>72.5</v>
      </c>
      <c r="X143" s="45">
        <v>2025.0</v>
      </c>
      <c r="Y143" s="45">
        <v>0.0</v>
      </c>
      <c r="Z143" s="45">
        <v>2.0</v>
      </c>
      <c r="AA143" s="45" t="s">
        <v>2034</v>
      </c>
      <c r="AB143" s="45" t="s">
        <v>2035</v>
      </c>
      <c r="AC143" s="45">
        <v>8.790571247E9</v>
      </c>
      <c r="AD143" s="45">
        <v>9.182471247E9</v>
      </c>
      <c r="AE143" s="45">
        <v>0.0</v>
      </c>
      <c r="AF143" s="45">
        <v>0.0</v>
      </c>
      <c r="AG143" s="45" t="s">
        <v>2036</v>
      </c>
      <c r="AH143" s="45" t="s">
        <v>423</v>
      </c>
      <c r="AI143" s="45">
        <v>0.0</v>
      </c>
      <c r="AJ143" s="45">
        <v>0.0</v>
      </c>
      <c r="AK143" s="45">
        <v>0.0</v>
      </c>
      <c r="AL143" s="45">
        <v>0.0</v>
      </c>
      <c r="AM143" s="45">
        <v>6.79</v>
      </c>
      <c r="AN143" s="45">
        <v>0.0</v>
      </c>
      <c r="AO143" s="45" t="s">
        <v>27</v>
      </c>
      <c r="AQ143" s="45" t="s">
        <v>1011</v>
      </c>
      <c r="AT143" s="45" t="s">
        <v>1012</v>
      </c>
    </row>
    <row r="144">
      <c r="A144" s="107"/>
      <c r="B144" s="108" t="s">
        <v>424</v>
      </c>
      <c r="C144" s="109" t="s">
        <v>2037</v>
      </c>
      <c r="D144" s="108" t="s">
        <v>2038</v>
      </c>
      <c r="E144" s="108" t="s">
        <v>425</v>
      </c>
      <c r="F144" s="108">
        <v>0.0</v>
      </c>
      <c r="G144" s="110">
        <v>7.50375E11</v>
      </c>
      <c r="H144" s="111" t="s">
        <v>1003</v>
      </c>
      <c r="I144" s="111">
        <v>-200.0</v>
      </c>
      <c r="J144" s="111" t="s">
        <v>1003</v>
      </c>
      <c r="K144" s="108" t="s">
        <v>1003</v>
      </c>
      <c r="L144" s="112" t="s">
        <v>2039</v>
      </c>
      <c r="M144" s="106">
        <v>0.0</v>
      </c>
      <c r="N144" s="113">
        <v>740.0</v>
      </c>
      <c r="O144" s="114">
        <v>38175.0</v>
      </c>
      <c r="P144" s="106" t="s">
        <v>60</v>
      </c>
      <c r="Q144" s="45" t="s">
        <v>1006</v>
      </c>
      <c r="R144" s="45">
        <v>82.0</v>
      </c>
      <c r="S144" s="45">
        <v>2019.0</v>
      </c>
      <c r="T144" s="45">
        <v>64.0</v>
      </c>
      <c r="U144" s="45">
        <v>2022.0</v>
      </c>
      <c r="V144" s="45">
        <v>0.0</v>
      </c>
      <c r="W144" s="45">
        <v>-5.0</v>
      </c>
      <c r="X144" s="45">
        <v>2025.0</v>
      </c>
      <c r="Y144" s="45">
        <v>0.0</v>
      </c>
      <c r="Z144" s="45">
        <v>2.0</v>
      </c>
      <c r="AA144" s="45" t="s">
        <v>2040</v>
      </c>
      <c r="AB144" s="45" t="s">
        <v>2041</v>
      </c>
      <c r="AC144" s="45">
        <v>9.550788684E9</v>
      </c>
      <c r="AD144" s="45">
        <v>8.019718868E9</v>
      </c>
      <c r="AE144" s="45">
        <v>0.0</v>
      </c>
      <c r="AF144" s="45">
        <v>0.0</v>
      </c>
      <c r="AG144" s="45" t="s">
        <v>2042</v>
      </c>
      <c r="AH144" s="45" t="s">
        <v>2043</v>
      </c>
      <c r="AI144" s="45">
        <v>0.0</v>
      </c>
      <c r="AJ144" s="45">
        <v>0.0</v>
      </c>
      <c r="AK144" s="45">
        <v>7.0</v>
      </c>
      <c r="AL144" s="45">
        <v>6.97</v>
      </c>
      <c r="AM144" s="45">
        <v>6.56</v>
      </c>
      <c r="AN144" s="45">
        <v>0.0</v>
      </c>
      <c r="AO144" s="45" t="s">
        <v>27</v>
      </c>
      <c r="AQ144" s="45" t="s">
        <v>1011</v>
      </c>
      <c r="AT144" s="45" t="s">
        <v>1012</v>
      </c>
    </row>
    <row r="145">
      <c r="A145" s="107"/>
      <c r="B145" s="108" t="s">
        <v>426</v>
      </c>
      <c r="C145" s="109" t="s">
        <v>2044</v>
      </c>
      <c r="D145" s="108" t="s">
        <v>2045</v>
      </c>
      <c r="E145" s="108" t="s">
        <v>427</v>
      </c>
      <c r="F145" s="108">
        <v>0.0</v>
      </c>
      <c r="G145" s="110">
        <v>7.89071E11</v>
      </c>
      <c r="H145" s="111" t="s">
        <v>1003</v>
      </c>
      <c r="I145" s="111" t="s">
        <v>1003</v>
      </c>
      <c r="J145" s="111" t="s">
        <v>1003</v>
      </c>
      <c r="K145" s="108" t="s">
        <v>1003</v>
      </c>
      <c r="L145" s="112" t="s">
        <v>1031</v>
      </c>
      <c r="M145" s="106">
        <v>0.0</v>
      </c>
      <c r="N145" s="113">
        <v>557.0</v>
      </c>
      <c r="O145" s="106" t="s">
        <v>2046</v>
      </c>
      <c r="P145" s="106" t="s">
        <v>60</v>
      </c>
      <c r="Q145" s="45" t="s">
        <v>1006</v>
      </c>
      <c r="R145" s="45">
        <v>93.0</v>
      </c>
      <c r="S145" s="45">
        <v>2019.0</v>
      </c>
      <c r="T145" s="45">
        <v>91.0</v>
      </c>
      <c r="U145" s="45">
        <v>2022.0</v>
      </c>
      <c r="V145" s="45">
        <v>8.67</v>
      </c>
      <c r="W145" s="45">
        <v>81.7</v>
      </c>
      <c r="X145" s="45">
        <v>2025.0</v>
      </c>
      <c r="Y145" s="45">
        <v>0.0</v>
      </c>
      <c r="Z145" s="45">
        <v>0.0</v>
      </c>
      <c r="AA145" s="45" t="s">
        <v>2047</v>
      </c>
      <c r="AB145" s="45" t="s">
        <v>2048</v>
      </c>
      <c r="AC145" s="45">
        <v>6.302536782E9</v>
      </c>
      <c r="AD145" s="45">
        <v>8.91939632E9</v>
      </c>
      <c r="AE145" s="45">
        <v>0.0</v>
      </c>
      <c r="AF145" s="45">
        <v>0.0</v>
      </c>
      <c r="AG145" s="45" t="s">
        <v>2049</v>
      </c>
      <c r="AH145" s="45" t="s">
        <v>2050</v>
      </c>
      <c r="AI145" s="45">
        <v>0.0</v>
      </c>
      <c r="AJ145" s="45">
        <v>0.0</v>
      </c>
      <c r="AK145" s="45">
        <v>8.32</v>
      </c>
      <c r="AL145" s="45">
        <v>0.0</v>
      </c>
      <c r="AM145" s="45">
        <v>8.54</v>
      </c>
      <c r="AN145" s="45">
        <v>8.67</v>
      </c>
      <c r="AO145" s="45" t="s">
        <v>27</v>
      </c>
      <c r="AQ145" s="45" t="s">
        <v>1011</v>
      </c>
      <c r="AT145" s="45" t="s">
        <v>1028</v>
      </c>
    </row>
    <row r="146">
      <c r="A146" s="107"/>
      <c r="B146" s="108" t="s">
        <v>428</v>
      </c>
      <c r="C146" s="109" t="s">
        <v>2051</v>
      </c>
      <c r="D146" s="108" t="s">
        <v>2052</v>
      </c>
      <c r="E146" s="108" t="s">
        <v>429</v>
      </c>
      <c r="F146" s="108">
        <v>0.0</v>
      </c>
      <c r="G146" s="110">
        <v>9.17671E11</v>
      </c>
      <c r="H146" s="111" t="s">
        <v>1003</v>
      </c>
      <c r="I146" s="111">
        <v>11131.0</v>
      </c>
      <c r="J146" s="111">
        <v>10347.0</v>
      </c>
      <c r="K146" s="108" t="s">
        <v>1003</v>
      </c>
      <c r="L146" s="112" t="s">
        <v>2053</v>
      </c>
      <c r="M146" s="106">
        <v>55574.0</v>
      </c>
      <c r="N146" s="113">
        <v>0.0</v>
      </c>
      <c r="O146" s="106" t="s">
        <v>2054</v>
      </c>
      <c r="P146" s="106" t="s">
        <v>46</v>
      </c>
      <c r="Q146" s="45" t="s">
        <v>1006</v>
      </c>
      <c r="R146" s="45">
        <v>92.0</v>
      </c>
      <c r="S146" s="45">
        <v>2019.0</v>
      </c>
      <c r="T146" s="45">
        <v>89.0</v>
      </c>
      <c r="U146" s="45">
        <v>2021.0</v>
      </c>
      <c r="V146" s="45">
        <v>8.13</v>
      </c>
      <c r="W146" s="45">
        <v>76.3</v>
      </c>
      <c r="X146" s="45">
        <v>2025.0</v>
      </c>
      <c r="Y146" s="45">
        <v>0.0</v>
      </c>
      <c r="Z146" s="45">
        <v>0.0</v>
      </c>
      <c r="AA146" s="45" t="s">
        <v>2055</v>
      </c>
      <c r="AB146" s="45" t="s">
        <v>2056</v>
      </c>
      <c r="AC146" s="45">
        <v>9.059565528E9</v>
      </c>
      <c r="AD146" s="45">
        <v>9.492911646E9</v>
      </c>
      <c r="AE146" s="45" t="s">
        <v>430</v>
      </c>
      <c r="AF146" s="45">
        <v>0.0</v>
      </c>
      <c r="AG146" s="45" t="s">
        <v>2057</v>
      </c>
      <c r="AH146" s="45" t="s">
        <v>2058</v>
      </c>
      <c r="AI146" s="45">
        <v>8.19</v>
      </c>
      <c r="AJ146" s="45">
        <v>8.15</v>
      </c>
      <c r="AK146" s="45">
        <v>7.32</v>
      </c>
      <c r="AL146" s="45">
        <v>0.0</v>
      </c>
      <c r="AM146" s="45">
        <v>8.12</v>
      </c>
      <c r="AN146" s="45">
        <v>8.13</v>
      </c>
      <c r="AO146" s="45" t="s">
        <v>27</v>
      </c>
      <c r="AQ146" s="45" t="s">
        <v>1011</v>
      </c>
      <c r="AT146" s="45" t="s">
        <v>1012</v>
      </c>
    </row>
    <row r="147">
      <c r="A147" s="107"/>
      <c r="B147" s="108" t="s">
        <v>431</v>
      </c>
      <c r="C147" s="109" t="s">
        <v>2059</v>
      </c>
      <c r="D147" s="108" t="s">
        <v>2060</v>
      </c>
      <c r="E147" s="108" t="s">
        <v>432</v>
      </c>
      <c r="F147" s="108">
        <v>0.0</v>
      </c>
      <c r="G147" s="110">
        <v>5.59782E11</v>
      </c>
      <c r="H147" s="111" t="s">
        <v>1003</v>
      </c>
      <c r="I147" s="111">
        <v>11821.0</v>
      </c>
      <c r="J147" s="111">
        <v>14452.0</v>
      </c>
      <c r="K147" s="108" t="s">
        <v>1003</v>
      </c>
      <c r="L147" s="112" t="s">
        <v>2061</v>
      </c>
      <c r="M147" s="106">
        <v>0.0</v>
      </c>
      <c r="N147" s="113">
        <v>0.0</v>
      </c>
      <c r="O147" s="106" t="s">
        <v>2062</v>
      </c>
      <c r="P147" s="106" t="s">
        <v>46</v>
      </c>
      <c r="Q147" s="45" t="s">
        <v>1006</v>
      </c>
      <c r="R147" s="45">
        <v>92.6</v>
      </c>
      <c r="S147" s="45">
        <v>2019.0</v>
      </c>
      <c r="T147" s="45">
        <v>96.2</v>
      </c>
      <c r="U147" s="45">
        <v>2021.0</v>
      </c>
      <c r="V147" s="45">
        <v>9.03</v>
      </c>
      <c r="W147" s="45">
        <v>85.3</v>
      </c>
      <c r="X147" s="45">
        <v>2025.0</v>
      </c>
      <c r="Y147" s="45">
        <v>0.0</v>
      </c>
      <c r="Z147" s="45">
        <v>0.0</v>
      </c>
      <c r="AA147" s="45" t="s">
        <v>2063</v>
      </c>
      <c r="AB147" s="45" t="s">
        <v>2064</v>
      </c>
      <c r="AC147" s="45">
        <v>8.897737626E9</v>
      </c>
      <c r="AD147" s="45">
        <v>8.897737179E9</v>
      </c>
      <c r="AE147" s="45" t="s">
        <v>406</v>
      </c>
      <c r="AF147" s="45">
        <v>0.0</v>
      </c>
      <c r="AG147" s="45" t="s">
        <v>2065</v>
      </c>
      <c r="AH147" s="45" t="s">
        <v>2066</v>
      </c>
      <c r="AI147" s="45">
        <v>9.08</v>
      </c>
      <c r="AJ147" s="45">
        <v>9.22</v>
      </c>
      <c r="AK147" s="45">
        <v>8.86</v>
      </c>
      <c r="AL147" s="45">
        <v>0.0</v>
      </c>
      <c r="AM147" s="45">
        <v>9.01</v>
      </c>
      <c r="AN147" s="45">
        <v>9.03</v>
      </c>
      <c r="AO147" s="45" t="s">
        <v>28</v>
      </c>
      <c r="AQ147" s="45" t="s">
        <v>1011</v>
      </c>
      <c r="AT147" s="45" t="s">
        <v>1012</v>
      </c>
    </row>
    <row r="148">
      <c r="A148" s="107"/>
      <c r="B148" s="108" t="s">
        <v>433</v>
      </c>
      <c r="C148" s="109" t="s">
        <v>2067</v>
      </c>
      <c r="D148" s="108" t="s">
        <v>1294</v>
      </c>
      <c r="E148" s="108" t="s">
        <v>434</v>
      </c>
      <c r="F148" s="108">
        <v>0.0</v>
      </c>
      <c r="G148" s="110">
        <v>7.45357E11</v>
      </c>
      <c r="H148" s="111" t="s">
        <v>1003</v>
      </c>
      <c r="I148" s="111" t="s">
        <v>1003</v>
      </c>
      <c r="J148" s="111" t="s">
        <v>1003</v>
      </c>
      <c r="K148" s="108" t="s">
        <v>1003</v>
      </c>
      <c r="L148" s="112" t="s">
        <v>1870</v>
      </c>
      <c r="M148" s="106">
        <v>0.0</v>
      </c>
      <c r="N148" s="113">
        <v>0.0</v>
      </c>
      <c r="O148" s="106" t="s">
        <v>2068</v>
      </c>
      <c r="P148" s="106" t="s">
        <v>46</v>
      </c>
      <c r="Q148" s="45" t="s">
        <v>1006</v>
      </c>
      <c r="R148" s="45">
        <v>83.0</v>
      </c>
      <c r="S148" s="45">
        <v>2019.0</v>
      </c>
      <c r="T148" s="45">
        <v>63.0</v>
      </c>
      <c r="U148" s="45">
        <v>2021.0</v>
      </c>
      <c r="V148" s="45">
        <v>0.0</v>
      </c>
      <c r="W148" s="45">
        <v>-5.0</v>
      </c>
      <c r="X148" s="45">
        <v>2025.0</v>
      </c>
      <c r="Y148" s="45">
        <v>0.0</v>
      </c>
      <c r="Z148" s="45">
        <v>21.0</v>
      </c>
      <c r="AA148" s="45" t="s">
        <v>2069</v>
      </c>
      <c r="AB148" s="45" t="s">
        <v>2069</v>
      </c>
      <c r="AC148" s="45">
        <v>9.701275775E9</v>
      </c>
      <c r="AD148" s="45">
        <v>9.866334463E9</v>
      </c>
      <c r="AE148" s="45">
        <v>0.0</v>
      </c>
      <c r="AF148" s="45">
        <v>0.0</v>
      </c>
      <c r="AG148" s="45" t="s">
        <v>2070</v>
      </c>
      <c r="AH148" s="45" t="s">
        <v>2071</v>
      </c>
      <c r="AI148" s="45">
        <v>0.0</v>
      </c>
      <c r="AJ148" s="45">
        <v>0.0</v>
      </c>
      <c r="AK148" s="45">
        <v>0.0</v>
      </c>
      <c r="AL148" s="45">
        <v>0.0</v>
      </c>
      <c r="AM148" s="45">
        <v>3.25</v>
      </c>
      <c r="AN148" s="45">
        <v>0.0</v>
      </c>
      <c r="AO148" s="45" t="s">
        <v>28</v>
      </c>
      <c r="AQ148" s="45" t="s">
        <v>1011</v>
      </c>
      <c r="AT148" s="45" t="s">
        <v>1028</v>
      </c>
    </row>
    <row r="149">
      <c r="A149" s="107"/>
      <c r="B149" s="108" t="s">
        <v>435</v>
      </c>
      <c r="C149" s="109" t="s">
        <v>436</v>
      </c>
      <c r="D149" s="108" t="s">
        <v>2072</v>
      </c>
      <c r="E149" s="108" t="s">
        <v>2073</v>
      </c>
      <c r="F149" s="108">
        <v>0.0</v>
      </c>
      <c r="G149" s="110">
        <v>6.71069E11</v>
      </c>
      <c r="H149" s="111" t="s">
        <v>1003</v>
      </c>
      <c r="I149" s="111">
        <v>7514.0</v>
      </c>
      <c r="J149" s="111" t="s">
        <v>1003</v>
      </c>
      <c r="K149" s="108" t="s">
        <v>1003</v>
      </c>
      <c r="L149" s="112" t="s">
        <v>1092</v>
      </c>
      <c r="M149" s="106">
        <v>9096.0</v>
      </c>
      <c r="N149" s="113">
        <v>0.0</v>
      </c>
      <c r="O149" s="106" t="s">
        <v>2074</v>
      </c>
      <c r="P149" s="106" t="s">
        <v>46</v>
      </c>
      <c r="Q149" s="45" t="s">
        <v>1006</v>
      </c>
      <c r="R149" s="45">
        <v>98.0</v>
      </c>
      <c r="S149" s="45">
        <v>2019.0</v>
      </c>
      <c r="T149" s="45">
        <v>95.0</v>
      </c>
      <c r="U149" s="45">
        <v>2021.0</v>
      </c>
      <c r="V149" s="45">
        <v>8.74</v>
      </c>
      <c r="W149" s="45">
        <v>82.4</v>
      </c>
      <c r="X149" s="45">
        <v>2025.0</v>
      </c>
      <c r="Y149" s="45">
        <v>0.0</v>
      </c>
      <c r="Z149" s="45">
        <v>0.0</v>
      </c>
      <c r="AA149" s="45" t="s">
        <v>2075</v>
      </c>
      <c r="AB149" s="45" t="s">
        <v>2076</v>
      </c>
      <c r="AC149" s="45">
        <v>9.550695239E9</v>
      </c>
      <c r="AD149" s="45">
        <v>9.959729335E9</v>
      </c>
      <c r="AE149" s="45" t="s">
        <v>437</v>
      </c>
      <c r="AF149" s="45">
        <v>0.0</v>
      </c>
      <c r="AG149" s="45" t="s">
        <v>2077</v>
      </c>
      <c r="AH149" s="45" t="s">
        <v>2078</v>
      </c>
      <c r="AI149" s="45">
        <v>8.84</v>
      </c>
      <c r="AJ149" s="45">
        <v>8.85</v>
      </c>
      <c r="AK149" s="45">
        <v>8.32</v>
      </c>
      <c r="AL149" s="45">
        <v>0.0</v>
      </c>
      <c r="AM149" s="45">
        <v>8.62</v>
      </c>
      <c r="AN149" s="45">
        <v>8.74</v>
      </c>
      <c r="AO149" s="45" t="s">
        <v>27</v>
      </c>
      <c r="AQ149" s="45" t="s">
        <v>1011</v>
      </c>
      <c r="AT149" s="45" t="s">
        <v>1028</v>
      </c>
    </row>
    <row r="150">
      <c r="A150" s="107"/>
      <c r="B150" s="108" t="s">
        <v>438</v>
      </c>
      <c r="C150" s="109" t="s">
        <v>2072</v>
      </c>
      <c r="D150" s="108" t="s">
        <v>2079</v>
      </c>
      <c r="E150" s="108" t="s">
        <v>439</v>
      </c>
      <c r="F150" s="108">
        <v>0.0</v>
      </c>
      <c r="G150" s="110">
        <v>3.12806E11</v>
      </c>
      <c r="H150" s="111" t="s">
        <v>1003</v>
      </c>
      <c r="I150" s="111" t="s">
        <v>1003</v>
      </c>
      <c r="J150" s="111" t="s">
        <v>1003</v>
      </c>
      <c r="K150" s="108" t="s">
        <v>1003</v>
      </c>
      <c r="L150" s="112" t="s">
        <v>1084</v>
      </c>
      <c r="M150" s="106">
        <v>29316.0</v>
      </c>
      <c r="N150" s="113">
        <v>0.0</v>
      </c>
      <c r="O150" s="114">
        <v>37746.0</v>
      </c>
      <c r="P150" s="106" t="s">
        <v>46</v>
      </c>
      <c r="Q150" s="45" t="s">
        <v>1006</v>
      </c>
      <c r="R150" s="45">
        <v>93.0</v>
      </c>
      <c r="S150" s="45">
        <v>2019.0</v>
      </c>
      <c r="T150" s="45">
        <v>82.0</v>
      </c>
      <c r="U150" s="45">
        <v>2021.0</v>
      </c>
      <c r="V150" s="45">
        <v>7.82</v>
      </c>
      <c r="W150" s="45">
        <v>73.2</v>
      </c>
      <c r="X150" s="45">
        <v>2025.0</v>
      </c>
      <c r="Y150" s="45">
        <v>0.0</v>
      </c>
      <c r="Z150" s="45">
        <v>0.0</v>
      </c>
      <c r="AA150" s="45" t="s">
        <v>2080</v>
      </c>
      <c r="AB150" s="45" t="s">
        <v>2081</v>
      </c>
      <c r="AC150" s="45">
        <v>9.121907316E9</v>
      </c>
      <c r="AD150" s="45">
        <v>9.652957325E9</v>
      </c>
      <c r="AE150" s="45" t="s">
        <v>440</v>
      </c>
      <c r="AF150" s="45" t="s">
        <v>440</v>
      </c>
      <c r="AG150" s="45" t="s">
        <v>2082</v>
      </c>
      <c r="AH150" s="45" t="s">
        <v>2083</v>
      </c>
      <c r="AI150" s="45">
        <v>8.11</v>
      </c>
      <c r="AJ150" s="45">
        <v>7.8</v>
      </c>
      <c r="AK150" s="45">
        <v>0.0</v>
      </c>
      <c r="AL150" s="45">
        <v>0.0</v>
      </c>
      <c r="AM150" s="45">
        <v>7.77</v>
      </c>
      <c r="AN150" s="45">
        <v>7.82</v>
      </c>
      <c r="AO150" s="45" t="s">
        <v>28</v>
      </c>
      <c r="AQ150" s="45" t="s">
        <v>1011</v>
      </c>
      <c r="AT150" s="45" t="s">
        <v>1012</v>
      </c>
    </row>
    <row r="151">
      <c r="A151" s="107"/>
      <c r="B151" s="108" t="s">
        <v>441</v>
      </c>
      <c r="C151" s="109" t="s">
        <v>2084</v>
      </c>
      <c r="D151" s="108" t="s">
        <v>2085</v>
      </c>
      <c r="E151" s="108" t="s">
        <v>442</v>
      </c>
      <c r="F151" s="108">
        <v>0.0</v>
      </c>
      <c r="G151" s="110">
        <v>9.6344E11</v>
      </c>
      <c r="H151" s="111" t="s">
        <v>1003</v>
      </c>
      <c r="I151" s="111">
        <v>7644.0</v>
      </c>
      <c r="J151" s="111">
        <v>8840.0</v>
      </c>
      <c r="K151" s="108">
        <v>11455.0</v>
      </c>
      <c r="L151" s="112" t="s">
        <v>2086</v>
      </c>
      <c r="M151" s="106">
        <v>7183.0</v>
      </c>
      <c r="N151" s="113">
        <v>0.0</v>
      </c>
      <c r="O151" s="106" t="s">
        <v>1983</v>
      </c>
      <c r="P151" s="106" t="s">
        <v>46</v>
      </c>
      <c r="Q151" s="45" t="s">
        <v>1006</v>
      </c>
      <c r="R151" s="45">
        <v>94.0</v>
      </c>
      <c r="S151" s="45">
        <v>2019.0</v>
      </c>
      <c r="T151" s="45">
        <v>94.4</v>
      </c>
      <c r="U151" s="45">
        <v>2021.0</v>
      </c>
      <c r="V151" s="45">
        <v>8.86</v>
      </c>
      <c r="W151" s="45">
        <v>83.6</v>
      </c>
      <c r="X151" s="45">
        <v>2025.0</v>
      </c>
      <c r="Y151" s="45">
        <v>0.0</v>
      </c>
      <c r="Z151" s="45">
        <v>0.0</v>
      </c>
      <c r="AA151" s="45" t="s">
        <v>2087</v>
      </c>
      <c r="AB151" s="45" t="s">
        <v>2088</v>
      </c>
      <c r="AC151" s="45">
        <v>8.737945678E9</v>
      </c>
      <c r="AD151" s="45">
        <v>9.948445678E9</v>
      </c>
      <c r="AE151" s="45" t="s">
        <v>443</v>
      </c>
      <c r="AF151" s="45">
        <v>0.0</v>
      </c>
      <c r="AG151" s="45" t="s">
        <v>2089</v>
      </c>
      <c r="AH151" s="45" t="s">
        <v>2090</v>
      </c>
      <c r="AI151" s="45">
        <v>9.51</v>
      </c>
      <c r="AJ151" s="45">
        <v>9.07</v>
      </c>
      <c r="AK151" s="45">
        <v>8.45</v>
      </c>
      <c r="AL151" s="45">
        <v>0.0</v>
      </c>
      <c r="AM151" s="45">
        <v>8.9</v>
      </c>
      <c r="AN151" s="45">
        <v>8.86</v>
      </c>
      <c r="AO151" s="45" t="s">
        <v>27</v>
      </c>
      <c r="AQ151" s="45" t="s">
        <v>1011</v>
      </c>
      <c r="AT151" s="45" t="s">
        <v>1028</v>
      </c>
    </row>
    <row r="152">
      <c r="A152" s="107"/>
      <c r="B152" s="108" t="s">
        <v>444</v>
      </c>
      <c r="C152" s="109" t="s">
        <v>2091</v>
      </c>
      <c r="D152" s="108" t="s">
        <v>2092</v>
      </c>
      <c r="E152" s="108" t="s">
        <v>445</v>
      </c>
      <c r="F152" s="108">
        <v>0.0</v>
      </c>
      <c r="G152" s="110">
        <v>6.36372E11</v>
      </c>
      <c r="H152" s="111" t="s">
        <v>1003</v>
      </c>
      <c r="I152" s="111">
        <v>13979.0</v>
      </c>
      <c r="J152" s="111">
        <v>12991.0</v>
      </c>
      <c r="K152" s="108">
        <v>16614.0</v>
      </c>
      <c r="L152" s="112" t="s">
        <v>2093</v>
      </c>
      <c r="M152" s="106">
        <v>11059.0</v>
      </c>
      <c r="N152" s="113">
        <v>0.0</v>
      </c>
      <c r="O152" s="114">
        <v>37962.0</v>
      </c>
      <c r="P152" s="106" t="s">
        <v>46</v>
      </c>
      <c r="Q152" s="45" t="s">
        <v>1006</v>
      </c>
      <c r="R152" s="45">
        <v>85.2</v>
      </c>
      <c r="S152" s="45">
        <v>2019.0</v>
      </c>
      <c r="T152" s="45">
        <v>96.4</v>
      </c>
      <c r="U152" s="45">
        <v>2021.0</v>
      </c>
      <c r="V152" s="45">
        <v>7.25</v>
      </c>
      <c r="W152" s="45">
        <v>67.5</v>
      </c>
      <c r="X152" s="45">
        <v>2025.0</v>
      </c>
      <c r="Y152" s="45">
        <v>0.0</v>
      </c>
      <c r="Z152" s="45">
        <v>0.0</v>
      </c>
      <c r="AA152" s="45" t="s">
        <v>2094</v>
      </c>
      <c r="AB152" s="45" t="s">
        <v>2095</v>
      </c>
      <c r="AC152" s="45">
        <v>7.013462198E9</v>
      </c>
      <c r="AD152" s="45">
        <v>6.281172609E9</v>
      </c>
      <c r="AE152" s="45" t="s">
        <v>237</v>
      </c>
      <c r="AF152" s="45">
        <v>0.0</v>
      </c>
      <c r="AG152" s="45" t="s">
        <v>2096</v>
      </c>
      <c r="AH152" s="45" t="s">
        <v>2097</v>
      </c>
      <c r="AI152" s="45">
        <v>7.49</v>
      </c>
      <c r="AJ152" s="45">
        <v>6.61</v>
      </c>
      <c r="AK152" s="45">
        <v>6.77</v>
      </c>
      <c r="AL152" s="45">
        <v>0.0</v>
      </c>
      <c r="AM152" s="45">
        <v>7.27</v>
      </c>
      <c r="AN152" s="45">
        <v>7.25</v>
      </c>
      <c r="AO152" s="45" t="s">
        <v>27</v>
      </c>
      <c r="AQ152" s="45" t="s">
        <v>1011</v>
      </c>
      <c r="AT152" s="45" t="s">
        <v>1012</v>
      </c>
    </row>
    <row r="153">
      <c r="A153" s="107"/>
      <c r="B153" s="108" t="s">
        <v>446</v>
      </c>
      <c r="C153" s="109" t="s">
        <v>2098</v>
      </c>
      <c r="D153" s="108" t="s">
        <v>2099</v>
      </c>
      <c r="E153" s="108" t="s">
        <v>447</v>
      </c>
      <c r="F153" s="108">
        <v>0.0</v>
      </c>
      <c r="G153" s="110">
        <v>4.53132E11</v>
      </c>
      <c r="H153" s="111" t="s">
        <v>1003</v>
      </c>
      <c r="I153" s="111" t="s">
        <v>1003</v>
      </c>
      <c r="J153" s="111" t="s">
        <v>1003</v>
      </c>
      <c r="K153" s="108" t="s">
        <v>1003</v>
      </c>
      <c r="L153" s="112" t="s">
        <v>2018</v>
      </c>
      <c r="M153" s="106">
        <v>0.0</v>
      </c>
      <c r="N153" s="113">
        <v>0.0</v>
      </c>
      <c r="O153" s="114">
        <v>38084.0</v>
      </c>
      <c r="P153" s="106" t="s">
        <v>60</v>
      </c>
      <c r="Q153" s="45" t="s">
        <v>1006</v>
      </c>
      <c r="R153" s="45">
        <v>85.5</v>
      </c>
      <c r="S153" s="45">
        <v>2019.0</v>
      </c>
      <c r="T153" s="45">
        <v>86.2</v>
      </c>
      <c r="U153" s="45">
        <v>2021.0</v>
      </c>
      <c r="V153" s="45">
        <v>7.44</v>
      </c>
      <c r="W153" s="45">
        <v>69.4</v>
      </c>
      <c r="X153" s="45">
        <v>2025.0</v>
      </c>
      <c r="Y153" s="45">
        <v>0.0</v>
      </c>
      <c r="Z153" s="45">
        <v>0.0</v>
      </c>
      <c r="AA153" s="45" t="s">
        <v>2100</v>
      </c>
      <c r="AB153" s="45" t="s">
        <v>2101</v>
      </c>
      <c r="AC153" s="45">
        <v>7.569353321E9</v>
      </c>
      <c r="AD153" s="45">
        <v>7.989889617E9</v>
      </c>
      <c r="AE153" s="45" t="s">
        <v>237</v>
      </c>
      <c r="AF153" s="45">
        <v>0.0</v>
      </c>
      <c r="AG153" s="45" t="s">
        <v>2102</v>
      </c>
      <c r="AH153" s="45" t="s">
        <v>2103</v>
      </c>
      <c r="AI153" s="45">
        <v>7.51</v>
      </c>
      <c r="AJ153" s="45">
        <v>7.1</v>
      </c>
      <c r="AK153" s="45">
        <v>6.61</v>
      </c>
      <c r="AL153" s="45">
        <v>0.0</v>
      </c>
      <c r="AM153" s="45">
        <v>7.4</v>
      </c>
      <c r="AN153" s="45">
        <v>7.44</v>
      </c>
      <c r="AO153" s="45" t="s">
        <v>28</v>
      </c>
      <c r="AQ153" s="45" t="s">
        <v>1011</v>
      </c>
      <c r="AT153" s="45" t="s">
        <v>1012</v>
      </c>
    </row>
    <row r="154">
      <c r="A154" s="107"/>
      <c r="B154" s="108" t="s">
        <v>448</v>
      </c>
      <c r="C154" s="109" t="s">
        <v>2104</v>
      </c>
      <c r="D154" s="108" t="s">
        <v>2105</v>
      </c>
      <c r="E154" s="108" t="s">
        <v>449</v>
      </c>
      <c r="F154" s="108">
        <v>0.0</v>
      </c>
      <c r="G154" s="110">
        <v>7.3048E11</v>
      </c>
      <c r="H154" s="111" t="s">
        <v>1003</v>
      </c>
      <c r="I154" s="111">
        <v>16098.0</v>
      </c>
      <c r="J154" s="111">
        <v>18898.0</v>
      </c>
      <c r="K154" s="108" t="s">
        <v>1003</v>
      </c>
      <c r="L154" s="112" t="s">
        <v>1479</v>
      </c>
      <c r="M154" s="106">
        <v>8551.0</v>
      </c>
      <c r="N154" s="113">
        <v>0.0</v>
      </c>
      <c r="O154" s="114">
        <v>37931.0</v>
      </c>
      <c r="P154" s="106" t="s">
        <v>60</v>
      </c>
      <c r="Q154" s="45" t="s">
        <v>1006</v>
      </c>
      <c r="R154" s="45">
        <v>100.0</v>
      </c>
      <c r="S154" s="45">
        <v>2019.0</v>
      </c>
      <c r="T154" s="45">
        <v>98.6</v>
      </c>
      <c r="U154" s="45">
        <v>2021.0</v>
      </c>
      <c r="V154" s="45">
        <v>9.08</v>
      </c>
      <c r="W154" s="45">
        <v>85.8</v>
      </c>
      <c r="X154" s="45">
        <v>2025.0</v>
      </c>
      <c r="Y154" s="45">
        <v>0.0</v>
      </c>
      <c r="Z154" s="45">
        <v>0.0</v>
      </c>
      <c r="AA154" s="45" t="s">
        <v>2106</v>
      </c>
      <c r="AB154" s="45" t="s">
        <v>2107</v>
      </c>
      <c r="AC154" s="45">
        <v>9.963048547E9</v>
      </c>
      <c r="AD154" s="45">
        <v>9.291369672E9</v>
      </c>
      <c r="AE154" s="45" t="s">
        <v>94</v>
      </c>
      <c r="AF154" s="45" t="s">
        <v>2108</v>
      </c>
      <c r="AG154" s="45" t="s">
        <v>2109</v>
      </c>
      <c r="AH154" s="45" t="s">
        <v>2110</v>
      </c>
      <c r="AI154" s="45">
        <v>9.43</v>
      </c>
      <c r="AJ154" s="45">
        <v>9.32</v>
      </c>
      <c r="AK154" s="45">
        <v>8.73</v>
      </c>
      <c r="AL154" s="45">
        <v>0.0</v>
      </c>
      <c r="AM154" s="45">
        <v>9.1</v>
      </c>
      <c r="AN154" s="45">
        <v>9.08</v>
      </c>
      <c r="AO154" s="45" t="s">
        <v>27</v>
      </c>
      <c r="AQ154" s="45" t="s">
        <v>1011</v>
      </c>
      <c r="AT154" s="45" t="s">
        <v>1028</v>
      </c>
    </row>
    <row r="155">
      <c r="A155" s="107"/>
      <c r="B155" s="108" t="s">
        <v>452</v>
      </c>
      <c r="C155" s="109" t="s">
        <v>2111</v>
      </c>
      <c r="D155" s="108" t="s">
        <v>2112</v>
      </c>
      <c r="E155" s="108" t="s">
        <v>453</v>
      </c>
      <c r="F155" s="108">
        <v>0.0</v>
      </c>
      <c r="G155" s="110">
        <v>2.34092E11</v>
      </c>
      <c r="H155" s="111" t="s">
        <v>1003</v>
      </c>
      <c r="I155" s="111" t="s">
        <v>1003</v>
      </c>
      <c r="J155" s="111" t="s">
        <v>1003</v>
      </c>
      <c r="K155" s="108" t="s">
        <v>1003</v>
      </c>
      <c r="L155" s="112" t="s">
        <v>1123</v>
      </c>
      <c r="M155" s="106">
        <v>89000.0</v>
      </c>
      <c r="N155" s="113">
        <v>0.0</v>
      </c>
      <c r="O155" s="114">
        <v>37837.0</v>
      </c>
      <c r="P155" s="106" t="s">
        <v>46</v>
      </c>
      <c r="Q155" s="45" t="s">
        <v>1006</v>
      </c>
      <c r="R155" s="45">
        <v>90.0</v>
      </c>
      <c r="S155" s="45">
        <v>2019.0</v>
      </c>
      <c r="T155" s="45">
        <v>91.0</v>
      </c>
      <c r="U155" s="45">
        <v>2021.0</v>
      </c>
      <c r="V155" s="45">
        <v>7.28</v>
      </c>
      <c r="W155" s="45">
        <v>67.8</v>
      </c>
      <c r="X155" s="45">
        <v>2025.0</v>
      </c>
      <c r="Y155" s="45">
        <v>0.0</v>
      </c>
      <c r="Z155" s="45">
        <v>0.0</v>
      </c>
      <c r="AA155" s="45" t="s">
        <v>2113</v>
      </c>
      <c r="AB155" s="45" t="s">
        <v>2114</v>
      </c>
      <c r="AC155" s="45">
        <v>6.303686439E9</v>
      </c>
      <c r="AD155" s="45">
        <v>9.885471157E9</v>
      </c>
      <c r="AE155" s="45">
        <v>0.0</v>
      </c>
      <c r="AF155" s="45">
        <v>0.0</v>
      </c>
      <c r="AG155" s="45" t="s">
        <v>2115</v>
      </c>
      <c r="AH155" s="45" t="s">
        <v>2116</v>
      </c>
      <c r="AI155" s="45">
        <v>7.43</v>
      </c>
      <c r="AJ155" s="45">
        <v>7.2</v>
      </c>
      <c r="AK155" s="45">
        <v>7.25</v>
      </c>
      <c r="AL155" s="45">
        <v>0.0</v>
      </c>
      <c r="AM155" s="45">
        <v>7.33</v>
      </c>
      <c r="AN155" s="45">
        <v>7.28</v>
      </c>
      <c r="AO155" s="45" t="s">
        <v>28</v>
      </c>
      <c r="AQ155" s="45" t="s">
        <v>1011</v>
      </c>
      <c r="AT155" s="45" t="s">
        <v>1012</v>
      </c>
    </row>
    <row r="156">
      <c r="A156" s="107"/>
      <c r="B156" s="108" t="s">
        <v>454</v>
      </c>
      <c r="C156" s="109" t="s">
        <v>2117</v>
      </c>
      <c r="D156" s="108" t="s">
        <v>2118</v>
      </c>
      <c r="E156" s="108" t="s">
        <v>455</v>
      </c>
      <c r="F156" s="108">
        <v>0.0</v>
      </c>
      <c r="G156" s="110">
        <v>3.24499E11</v>
      </c>
      <c r="H156" s="111" t="s">
        <v>1003</v>
      </c>
      <c r="I156" s="111" t="s">
        <v>1003</v>
      </c>
      <c r="J156" s="111" t="s">
        <v>1003</v>
      </c>
      <c r="K156" s="108" t="s">
        <v>1003</v>
      </c>
      <c r="L156" s="112" t="s">
        <v>1620</v>
      </c>
      <c r="M156" s="106">
        <v>24614.0</v>
      </c>
      <c r="N156" s="113">
        <v>0.0</v>
      </c>
      <c r="O156" s="114">
        <v>37840.0</v>
      </c>
      <c r="P156" s="106" t="s">
        <v>46</v>
      </c>
      <c r="Q156" s="45" t="s">
        <v>1006</v>
      </c>
      <c r="R156" s="45">
        <v>87.0</v>
      </c>
      <c r="S156" s="45">
        <v>2019.0</v>
      </c>
      <c r="T156" s="45">
        <v>89.6</v>
      </c>
      <c r="U156" s="45">
        <v>2021.0</v>
      </c>
      <c r="V156" s="45">
        <v>6.86</v>
      </c>
      <c r="W156" s="45">
        <v>63.6</v>
      </c>
      <c r="X156" s="45">
        <v>2025.0</v>
      </c>
      <c r="Y156" s="45">
        <v>0.0</v>
      </c>
      <c r="Z156" s="45">
        <v>0.0</v>
      </c>
      <c r="AA156" s="45" t="s">
        <v>2119</v>
      </c>
      <c r="AB156" s="45" t="s">
        <v>2120</v>
      </c>
      <c r="AC156" s="45">
        <v>8.328618723E9</v>
      </c>
      <c r="AD156" s="45">
        <v>7.036310466E9</v>
      </c>
      <c r="AE156" s="45">
        <v>0.0</v>
      </c>
      <c r="AF156" s="45">
        <v>0.0</v>
      </c>
      <c r="AG156" s="45" t="s">
        <v>2121</v>
      </c>
      <c r="AH156" s="45" t="s">
        <v>2122</v>
      </c>
      <c r="AI156" s="45">
        <v>6.41</v>
      </c>
      <c r="AJ156" s="45">
        <v>0.0</v>
      </c>
      <c r="AK156" s="45">
        <v>6.57</v>
      </c>
      <c r="AL156" s="45">
        <v>0.0</v>
      </c>
      <c r="AM156" s="45">
        <v>6.84</v>
      </c>
      <c r="AN156" s="45">
        <v>6.86</v>
      </c>
      <c r="AO156" s="45" t="s">
        <v>28</v>
      </c>
      <c r="AQ156" s="45" t="s">
        <v>1011</v>
      </c>
      <c r="AT156" s="45" t="s">
        <v>1012</v>
      </c>
    </row>
    <row r="157">
      <c r="A157" s="107"/>
      <c r="B157" s="108" t="s">
        <v>456</v>
      </c>
      <c r="C157" s="109" t="s">
        <v>2123</v>
      </c>
      <c r="D157" s="108" t="s">
        <v>2124</v>
      </c>
      <c r="E157" s="108" t="s">
        <v>457</v>
      </c>
      <c r="F157" s="108">
        <v>0.0</v>
      </c>
      <c r="G157" s="110">
        <v>8.83314E11</v>
      </c>
      <c r="H157" s="111" t="s">
        <v>1003</v>
      </c>
      <c r="I157" s="111" t="s">
        <v>1003</v>
      </c>
      <c r="J157" s="111" t="s">
        <v>1003</v>
      </c>
      <c r="K157" s="108" t="s">
        <v>1003</v>
      </c>
      <c r="L157" s="112" t="s">
        <v>1123</v>
      </c>
      <c r="M157" s="106">
        <v>12940.0</v>
      </c>
      <c r="N157" s="113">
        <v>0.0</v>
      </c>
      <c r="O157" s="118">
        <v>37541.0</v>
      </c>
      <c r="P157" s="106" t="s">
        <v>46</v>
      </c>
      <c r="Q157" s="45" t="s">
        <v>1006</v>
      </c>
      <c r="R157" s="45">
        <v>71.2</v>
      </c>
      <c r="S157" s="45">
        <v>2019.0</v>
      </c>
      <c r="T157" s="45">
        <v>94.4</v>
      </c>
      <c r="U157" s="45">
        <v>2021.0</v>
      </c>
      <c r="V157" s="45">
        <v>7.25</v>
      </c>
      <c r="W157" s="45">
        <v>67.5</v>
      </c>
      <c r="X157" s="45">
        <v>2025.0</v>
      </c>
      <c r="Y157" s="45">
        <v>0.0</v>
      </c>
      <c r="Z157" s="45">
        <v>0.0</v>
      </c>
      <c r="AA157" s="45" t="s">
        <v>2125</v>
      </c>
      <c r="AB157" s="45" t="s">
        <v>2126</v>
      </c>
      <c r="AC157" s="45">
        <v>7.815860097E9</v>
      </c>
      <c r="AD157" s="45">
        <v>6.36104962E9</v>
      </c>
      <c r="AE157" s="45">
        <v>0.0</v>
      </c>
      <c r="AF157" s="45">
        <v>0.0</v>
      </c>
      <c r="AG157" s="45" t="s">
        <v>2127</v>
      </c>
      <c r="AH157" s="45" t="s">
        <v>2128</v>
      </c>
      <c r="AI157" s="45">
        <v>7.57</v>
      </c>
      <c r="AJ157" s="45">
        <v>6.93</v>
      </c>
      <c r="AK157" s="45">
        <v>6.98</v>
      </c>
      <c r="AL157" s="45">
        <v>0.0</v>
      </c>
      <c r="AM157" s="45">
        <v>7.18</v>
      </c>
      <c r="AN157" s="45">
        <v>7.25</v>
      </c>
      <c r="AO157" s="45" t="s">
        <v>27</v>
      </c>
      <c r="AQ157" s="45" t="s">
        <v>1011</v>
      </c>
      <c r="AT157" s="45" t="s">
        <v>1028</v>
      </c>
    </row>
    <row r="158">
      <c r="A158" s="107"/>
      <c r="B158" s="108" t="s">
        <v>458</v>
      </c>
      <c r="C158" s="109" t="s">
        <v>2129</v>
      </c>
      <c r="D158" s="108" t="s">
        <v>2130</v>
      </c>
      <c r="E158" s="108" t="s">
        <v>459</v>
      </c>
      <c r="F158" s="108">
        <v>0.0</v>
      </c>
      <c r="G158" s="110">
        <v>7.39142E11</v>
      </c>
      <c r="H158" s="111" t="s">
        <v>1003</v>
      </c>
      <c r="I158" s="111" t="s">
        <v>1003</v>
      </c>
      <c r="J158" s="111" t="s">
        <v>1003</v>
      </c>
      <c r="K158" s="108" t="s">
        <v>1003</v>
      </c>
      <c r="L158" s="112" t="s">
        <v>1774</v>
      </c>
      <c r="M158" s="106">
        <v>16905.0</v>
      </c>
      <c r="N158" s="113">
        <v>0.0</v>
      </c>
      <c r="O158" s="106" t="s">
        <v>2131</v>
      </c>
      <c r="P158" s="106" t="s">
        <v>46</v>
      </c>
      <c r="Q158" s="45" t="s">
        <v>1006</v>
      </c>
      <c r="R158" s="45">
        <v>98.0</v>
      </c>
      <c r="S158" s="45">
        <v>2019.0</v>
      </c>
      <c r="T158" s="45">
        <v>94.0</v>
      </c>
      <c r="U158" s="45">
        <v>2021.0</v>
      </c>
      <c r="V158" s="45">
        <v>7.53</v>
      </c>
      <c r="W158" s="45">
        <v>70.3</v>
      </c>
      <c r="X158" s="45">
        <v>2025.0</v>
      </c>
      <c r="Y158" s="45">
        <v>0.0</v>
      </c>
      <c r="Z158" s="45">
        <v>0.0</v>
      </c>
      <c r="AA158" s="45" t="s">
        <v>2132</v>
      </c>
      <c r="AB158" s="45" t="s">
        <v>2133</v>
      </c>
      <c r="AC158" s="45">
        <v>9.014237426E9</v>
      </c>
      <c r="AD158" s="45">
        <v>9.154490067E9</v>
      </c>
      <c r="AE158" s="45" t="s">
        <v>460</v>
      </c>
      <c r="AF158" s="45">
        <v>0.0</v>
      </c>
      <c r="AG158" s="45" t="s">
        <v>2134</v>
      </c>
      <c r="AH158" s="45" t="s">
        <v>2135</v>
      </c>
      <c r="AI158" s="45">
        <v>7.92</v>
      </c>
      <c r="AJ158" s="45">
        <v>7.44</v>
      </c>
      <c r="AK158" s="45">
        <v>6.91</v>
      </c>
      <c r="AL158" s="45">
        <v>0.0</v>
      </c>
      <c r="AM158" s="45">
        <v>7.53</v>
      </c>
      <c r="AN158" s="45">
        <v>7.53</v>
      </c>
      <c r="AO158" s="45" t="s">
        <v>27</v>
      </c>
      <c r="AQ158" s="45" t="s">
        <v>1011</v>
      </c>
      <c r="AT158" s="45" t="s">
        <v>1012</v>
      </c>
    </row>
    <row r="159">
      <c r="A159" s="107"/>
      <c r="B159" s="108" t="s">
        <v>461</v>
      </c>
      <c r="C159" s="109" t="s">
        <v>2136</v>
      </c>
      <c r="D159" s="108" t="s">
        <v>2137</v>
      </c>
      <c r="E159" s="108" t="s">
        <v>462</v>
      </c>
      <c r="F159" s="108">
        <v>0.0</v>
      </c>
      <c r="G159" s="110">
        <v>2.23074E11</v>
      </c>
      <c r="H159" s="111" t="s">
        <v>1003</v>
      </c>
      <c r="I159" s="111" t="s">
        <v>1003</v>
      </c>
      <c r="J159" s="111" t="s">
        <v>1003</v>
      </c>
      <c r="K159" s="108" t="s">
        <v>1003</v>
      </c>
      <c r="L159" s="112" t="s">
        <v>2138</v>
      </c>
      <c r="M159" s="106">
        <v>7161.0</v>
      </c>
      <c r="N159" s="113">
        <v>0.0</v>
      </c>
      <c r="O159" s="114">
        <v>37933.0</v>
      </c>
      <c r="P159" s="106" t="s">
        <v>46</v>
      </c>
      <c r="Q159" s="45" t="s">
        <v>1006</v>
      </c>
      <c r="R159" s="45">
        <v>97.0</v>
      </c>
      <c r="S159" s="45">
        <v>2019.0</v>
      </c>
      <c r="T159" s="45">
        <v>97.2</v>
      </c>
      <c r="U159" s="45">
        <v>2021.0</v>
      </c>
      <c r="V159" s="45">
        <v>8.96</v>
      </c>
      <c r="W159" s="45">
        <v>84.6</v>
      </c>
      <c r="X159" s="45">
        <v>2025.0</v>
      </c>
      <c r="Y159" s="45">
        <v>0.0</v>
      </c>
      <c r="Z159" s="45">
        <v>0.0</v>
      </c>
      <c r="AA159" s="45" t="s">
        <v>2139</v>
      </c>
      <c r="AB159" s="45" t="s">
        <v>2140</v>
      </c>
      <c r="AC159" s="45">
        <v>6.305248102E9</v>
      </c>
      <c r="AD159" s="45">
        <v>7.330659994E9</v>
      </c>
      <c r="AE159" s="45" t="s">
        <v>52</v>
      </c>
      <c r="AF159" s="45" t="s">
        <v>463</v>
      </c>
      <c r="AG159" s="45" t="s">
        <v>2141</v>
      </c>
      <c r="AH159" s="45" t="s">
        <v>2142</v>
      </c>
      <c r="AI159" s="45">
        <v>9.35</v>
      </c>
      <c r="AJ159" s="45">
        <v>9.07</v>
      </c>
      <c r="AK159" s="45">
        <v>8.45</v>
      </c>
      <c r="AL159" s="45">
        <v>0.0</v>
      </c>
      <c r="AM159" s="45">
        <v>8.96</v>
      </c>
      <c r="AN159" s="45">
        <v>8.96</v>
      </c>
      <c r="AO159" s="45" t="s">
        <v>28</v>
      </c>
      <c r="AQ159" s="45" t="s">
        <v>1011</v>
      </c>
      <c r="AT159" s="45" t="s">
        <v>1012</v>
      </c>
    </row>
    <row r="160">
      <c r="A160" s="107"/>
      <c r="B160" s="108" t="s">
        <v>465</v>
      </c>
      <c r="C160" s="109" t="s">
        <v>2143</v>
      </c>
      <c r="D160" s="108" t="s">
        <v>2144</v>
      </c>
      <c r="E160" s="108" t="s">
        <v>466</v>
      </c>
      <c r="F160" s="108">
        <v>0.0</v>
      </c>
      <c r="G160" s="110">
        <v>9.26928E11</v>
      </c>
      <c r="H160" s="111" t="s">
        <v>1003</v>
      </c>
      <c r="I160" s="111">
        <v>16680.0</v>
      </c>
      <c r="J160" s="111" t="s">
        <v>1003</v>
      </c>
      <c r="K160" s="108" t="s">
        <v>1003</v>
      </c>
      <c r="L160" s="112" t="s">
        <v>2145</v>
      </c>
      <c r="M160" s="106">
        <v>5697.0</v>
      </c>
      <c r="N160" s="113">
        <v>0.0</v>
      </c>
      <c r="O160" s="106" t="s">
        <v>2146</v>
      </c>
      <c r="P160" s="106" t="s">
        <v>60</v>
      </c>
      <c r="Q160" s="45" t="s">
        <v>1006</v>
      </c>
      <c r="R160" s="45">
        <v>100.0</v>
      </c>
      <c r="S160" s="45">
        <v>2019.0</v>
      </c>
      <c r="T160" s="45">
        <v>98.1</v>
      </c>
      <c r="U160" s="45">
        <v>2021.0</v>
      </c>
      <c r="V160" s="45">
        <v>8.99</v>
      </c>
      <c r="W160" s="45">
        <v>84.9</v>
      </c>
      <c r="X160" s="45">
        <v>2025.0</v>
      </c>
      <c r="Y160" s="45">
        <v>0.0</v>
      </c>
      <c r="Z160" s="45">
        <v>0.0</v>
      </c>
      <c r="AA160" s="45" t="s">
        <v>2147</v>
      </c>
      <c r="AB160" s="45" t="s">
        <v>2148</v>
      </c>
      <c r="AC160" s="45">
        <v>9.347779563E9</v>
      </c>
      <c r="AD160" s="45">
        <v>9.502552354E9</v>
      </c>
      <c r="AE160" s="45" t="s">
        <v>467</v>
      </c>
      <c r="AF160" s="45">
        <v>0.0</v>
      </c>
      <c r="AG160" s="45" t="s">
        <v>2149</v>
      </c>
      <c r="AH160" s="45" t="s">
        <v>2150</v>
      </c>
      <c r="AI160" s="45">
        <v>9.43</v>
      </c>
      <c r="AJ160" s="45">
        <v>9.17</v>
      </c>
      <c r="AK160" s="45">
        <v>8.32</v>
      </c>
      <c r="AL160" s="45">
        <v>0.0</v>
      </c>
      <c r="AM160" s="45">
        <v>8.96</v>
      </c>
      <c r="AN160" s="45">
        <v>8.99</v>
      </c>
      <c r="AO160" s="45" t="s">
        <v>28</v>
      </c>
      <c r="AQ160" s="45" t="s">
        <v>1011</v>
      </c>
      <c r="AT160" s="45" t="s">
        <v>1028</v>
      </c>
    </row>
    <row r="161">
      <c r="A161" s="107"/>
      <c r="B161" s="108" t="s">
        <v>468</v>
      </c>
      <c r="C161" s="109" t="s">
        <v>2151</v>
      </c>
      <c r="D161" s="108" t="s">
        <v>1952</v>
      </c>
      <c r="E161" s="108" t="s">
        <v>469</v>
      </c>
      <c r="F161" s="108">
        <v>0.0</v>
      </c>
      <c r="G161" s="110">
        <v>8.1635E11</v>
      </c>
      <c r="H161" s="111" t="s">
        <v>1003</v>
      </c>
      <c r="I161" s="111">
        <v>8880.0</v>
      </c>
      <c r="J161" s="111">
        <v>12151.0</v>
      </c>
      <c r="K161" s="108">
        <v>15042.0</v>
      </c>
      <c r="L161" s="112" t="s">
        <v>2152</v>
      </c>
      <c r="M161" s="106">
        <v>0.0</v>
      </c>
      <c r="N161" s="113">
        <v>0.0</v>
      </c>
      <c r="O161" s="114">
        <v>37478.0</v>
      </c>
      <c r="P161" s="106" t="s">
        <v>46</v>
      </c>
      <c r="Q161" s="45" t="s">
        <v>1006</v>
      </c>
      <c r="R161" s="45">
        <v>97.0</v>
      </c>
      <c r="S161" s="45">
        <v>2019.0</v>
      </c>
      <c r="T161" s="45">
        <v>95.0</v>
      </c>
      <c r="U161" s="45">
        <v>2021.0</v>
      </c>
      <c r="V161" s="45">
        <v>8.68</v>
      </c>
      <c r="W161" s="45">
        <v>81.8</v>
      </c>
      <c r="X161" s="45">
        <v>2025.0</v>
      </c>
      <c r="Y161" s="45">
        <v>0.0</v>
      </c>
      <c r="Z161" s="45">
        <v>0.0</v>
      </c>
      <c r="AA161" s="45" t="s">
        <v>2153</v>
      </c>
      <c r="AB161" s="45" t="s">
        <v>2154</v>
      </c>
      <c r="AC161" s="45">
        <v>8.179942242E9</v>
      </c>
      <c r="AD161" s="45">
        <v>9.440267323E9</v>
      </c>
      <c r="AE161" s="45" t="s">
        <v>228</v>
      </c>
      <c r="AF161" s="45">
        <v>0.0</v>
      </c>
      <c r="AG161" s="45" t="s">
        <v>2155</v>
      </c>
      <c r="AH161" s="45" t="s">
        <v>2156</v>
      </c>
      <c r="AI161" s="45">
        <v>8.84</v>
      </c>
      <c r="AJ161" s="45">
        <v>8.68</v>
      </c>
      <c r="AK161" s="45">
        <v>8.05</v>
      </c>
      <c r="AL161" s="45">
        <v>0.0</v>
      </c>
      <c r="AM161" s="45">
        <v>8.65</v>
      </c>
      <c r="AN161" s="45">
        <v>8.68</v>
      </c>
      <c r="AO161" s="45" t="s">
        <v>27</v>
      </c>
      <c r="AQ161" s="45" t="s">
        <v>1011</v>
      </c>
      <c r="AT161" s="45" t="s">
        <v>1028</v>
      </c>
    </row>
    <row r="162">
      <c r="A162" s="107"/>
      <c r="B162" s="108" t="s">
        <v>470</v>
      </c>
      <c r="C162" s="109" t="s">
        <v>2157</v>
      </c>
      <c r="D162" s="108" t="s">
        <v>2158</v>
      </c>
      <c r="E162" s="108" t="s">
        <v>471</v>
      </c>
      <c r="F162" s="108">
        <v>0.0</v>
      </c>
      <c r="G162" s="110">
        <v>6.13082E11</v>
      </c>
      <c r="H162" s="111" t="s">
        <v>1003</v>
      </c>
      <c r="I162" s="111" t="s">
        <v>1003</v>
      </c>
      <c r="J162" s="111" t="s">
        <v>1003</v>
      </c>
      <c r="K162" s="108" t="s">
        <v>1003</v>
      </c>
      <c r="L162" s="112" t="s">
        <v>2159</v>
      </c>
      <c r="M162" s="106">
        <v>0.0</v>
      </c>
      <c r="N162" s="113">
        <v>0.0</v>
      </c>
      <c r="O162" s="114">
        <v>37775.0</v>
      </c>
      <c r="P162" s="106" t="s">
        <v>46</v>
      </c>
      <c r="Q162" s="45" t="s">
        <v>1006</v>
      </c>
      <c r="R162" s="45">
        <v>95.0</v>
      </c>
      <c r="S162" s="45">
        <v>2019.0</v>
      </c>
      <c r="T162" s="45">
        <v>73.0</v>
      </c>
      <c r="U162" s="45">
        <v>2022.0</v>
      </c>
      <c r="V162" s="45">
        <v>0.0</v>
      </c>
      <c r="W162" s="45">
        <v>-5.0</v>
      </c>
      <c r="X162" s="45">
        <v>2025.0</v>
      </c>
      <c r="Y162" s="45">
        <v>9.0</v>
      </c>
      <c r="Z162" s="45">
        <v>10.0</v>
      </c>
      <c r="AA162" s="45" t="s">
        <v>2160</v>
      </c>
      <c r="AB162" s="45" t="s">
        <v>2160</v>
      </c>
      <c r="AC162" s="45">
        <v>8.096854989E9</v>
      </c>
      <c r="AD162" s="45">
        <v>9.390323999E9</v>
      </c>
      <c r="AE162" s="45">
        <v>0.0</v>
      </c>
      <c r="AF162" s="45">
        <v>0.0</v>
      </c>
      <c r="AG162" s="45" t="s">
        <v>2161</v>
      </c>
      <c r="AH162" s="45" t="s">
        <v>2162</v>
      </c>
      <c r="AI162" s="45">
        <v>0.0</v>
      </c>
      <c r="AJ162" s="45">
        <v>0.0</v>
      </c>
      <c r="AK162" s="45">
        <v>0.0</v>
      </c>
      <c r="AL162" s="45">
        <v>0.0</v>
      </c>
      <c r="AM162" s="45">
        <v>3.99</v>
      </c>
      <c r="AN162" s="45">
        <v>0.0</v>
      </c>
      <c r="AO162" s="45" t="s">
        <v>28</v>
      </c>
      <c r="AQ162" s="45" t="s">
        <v>1011</v>
      </c>
      <c r="AT162" s="45" t="s">
        <v>1012</v>
      </c>
    </row>
    <row r="163">
      <c r="A163" s="107"/>
      <c r="B163" s="108" t="s">
        <v>472</v>
      </c>
      <c r="C163" s="109" t="s">
        <v>2163</v>
      </c>
      <c r="D163" s="108" t="s">
        <v>1599</v>
      </c>
      <c r="E163" s="108" t="s">
        <v>473</v>
      </c>
      <c r="F163" s="108">
        <v>0.0</v>
      </c>
      <c r="G163" s="110">
        <v>8.08083E11</v>
      </c>
      <c r="H163" s="111" t="s">
        <v>1003</v>
      </c>
      <c r="I163" s="111" t="s">
        <v>1003</v>
      </c>
      <c r="J163" s="111" t="s">
        <v>1003</v>
      </c>
      <c r="K163" s="108" t="s">
        <v>1003</v>
      </c>
      <c r="L163" s="112" t="s">
        <v>1870</v>
      </c>
      <c r="M163" s="106">
        <v>6763.0</v>
      </c>
      <c r="N163" s="113">
        <v>0.0</v>
      </c>
      <c r="O163" s="106" t="s">
        <v>1397</v>
      </c>
      <c r="P163" s="106" t="s">
        <v>46</v>
      </c>
      <c r="Q163" s="45" t="s">
        <v>1006</v>
      </c>
      <c r="R163" s="45">
        <v>90.2</v>
      </c>
      <c r="S163" s="45">
        <v>2019.0</v>
      </c>
      <c r="T163" s="45">
        <v>95.4</v>
      </c>
      <c r="U163" s="45">
        <v>2021.0</v>
      </c>
      <c r="V163" s="45">
        <v>8.46</v>
      </c>
      <c r="W163" s="45">
        <v>79.6</v>
      </c>
      <c r="X163" s="45">
        <v>2025.0</v>
      </c>
      <c r="Y163" s="45">
        <v>0.0</v>
      </c>
      <c r="Z163" s="45">
        <v>0.0</v>
      </c>
      <c r="AA163" s="45" t="s">
        <v>2164</v>
      </c>
      <c r="AB163" s="45" t="s">
        <v>2165</v>
      </c>
      <c r="AC163" s="45">
        <v>7.396977358E9</v>
      </c>
      <c r="AD163" s="45">
        <v>9.347301316E9</v>
      </c>
      <c r="AE163" s="45" t="s">
        <v>2166</v>
      </c>
      <c r="AF163" s="45" t="s">
        <v>957</v>
      </c>
      <c r="AG163" s="45" t="s">
        <v>2167</v>
      </c>
      <c r="AH163" s="45" t="s">
        <v>2168</v>
      </c>
      <c r="AI163" s="45">
        <v>8.3</v>
      </c>
      <c r="AJ163" s="45">
        <v>8.85</v>
      </c>
      <c r="AK163" s="45">
        <v>7.77</v>
      </c>
      <c r="AL163" s="45">
        <v>0.0</v>
      </c>
      <c r="AM163" s="45">
        <v>8.52</v>
      </c>
      <c r="AN163" s="45">
        <v>8.46</v>
      </c>
      <c r="AO163" s="45" t="s">
        <v>27</v>
      </c>
      <c r="AQ163" s="45" t="s">
        <v>1011</v>
      </c>
      <c r="AT163" s="45" t="s">
        <v>1028</v>
      </c>
    </row>
    <row r="164">
      <c r="A164" s="107"/>
      <c r="B164" s="108" t="s">
        <v>475</v>
      </c>
      <c r="C164" s="109" t="s">
        <v>2169</v>
      </c>
      <c r="D164" s="108" t="s">
        <v>2170</v>
      </c>
      <c r="E164" s="108" t="s">
        <v>476</v>
      </c>
      <c r="F164" s="108">
        <v>0.0</v>
      </c>
      <c r="G164" s="110">
        <v>5.41299E11</v>
      </c>
      <c r="H164" s="111" t="s">
        <v>1003</v>
      </c>
      <c r="I164" s="111" t="s">
        <v>1003</v>
      </c>
      <c r="J164" s="111" t="s">
        <v>1003</v>
      </c>
      <c r="K164" s="108" t="s">
        <v>1003</v>
      </c>
      <c r="L164" s="112" t="s">
        <v>2171</v>
      </c>
      <c r="M164" s="106">
        <v>39000.0</v>
      </c>
      <c r="N164" s="113">
        <v>0.0</v>
      </c>
      <c r="O164" s="114">
        <v>37812.0</v>
      </c>
      <c r="P164" s="106" t="s">
        <v>46</v>
      </c>
      <c r="Q164" s="45" t="s">
        <v>1006</v>
      </c>
      <c r="R164" s="45">
        <v>58.9</v>
      </c>
      <c r="S164" s="45">
        <v>2019.0</v>
      </c>
      <c r="T164" s="45">
        <v>64.2</v>
      </c>
      <c r="U164" s="45">
        <v>2021.0</v>
      </c>
      <c r="V164" s="45">
        <v>0.0</v>
      </c>
      <c r="W164" s="45">
        <v>-5.0</v>
      </c>
      <c r="X164" s="45">
        <v>2025.0</v>
      </c>
      <c r="Y164" s="45">
        <v>17.0</v>
      </c>
      <c r="Z164" s="45">
        <v>15.0</v>
      </c>
      <c r="AA164" s="45" t="s">
        <v>2172</v>
      </c>
      <c r="AB164" s="45" t="s">
        <v>2173</v>
      </c>
      <c r="AC164" s="45">
        <v>9.393504149E9</v>
      </c>
      <c r="AD164" s="45">
        <v>9.393504149E9</v>
      </c>
      <c r="AE164" s="45">
        <v>0.0</v>
      </c>
      <c r="AF164" s="45">
        <v>0.0</v>
      </c>
      <c r="AG164" s="45" t="s">
        <v>2174</v>
      </c>
      <c r="AH164" s="45" t="s">
        <v>2175</v>
      </c>
      <c r="AI164" s="45">
        <v>0.0</v>
      </c>
      <c r="AJ164" s="45">
        <v>0.0</v>
      </c>
      <c r="AK164" s="45">
        <v>0.0</v>
      </c>
      <c r="AL164" s="45">
        <v>0.0</v>
      </c>
      <c r="AM164" s="45">
        <v>4.19</v>
      </c>
      <c r="AN164" s="45">
        <v>0.0</v>
      </c>
      <c r="AO164" s="45" t="s">
        <v>27</v>
      </c>
      <c r="AQ164" s="45" t="s">
        <v>1011</v>
      </c>
      <c r="AT164" s="45" t="s">
        <v>1012</v>
      </c>
    </row>
    <row r="165">
      <c r="A165" s="107"/>
      <c r="B165" s="108" t="s">
        <v>477</v>
      </c>
      <c r="C165" s="109" t="s">
        <v>1294</v>
      </c>
      <c r="D165" s="108" t="s">
        <v>2157</v>
      </c>
      <c r="E165" s="108" t="s">
        <v>478</v>
      </c>
      <c r="F165" s="108">
        <v>0.0</v>
      </c>
      <c r="G165" s="110">
        <v>6.346E11</v>
      </c>
      <c r="H165" s="111" t="s">
        <v>1003</v>
      </c>
      <c r="I165" s="111" t="s">
        <v>1003</v>
      </c>
      <c r="J165" s="111" t="s">
        <v>1003</v>
      </c>
      <c r="K165" s="108" t="s">
        <v>1003</v>
      </c>
      <c r="L165" s="112" t="s">
        <v>2176</v>
      </c>
      <c r="M165" s="106">
        <v>19442.0</v>
      </c>
      <c r="N165" s="113">
        <v>0.0</v>
      </c>
      <c r="O165" s="106" t="s">
        <v>2177</v>
      </c>
      <c r="P165" s="106" t="s">
        <v>46</v>
      </c>
      <c r="Q165" s="45" t="s">
        <v>1006</v>
      </c>
      <c r="R165" s="45">
        <v>95.0</v>
      </c>
      <c r="S165" s="45">
        <v>2018.0</v>
      </c>
      <c r="T165" s="45">
        <v>97.1</v>
      </c>
      <c r="U165" s="45">
        <v>2020.0</v>
      </c>
      <c r="V165" s="45">
        <v>8.81</v>
      </c>
      <c r="W165" s="45">
        <v>83.1</v>
      </c>
      <c r="X165" s="45">
        <v>2025.0</v>
      </c>
      <c r="Y165" s="45">
        <v>0.0</v>
      </c>
      <c r="Z165" s="45">
        <v>0.0</v>
      </c>
      <c r="AA165" s="45" t="s">
        <v>2178</v>
      </c>
      <c r="AB165" s="45" t="s">
        <v>2179</v>
      </c>
      <c r="AC165" s="45">
        <v>9.701600853E9</v>
      </c>
      <c r="AD165" s="45">
        <v>9.912996728E9</v>
      </c>
      <c r="AE165" s="45" t="s">
        <v>79</v>
      </c>
      <c r="AF165" s="45">
        <v>0.0</v>
      </c>
      <c r="AG165" s="45" t="s">
        <v>2180</v>
      </c>
      <c r="AH165" s="45" t="s">
        <v>2181</v>
      </c>
      <c r="AI165" s="45">
        <v>9.0</v>
      </c>
      <c r="AJ165" s="45">
        <v>9.02</v>
      </c>
      <c r="AK165" s="45">
        <v>0.0</v>
      </c>
      <c r="AL165" s="45">
        <v>0.0</v>
      </c>
      <c r="AM165" s="45">
        <v>8.84</v>
      </c>
      <c r="AN165" s="45">
        <v>8.81</v>
      </c>
      <c r="AO165" s="45" t="s">
        <v>27</v>
      </c>
      <c r="AQ165" s="45" t="s">
        <v>1011</v>
      </c>
      <c r="AT165" s="45" t="s">
        <v>1028</v>
      </c>
    </row>
    <row r="166">
      <c r="A166" s="107"/>
      <c r="B166" s="108" t="s">
        <v>479</v>
      </c>
      <c r="C166" s="109" t="s">
        <v>2182</v>
      </c>
      <c r="D166" s="108" t="s">
        <v>2183</v>
      </c>
      <c r="E166" s="108" t="s">
        <v>480</v>
      </c>
      <c r="F166" s="108">
        <v>0.0</v>
      </c>
      <c r="G166" s="110">
        <v>9.77592E11</v>
      </c>
      <c r="H166" s="111" t="s">
        <v>1003</v>
      </c>
      <c r="I166" s="111" t="s">
        <v>1003</v>
      </c>
      <c r="J166" s="111" t="s">
        <v>1003</v>
      </c>
      <c r="K166" s="108" t="s">
        <v>1003</v>
      </c>
      <c r="L166" s="112" t="s">
        <v>1123</v>
      </c>
      <c r="M166" s="106">
        <v>7829.0</v>
      </c>
      <c r="N166" s="113">
        <v>0.0</v>
      </c>
      <c r="O166" s="106" t="s">
        <v>1983</v>
      </c>
      <c r="P166" s="106" t="s">
        <v>46</v>
      </c>
      <c r="Q166" s="45" t="s">
        <v>1006</v>
      </c>
      <c r="R166" s="45">
        <v>100.0</v>
      </c>
      <c r="S166" s="45">
        <v>2019.0</v>
      </c>
      <c r="T166" s="45">
        <v>96.0</v>
      </c>
      <c r="U166" s="45">
        <v>2021.0</v>
      </c>
      <c r="V166" s="45">
        <v>8.73</v>
      </c>
      <c r="W166" s="45">
        <v>82.3</v>
      </c>
      <c r="X166" s="45">
        <v>2025.0</v>
      </c>
      <c r="Y166" s="45">
        <v>0.0</v>
      </c>
      <c r="Z166" s="45">
        <v>0.0</v>
      </c>
      <c r="AA166" s="45" t="s">
        <v>2184</v>
      </c>
      <c r="AB166" s="45" t="s">
        <v>2185</v>
      </c>
      <c r="AC166" s="45">
        <v>9.121795308E9</v>
      </c>
      <c r="AD166" s="45">
        <v>9.849195308E9</v>
      </c>
      <c r="AE166" s="45" t="s">
        <v>2186</v>
      </c>
      <c r="AF166" s="45">
        <v>0.0</v>
      </c>
      <c r="AG166" s="45" t="s">
        <v>2187</v>
      </c>
      <c r="AH166" s="45" t="s">
        <v>2188</v>
      </c>
      <c r="AI166" s="45">
        <v>8.95</v>
      </c>
      <c r="AJ166" s="45">
        <v>8.68</v>
      </c>
      <c r="AK166" s="45">
        <v>7.91</v>
      </c>
      <c r="AL166" s="45">
        <v>0.0</v>
      </c>
      <c r="AM166" s="45">
        <v>8.68</v>
      </c>
      <c r="AN166" s="45">
        <v>8.73</v>
      </c>
      <c r="AO166" s="45" t="s">
        <v>27</v>
      </c>
      <c r="AQ166" s="45" t="s">
        <v>1011</v>
      </c>
      <c r="AT166" s="45" t="s">
        <v>1028</v>
      </c>
    </row>
    <row r="167">
      <c r="A167" s="107"/>
      <c r="B167" s="108" t="s">
        <v>482</v>
      </c>
      <c r="C167" s="109" t="s">
        <v>2189</v>
      </c>
      <c r="D167" s="108" t="s">
        <v>2190</v>
      </c>
      <c r="E167" s="108" t="s">
        <v>483</v>
      </c>
      <c r="F167" s="108">
        <v>0.0</v>
      </c>
      <c r="G167" s="110">
        <v>5.31105E11</v>
      </c>
      <c r="H167" s="111" t="s">
        <v>1003</v>
      </c>
      <c r="I167" s="111">
        <v>6958.0</v>
      </c>
      <c r="J167" s="111" t="s">
        <v>1003</v>
      </c>
      <c r="K167" s="108" t="s">
        <v>1003</v>
      </c>
      <c r="L167" s="112" t="s">
        <v>2191</v>
      </c>
      <c r="M167" s="106">
        <v>0.0</v>
      </c>
      <c r="N167" s="113">
        <v>0.0</v>
      </c>
      <c r="O167" s="106" t="s">
        <v>1472</v>
      </c>
      <c r="P167" s="106" t="s">
        <v>60</v>
      </c>
      <c r="Q167" s="45" t="s">
        <v>1006</v>
      </c>
      <c r="R167" s="45">
        <v>97.0</v>
      </c>
      <c r="S167" s="45">
        <v>2019.0</v>
      </c>
      <c r="T167" s="45">
        <v>94.8</v>
      </c>
      <c r="U167" s="45">
        <v>2021.0</v>
      </c>
      <c r="V167" s="45">
        <v>8.56</v>
      </c>
      <c r="W167" s="45">
        <v>80.6</v>
      </c>
      <c r="X167" s="45">
        <v>2025.0</v>
      </c>
      <c r="Y167" s="45">
        <v>0.0</v>
      </c>
      <c r="Z167" s="45">
        <v>0.0</v>
      </c>
      <c r="AA167" s="45" t="s">
        <v>2192</v>
      </c>
      <c r="AB167" s="45" t="s">
        <v>2193</v>
      </c>
      <c r="AC167" s="45">
        <v>9.014882199E9</v>
      </c>
      <c r="AD167" s="45">
        <v>9.246936559E9</v>
      </c>
      <c r="AE167" s="45">
        <v>0.0</v>
      </c>
      <c r="AF167" s="45">
        <v>0.0</v>
      </c>
      <c r="AG167" s="45" t="s">
        <v>2194</v>
      </c>
      <c r="AH167" s="45" t="s">
        <v>2195</v>
      </c>
      <c r="AI167" s="45">
        <v>8.59</v>
      </c>
      <c r="AJ167" s="45">
        <v>8.56</v>
      </c>
      <c r="AK167" s="45">
        <v>7.73</v>
      </c>
      <c r="AL167" s="45">
        <v>0.0</v>
      </c>
      <c r="AM167" s="45">
        <v>8.57</v>
      </c>
      <c r="AN167" s="45">
        <v>8.56</v>
      </c>
      <c r="AO167" s="45" t="s">
        <v>27</v>
      </c>
      <c r="AQ167" s="45" t="s">
        <v>1011</v>
      </c>
      <c r="AT167" s="45" t="s">
        <v>1028</v>
      </c>
    </row>
    <row r="168">
      <c r="A168" s="107"/>
      <c r="B168" s="108" t="s">
        <v>484</v>
      </c>
      <c r="C168" s="109" t="s">
        <v>2196</v>
      </c>
      <c r="D168" s="108" t="s">
        <v>2197</v>
      </c>
      <c r="E168" s="108" t="s">
        <v>485</v>
      </c>
      <c r="F168" s="108">
        <v>0.0</v>
      </c>
      <c r="G168" s="110">
        <v>7.77466E11</v>
      </c>
      <c r="H168" s="111" t="s">
        <v>1003</v>
      </c>
      <c r="I168" s="111">
        <v>18702.0</v>
      </c>
      <c r="J168" s="111">
        <v>24042.0</v>
      </c>
      <c r="K168" s="108">
        <v>28704.0</v>
      </c>
      <c r="L168" s="112" t="s">
        <v>1774</v>
      </c>
      <c r="M168" s="106">
        <v>5163.0</v>
      </c>
      <c r="N168" s="113">
        <v>0.0</v>
      </c>
      <c r="O168" s="106" t="s">
        <v>1405</v>
      </c>
      <c r="P168" s="106" t="s">
        <v>46</v>
      </c>
      <c r="Q168" s="45" t="s">
        <v>1006</v>
      </c>
      <c r="R168" s="45">
        <v>91.0</v>
      </c>
      <c r="S168" s="45">
        <v>2019.0</v>
      </c>
      <c r="T168" s="45">
        <v>93.6</v>
      </c>
      <c r="U168" s="45">
        <v>2021.0</v>
      </c>
      <c r="V168" s="45">
        <v>8.48</v>
      </c>
      <c r="W168" s="45">
        <v>79.8</v>
      </c>
      <c r="X168" s="45">
        <v>2025.0</v>
      </c>
      <c r="Y168" s="45">
        <v>0.0</v>
      </c>
      <c r="Z168" s="45">
        <v>0.0</v>
      </c>
      <c r="AA168" s="45" t="s">
        <v>2198</v>
      </c>
      <c r="AB168" s="45" t="s">
        <v>2199</v>
      </c>
      <c r="AC168" s="45">
        <v>9.100442678E9</v>
      </c>
      <c r="AD168" s="45">
        <v>8.688724994E9</v>
      </c>
      <c r="AE168" s="45" t="s">
        <v>52</v>
      </c>
      <c r="AF168" s="45">
        <v>0.0</v>
      </c>
      <c r="AG168" s="45" t="s">
        <v>2200</v>
      </c>
      <c r="AH168" s="45" t="s">
        <v>2201</v>
      </c>
      <c r="AI168" s="45">
        <v>8.84</v>
      </c>
      <c r="AJ168" s="45">
        <v>8.63</v>
      </c>
      <c r="AK168" s="45">
        <v>8.05</v>
      </c>
      <c r="AL168" s="45">
        <v>0.0</v>
      </c>
      <c r="AM168" s="45">
        <v>8.51</v>
      </c>
      <c r="AN168" s="45">
        <v>8.48</v>
      </c>
      <c r="AO168" s="45" t="s">
        <v>27</v>
      </c>
      <c r="AQ168" s="45" t="s">
        <v>1011</v>
      </c>
      <c r="AT168" s="45" t="s">
        <v>1012</v>
      </c>
    </row>
    <row r="169">
      <c r="A169" s="107"/>
      <c r="B169" s="108" t="s">
        <v>487</v>
      </c>
      <c r="C169" s="109" t="s">
        <v>2202</v>
      </c>
      <c r="D169" s="108" t="s">
        <v>2203</v>
      </c>
      <c r="E169" s="108" t="s">
        <v>488</v>
      </c>
      <c r="F169" s="108">
        <v>0.0</v>
      </c>
      <c r="G169" s="110">
        <v>6.35068E11</v>
      </c>
      <c r="H169" s="111" t="s">
        <v>1003</v>
      </c>
      <c r="I169" s="111">
        <v>856.0</v>
      </c>
      <c r="J169" s="111" t="s">
        <v>1003</v>
      </c>
      <c r="K169" s="108" t="s">
        <v>1003</v>
      </c>
      <c r="L169" s="112" t="s">
        <v>1123</v>
      </c>
      <c r="M169" s="106">
        <v>44989.0</v>
      </c>
      <c r="N169" s="113">
        <v>0.0</v>
      </c>
      <c r="O169" s="114">
        <v>38210.0</v>
      </c>
      <c r="P169" s="106" t="s">
        <v>60</v>
      </c>
      <c r="Q169" s="45" t="s">
        <v>1006</v>
      </c>
      <c r="R169" s="45">
        <v>85.0</v>
      </c>
      <c r="S169" s="45">
        <v>2018.0</v>
      </c>
      <c r="T169" s="45">
        <v>67.0</v>
      </c>
      <c r="U169" s="45">
        <v>2020.0</v>
      </c>
      <c r="V169" s="45">
        <v>6.45</v>
      </c>
      <c r="W169" s="45">
        <v>59.5</v>
      </c>
      <c r="X169" s="45">
        <v>2025.0</v>
      </c>
      <c r="Y169" s="45">
        <v>0.0</v>
      </c>
      <c r="Z169" s="45">
        <v>2.0</v>
      </c>
      <c r="AA169" s="45" t="s">
        <v>2204</v>
      </c>
      <c r="AB169" s="45" t="s">
        <v>2205</v>
      </c>
      <c r="AC169" s="45">
        <v>9.281411005E9</v>
      </c>
      <c r="AD169" s="45">
        <v>9.989557523E9</v>
      </c>
      <c r="AE169" s="45" t="s">
        <v>440</v>
      </c>
      <c r="AF169" s="45" t="s">
        <v>440</v>
      </c>
      <c r="AG169" s="45" t="s">
        <v>2206</v>
      </c>
      <c r="AH169" s="45" t="s">
        <v>2207</v>
      </c>
      <c r="AI169" s="45">
        <v>6.95</v>
      </c>
      <c r="AJ169" s="45">
        <v>0.0</v>
      </c>
      <c r="AK169" s="45">
        <v>0.0</v>
      </c>
      <c r="AL169" s="45">
        <v>0.0</v>
      </c>
      <c r="AM169" s="45">
        <v>6.42</v>
      </c>
      <c r="AN169" s="45">
        <v>6.45</v>
      </c>
      <c r="AO169" s="45" t="s">
        <v>27</v>
      </c>
      <c r="AQ169" s="45" t="s">
        <v>1011</v>
      </c>
      <c r="AT169" s="45" t="s">
        <v>1028</v>
      </c>
    </row>
    <row r="170">
      <c r="A170" s="107"/>
      <c r="B170" s="108" t="s">
        <v>489</v>
      </c>
      <c r="C170" s="109" t="s">
        <v>2208</v>
      </c>
      <c r="D170" s="108" t="s">
        <v>2209</v>
      </c>
      <c r="E170" s="108" t="s">
        <v>490</v>
      </c>
      <c r="F170" s="108">
        <v>0.0</v>
      </c>
      <c r="G170" s="110">
        <v>9.85513E11</v>
      </c>
      <c r="H170" s="111" t="s">
        <v>1003</v>
      </c>
      <c r="I170" s="111">
        <v>7480.0</v>
      </c>
      <c r="J170" s="111">
        <v>8541.0</v>
      </c>
      <c r="K170" s="108" t="s">
        <v>1003</v>
      </c>
      <c r="L170" s="112" t="s">
        <v>1404</v>
      </c>
      <c r="M170" s="106">
        <v>95762.0</v>
      </c>
      <c r="N170" s="113">
        <v>0.0</v>
      </c>
      <c r="O170" s="114">
        <v>37989.0</v>
      </c>
      <c r="P170" s="106" t="s">
        <v>46</v>
      </c>
      <c r="Q170" s="45" t="s">
        <v>1006</v>
      </c>
      <c r="R170" s="45">
        <v>82.0</v>
      </c>
      <c r="S170" s="45">
        <v>2019.0</v>
      </c>
      <c r="T170" s="45">
        <v>82.4</v>
      </c>
      <c r="U170" s="45">
        <v>2021.0</v>
      </c>
      <c r="V170" s="45">
        <v>7.04</v>
      </c>
      <c r="W170" s="45">
        <v>65.4</v>
      </c>
      <c r="X170" s="45">
        <v>2025.0</v>
      </c>
      <c r="Y170" s="45">
        <v>0.0</v>
      </c>
      <c r="Z170" s="45">
        <v>0.0</v>
      </c>
      <c r="AA170" s="45" t="s">
        <v>2210</v>
      </c>
      <c r="AB170" s="45" t="s">
        <v>2211</v>
      </c>
      <c r="AC170" s="45">
        <v>9.100332727E9</v>
      </c>
      <c r="AD170" s="45">
        <v>9.000034242E9</v>
      </c>
      <c r="AE170" s="45" t="s">
        <v>278</v>
      </c>
      <c r="AF170" s="45">
        <v>0.0</v>
      </c>
      <c r="AG170" s="45" t="s">
        <v>2212</v>
      </c>
      <c r="AH170" s="45" t="s">
        <v>2213</v>
      </c>
      <c r="AI170" s="45">
        <v>7.59</v>
      </c>
      <c r="AJ170" s="45">
        <v>7.49</v>
      </c>
      <c r="AK170" s="45">
        <v>6.57</v>
      </c>
      <c r="AL170" s="45">
        <v>0.0</v>
      </c>
      <c r="AM170" s="45">
        <v>7.08</v>
      </c>
      <c r="AN170" s="45">
        <v>7.04</v>
      </c>
      <c r="AO170" s="45" t="s">
        <v>28</v>
      </c>
      <c r="AQ170" s="45" t="s">
        <v>1011</v>
      </c>
      <c r="AT170" s="45" t="s">
        <v>1012</v>
      </c>
    </row>
    <row r="171">
      <c r="A171" s="107"/>
      <c r="B171" s="108" t="s">
        <v>491</v>
      </c>
      <c r="C171" s="109" t="s">
        <v>2214</v>
      </c>
      <c r="D171" s="108" t="s">
        <v>1599</v>
      </c>
      <c r="E171" s="108" t="s">
        <v>492</v>
      </c>
      <c r="F171" s="108">
        <v>0.0</v>
      </c>
      <c r="G171" s="110">
        <v>5.73694E11</v>
      </c>
      <c r="H171" s="111" t="s">
        <v>1003</v>
      </c>
      <c r="I171" s="111" t="s">
        <v>1003</v>
      </c>
      <c r="J171" s="111" t="s">
        <v>1003</v>
      </c>
      <c r="K171" s="108" t="s">
        <v>1003</v>
      </c>
      <c r="L171" s="112" t="s">
        <v>1607</v>
      </c>
      <c r="M171" s="106">
        <v>18408.0</v>
      </c>
      <c r="N171" s="113">
        <v>0.0</v>
      </c>
      <c r="O171" s="106" t="s">
        <v>1326</v>
      </c>
      <c r="P171" s="106" t="s">
        <v>46</v>
      </c>
      <c r="Q171" s="45" t="s">
        <v>1006</v>
      </c>
      <c r="R171" s="45">
        <v>83.8</v>
      </c>
      <c r="S171" s="45">
        <v>2019.0</v>
      </c>
      <c r="T171" s="45">
        <v>90.4</v>
      </c>
      <c r="U171" s="45">
        <v>2021.0</v>
      </c>
      <c r="V171" s="45">
        <v>8.69</v>
      </c>
      <c r="W171" s="45">
        <v>81.9</v>
      </c>
      <c r="X171" s="45">
        <v>2025.0</v>
      </c>
      <c r="Y171" s="45">
        <v>0.0</v>
      </c>
      <c r="Z171" s="45">
        <v>0.0</v>
      </c>
      <c r="AA171" s="45" t="s">
        <v>2215</v>
      </c>
      <c r="AB171" s="45" t="s">
        <v>2216</v>
      </c>
      <c r="AC171" s="45">
        <v>9.55048256E9</v>
      </c>
      <c r="AD171" s="45">
        <v>9.618026126E9</v>
      </c>
      <c r="AE171" s="45" t="s">
        <v>62</v>
      </c>
      <c r="AF171" s="45">
        <v>0.0</v>
      </c>
      <c r="AG171" s="45" t="s">
        <v>2217</v>
      </c>
      <c r="AH171" s="45" t="s">
        <v>2218</v>
      </c>
      <c r="AI171" s="45">
        <v>8.95</v>
      </c>
      <c r="AJ171" s="45">
        <v>8.41</v>
      </c>
      <c r="AK171" s="45">
        <v>8.05</v>
      </c>
      <c r="AL171" s="45">
        <v>0.0</v>
      </c>
      <c r="AM171" s="45">
        <v>8.73</v>
      </c>
      <c r="AN171" s="45">
        <v>8.69</v>
      </c>
      <c r="AO171" s="45" t="s">
        <v>27</v>
      </c>
      <c r="AQ171" s="45" t="s">
        <v>1011</v>
      </c>
      <c r="AT171" s="45" t="s">
        <v>1012</v>
      </c>
    </row>
    <row r="172">
      <c r="A172" s="107"/>
      <c r="B172" s="108" t="s">
        <v>493</v>
      </c>
      <c r="C172" s="109" t="s">
        <v>2219</v>
      </c>
      <c r="D172" s="108" t="s">
        <v>2220</v>
      </c>
      <c r="E172" s="108" t="s">
        <v>494</v>
      </c>
      <c r="F172" s="108">
        <v>0.0</v>
      </c>
      <c r="G172" s="110">
        <v>3.00418E11</v>
      </c>
      <c r="H172" s="111" t="s">
        <v>1003</v>
      </c>
      <c r="I172" s="111">
        <v>23873.0</v>
      </c>
      <c r="J172" s="111">
        <v>28083.0</v>
      </c>
      <c r="K172" s="108">
        <v>32561.0</v>
      </c>
      <c r="L172" s="112" t="s">
        <v>2221</v>
      </c>
      <c r="M172" s="106">
        <v>8218.0</v>
      </c>
      <c r="N172" s="113">
        <v>0.0</v>
      </c>
      <c r="O172" s="106" t="s">
        <v>2222</v>
      </c>
      <c r="P172" s="106" t="s">
        <v>46</v>
      </c>
      <c r="Q172" s="45" t="s">
        <v>1006</v>
      </c>
      <c r="R172" s="45">
        <v>98.0</v>
      </c>
      <c r="S172" s="45">
        <v>2019.0</v>
      </c>
      <c r="T172" s="45">
        <v>97.0</v>
      </c>
      <c r="U172" s="45">
        <v>2021.0</v>
      </c>
      <c r="V172" s="45">
        <v>8.84</v>
      </c>
      <c r="W172" s="45">
        <v>83.4</v>
      </c>
      <c r="X172" s="45">
        <v>2025.0</v>
      </c>
      <c r="Y172" s="45">
        <v>0.0</v>
      </c>
      <c r="Z172" s="45">
        <v>0.0</v>
      </c>
      <c r="AA172" s="45" t="s">
        <v>2223</v>
      </c>
      <c r="AB172" s="45" t="s">
        <v>2224</v>
      </c>
      <c r="AC172" s="45">
        <v>6.300399419E9</v>
      </c>
      <c r="AD172" s="45">
        <v>9.948153868E9</v>
      </c>
      <c r="AE172" s="45" t="s">
        <v>278</v>
      </c>
      <c r="AF172" s="45">
        <v>0.0</v>
      </c>
      <c r="AG172" s="45" t="s">
        <v>2225</v>
      </c>
      <c r="AH172" s="45" t="s">
        <v>2226</v>
      </c>
      <c r="AI172" s="45">
        <v>9.68</v>
      </c>
      <c r="AJ172" s="45">
        <v>8.56</v>
      </c>
      <c r="AK172" s="45">
        <v>8.32</v>
      </c>
      <c r="AL172" s="45">
        <v>0.0</v>
      </c>
      <c r="AM172" s="45">
        <v>8.83</v>
      </c>
      <c r="AN172" s="45">
        <v>8.84</v>
      </c>
      <c r="AO172" s="45" t="s">
        <v>27</v>
      </c>
      <c r="AQ172" s="45" t="s">
        <v>1011</v>
      </c>
      <c r="AT172" s="45" t="s">
        <v>1012</v>
      </c>
    </row>
    <row r="173">
      <c r="A173" s="107"/>
      <c r="B173" s="108" t="s">
        <v>495</v>
      </c>
      <c r="C173" s="109" t="s">
        <v>2227</v>
      </c>
      <c r="D173" s="108" t="s">
        <v>496</v>
      </c>
      <c r="E173" s="108" t="s">
        <v>2228</v>
      </c>
      <c r="F173" s="108">
        <v>0.0</v>
      </c>
      <c r="G173" s="110">
        <v>3.12489E11</v>
      </c>
      <c r="H173" s="111" t="s">
        <v>1003</v>
      </c>
      <c r="I173" s="111">
        <v>5235.0</v>
      </c>
      <c r="J173" s="111" t="s">
        <v>1003</v>
      </c>
      <c r="K173" s="108" t="s">
        <v>1003</v>
      </c>
      <c r="L173" s="112" t="s">
        <v>2229</v>
      </c>
      <c r="M173" s="106">
        <v>0.0</v>
      </c>
      <c r="N173" s="113">
        <v>0.0</v>
      </c>
      <c r="O173" s="106" t="s">
        <v>2230</v>
      </c>
      <c r="P173" s="106" t="s">
        <v>60</v>
      </c>
      <c r="Q173" s="45" t="s">
        <v>1006</v>
      </c>
      <c r="R173" s="45">
        <v>87.4</v>
      </c>
      <c r="S173" s="45">
        <v>2019.0</v>
      </c>
      <c r="T173" s="45">
        <v>95.0</v>
      </c>
      <c r="U173" s="45">
        <v>2021.0</v>
      </c>
      <c r="V173" s="45">
        <v>8.19</v>
      </c>
      <c r="W173" s="45">
        <v>76.9</v>
      </c>
      <c r="X173" s="45">
        <v>2025.0</v>
      </c>
      <c r="Y173" s="45">
        <v>0.0</v>
      </c>
      <c r="Z173" s="45">
        <v>0.0</v>
      </c>
      <c r="AA173" s="45" t="s">
        <v>2231</v>
      </c>
      <c r="AB173" s="45" t="s">
        <v>2232</v>
      </c>
      <c r="AC173" s="45">
        <v>8.328277307E9</v>
      </c>
      <c r="AD173" s="45">
        <v>9.885137912E9</v>
      </c>
      <c r="AE173" s="45" t="s">
        <v>406</v>
      </c>
      <c r="AF173" s="45">
        <v>0.0</v>
      </c>
      <c r="AG173" s="45" t="s">
        <v>2233</v>
      </c>
      <c r="AH173" s="45" t="s">
        <v>2234</v>
      </c>
      <c r="AI173" s="45">
        <v>8.62</v>
      </c>
      <c r="AJ173" s="45">
        <v>8.1</v>
      </c>
      <c r="AK173" s="45">
        <v>7.43</v>
      </c>
      <c r="AL173" s="45">
        <v>0.0</v>
      </c>
      <c r="AM173" s="45">
        <v>8.2</v>
      </c>
      <c r="AN173" s="45">
        <v>8.19</v>
      </c>
      <c r="AO173" s="45" t="s">
        <v>27</v>
      </c>
      <c r="AQ173" s="45" t="s">
        <v>1011</v>
      </c>
      <c r="AT173" s="45" t="s">
        <v>1012</v>
      </c>
    </row>
    <row r="174">
      <c r="A174" s="107"/>
      <c r="B174" s="108" t="s">
        <v>497</v>
      </c>
      <c r="C174" s="109" t="s">
        <v>2235</v>
      </c>
      <c r="D174" s="108" t="s">
        <v>1599</v>
      </c>
      <c r="E174" s="108" t="s">
        <v>498</v>
      </c>
      <c r="F174" s="108">
        <v>0.0</v>
      </c>
      <c r="G174" s="110">
        <v>8.86859E11</v>
      </c>
      <c r="H174" s="111" t="s">
        <v>1003</v>
      </c>
      <c r="I174" s="111" t="s">
        <v>1003</v>
      </c>
      <c r="J174" s="111" t="s">
        <v>1003</v>
      </c>
      <c r="K174" s="108" t="s">
        <v>1003</v>
      </c>
      <c r="L174" s="112" t="s">
        <v>2236</v>
      </c>
      <c r="M174" s="106">
        <v>0.0</v>
      </c>
      <c r="N174" s="113">
        <v>0.0</v>
      </c>
      <c r="O174" s="106" t="s">
        <v>2237</v>
      </c>
      <c r="P174" s="106" t="s">
        <v>46</v>
      </c>
      <c r="Q174" s="45" t="s">
        <v>1006</v>
      </c>
      <c r="R174" s="45">
        <v>85.0</v>
      </c>
      <c r="S174" s="45">
        <v>2019.0</v>
      </c>
      <c r="T174" s="45">
        <v>85.0</v>
      </c>
      <c r="U174" s="45">
        <v>2021.0</v>
      </c>
      <c r="V174" s="45">
        <v>0.0</v>
      </c>
      <c r="W174" s="45">
        <v>-5.0</v>
      </c>
      <c r="X174" s="45">
        <v>2025.0</v>
      </c>
      <c r="Y174" s="45">
        <v>1.0</v>
      </c>
      <c r="Z174" s="45">
        <v>0.0</v>
      </c>
      <c r="AA174" s="45" t="s">
        <v>2238</v>
      </c>
      <c r="AB174" s="45" t="s">
        <v>2239</v>
      </c>
      <c r="AC174" s="45">
        <v>9.573923247E9</v>
      </c>
      <c r="AD174" s="45">
        <v>9.573923247E9</v>
      </c>
      <c r="AE174" s="45">
        <v>0.0</v>
      </c>
      <c r="AF174" s="45">
        <v>0.0</v>
      </c>
      <c r="AG174" s="45" t="s">
        <v>2240</v>
      </c>
      <c r="AH174" s="45" t="s">
        <v>2241</v>
      </c>
      <c r="AI174" s="45">
        <v>7.78</v>
      </c>
      <c r="AJ174" s="45">
        <v>6.95</v>
      </c>
      <c r="AK174" s="45">
        <v>7.05</v>
      </c>
      <c r="AL174" s="45">
        <v>0.0</v>
      </c>
      <c r="AM174" s="45">
        <v>7.61</v>
      </c>
      <c r="AN174" s="45">
        <v>0.0</v>
      </c>
      <c r="AO174" s="45" t="s">
        <v>27</v>
      </c>
      <c r="AQ174" s="45" t="s">
        <v>1011</v>
      </c>
      <c r="AT174" s="45" t="s">
        <v>1012</v>
      </c>
    </row>
    <row r="175">
      <c r="A175" s="107"/>
      <c r="B175" s="108" t="s">
        <v>499</v>
      </c>
      <c r="C175" s="109" t="s">
        <v>2242</v>
      </c>
      <c r="D175" s="108" t="s">
        <v>2243</v>
      </c>
      <c r="E175" s="108" t="s">
        <v>500</v>
      </c>
      <c r="F175" s="108">
        <v>0.0</v>
      </c>
      <c r="G175" s="110">
        <v>6.53428E11</v>
      </c>
      <c r="H175" s="111" t="s">
        <v>1003</v>
      </c>
      <c r="I175" s="111">
        <v>7662.0</v>
      </c>
      <c r="J175" s="111">
        <v>10491.0</v>
      </c>
      <c r="K175" s="108">
        <v>13428.0</v>
      </c>
      <c r="L175" s="112" t="s">
        <v>2244</v>
      </c>
      <c r="M175" s="106">
        <v>9151.0</v>
      </c>
      <c r="N175" s="113">
        <v>0.0</v>
      </c>
      <c r="O175" s="106" t="s">
        <v>2245</v>
      </c>
      <c r="P175" s="106" t="s">
        <v>46</v>
      </c>
      <c r="Q175" s="45" t="s">
        <v>1006</v>
      </c>
      <c r="R175" s="45">
        <v>93.0</v>
      </c>
      <c r="S175" s="45">
        <v>2019.0</v>
      </c>
      <c r="T175" s="45">
        <v>97.4</v>
      </c>
      <c r="U175" s="45">
        <v>2021.0</v>
      </c>
      <c r="V175" s="45">
        <v>8.51</v>
      </c>
      <c r="W175" s="45">
        <v>80.1</v>
      </c>
      <c r="X175" s="45">
        <v>2025.0</v>
      </c>
      <c r="Y175" s="45">
        <v>0.0</v>
      </c>
      <c r="Z175" s="45">
        <v>0.0</v>
      </c>
      <c r="AA175" s="45" t="s">
        <v>2246</v>
      </c>
      <c r="AB175" s="45" t="s">
        <v>2247</v>
      </c>
      <c r="AC175" s="45">
        <v>7.330707153E9</v>
      </c>
      <c r="AD175" s="45">
        <v>9.849797717E9</v>
      </c>
      <c r="AE175" s="45" t="s">
        <v>406</v>
      </c>
      <c r="AF175" s="45">
        <v>0.0</v>
      </c>
      <c r="AG175" s="45" t="s">
        <v>2248</v>
      </c>
      <c r="AH175" s="45" t="s">
        <v>2249</v>
      </c>
      <c r="AI175" s="45">
        <v>9.43</v>
      </c>
      <c r="AJ175" s="45">
        <v>8.46</v>
      </c>
      <c r="AK175" s="45">
        <v>8.05</v>
      </c>
      <c r="AL175" s="45">
        <v>0.0</v>
      </c>
      <c r="AM175" s="45">
        <v>8.5</v>
      </c>
      <c r="AN175" s="45">
        <v>8.51</v>
      </c>
      <c r="AO175" s="45" t="s">
        <v>27</v>
      </c>
      <c r="AQ175" s="45" t="s">
        <v>1011</v>
      </c>
      <c r="AT175" s="45" t="s">
        <v>1012</v>
      </c>
    </row>
    <row r="176">
      <c r="A176" s="107"/>
      <c r="B176" s="108" t="s">
        <v>501</v>
      </c>
      <c r="C176" s="109" t="s">
        <v>2250</v>
      </c>
      <c r="D176" s="108" t="s">
        <v>2251</v>
      </c>
      <c r="E176" s="108" t="s">
        <v>502</v>
      </c>
      <c r="F176" s="108">
        <v>0.0</v>
      </c>
      <c r="G176" s="110">
        <v>4.88153E11</v>
      </c>
      <c r="H176" s="111" t="s">
        <v>1003</v>
      </c>
      <c r="I176" s="111">
        <v>2102.0</v>
      </c>
      <c r="J176" s="111" t="s">
        <v>1003</v>
      </c>
      <c r="K176" s="108" t="s">
        <v>1003</v>
      </c>
      <c r="L176" s="112" t="s">
        <v>1123</v>
      </c>
      <c r="M176" s="106">
        <v>0.0</v>
      </c>
      <c r="N176" s="113">
        <v>0.0</v>
      </c>
      <c r="O176" s="106" t="s">
        <v>1397</v>
      </c>
      <c r="P176" s="106" t="s">
        <v>46</v>
      </c>
      <c r="Q176" s="45" t="s">
        <v>1006</v>
      </c>
      <c r="R176" s="45">
        <v>78.0</v>
      </c>
      <c r="S176" s="45">
        <v>2019.0</v>
      </c>
      <c r="T176" s="45">
        <v>54.0</v>
      </c>
      <c r="U176" s="45">
        <v>2021.0</v>
      </c>
      <c r="V176" s="45">
        <v>0.0</v>
      </c>
      <c r="W176" s="45">
        <v>-5.0</v>
      </c>
      <c r="X176" s="45">
        <v>2025.0</v>
      </c>
      <c r="Y176" s="45">
        <v>4.0</v>
      </c>
      <c r="Z176" s="45">
        <v>4.0</v>
      </c>
      <c r="AA176" s="45" t="s">
        <v>2252</v>
      </c>
      <c r="AB176" s="45" t="s">
        <v>2253</v>
      </c>
      <c r="AC176" s="45">
        <v>9.154948181E9</v>
      </c>
      <c r="AD176" s="45">
        <v>9.963781478E9</v>
      </c>
      <c r="AE176" s="45">
        <v>0.0</v>
      </c>
      <c r="AF176" s="45">
        <v>0.0</v>
      </c>
      <c r="AG176" s="45" t="s">
        <v>2254</v>
      </c>
      <c r="AH176" s="45" t="s">
        <v>2255</v>
      </c>
      <c r="AI176" s="45">
        <v>0.0</v>
      </c>
      <c r="AJ176" s="45">
        <v>0.0</v>
      </c>
      <c r="AK176" s="45">
        <v>0.0</v>
      </c>
      <c r="AL176" s="45">
        <v>0.0</v>
      </c>
      <c r="AM176" s="45">
        <v>5.9</v>
      </c>
      <c r="AN176" s="45">
        <v>0.0</v>
      </c>
      <c r="AO176" s="45" t="s">
        <v>27</v>
      </c>
      <c r="AQ176" s="45" t="s">
        <v>1011</v>
      </c>
      <c r="AT176" s="45" t="s">
        <v>1012</v>
      </c>
    </row>
    <row r="177">
      <c r="A177" s="107"/>
      <c r="B177" s="108" t="s">
        <v>503</v>
      </c>
      <c r="C177" s="109" t="s">
        <v>2256</v>
      </c>
      <c r="D177" s="108" t="s">
        <v>2257</v>
      </c>
      <c r="E177" s="108" t="s">
        <v>504</v>
      </c>
      <c r="F177" s="108">
        <v>0.0</v>
      </c>
      <c r="G177" s="110">
        <v>3.85494E11</v>
      </c>
      <c r="H177" s="111" t="s">
        <v>1003</v>
      </c>
      <c r="I177" s="111" t="s">
        <v>1003</v>
      </c>
      <c r="J177" s="111" t="s">
        <v>1003</v>
      </c>
      <c r="K177" s="108" t="s">
        <v>1003</v>
      </c>
      <c r="L177" s="112" t="s">
        <v>2258</v>
      </c>
      <c r="M177" s="106">
        <v>5296.0</v>
      </c>
      <c r="N177" s="113">
        <v>0.0</v>
      </c>
      <c r="O177" s="106" t="s">
        <v>2259</v>
      </c>
      <c r="P177" s="106" t="s">
        <v>46</v>
      </c>
      <c r="Q177" s="45" t="s">
        <v>1006</v>
      </c>
      <c r="R177" s="45">
        <v>94.8</v>
      </c>
      <c r="S177" s="45">
        <v>2019.0</v>
      </c>
      <c r="T177" s="45">
        <v>97.4</v>
      </c>
      <c r="U177" s="45">
        <v>2021.0</v>
      </c>
      <c r="V177" s="45">
        <v>9.25</v>
      </c>
      <c r="W177" s="45">
        <v>87.5</v>
      </c>
      <c r="X177" s="45">
        <v>2025.0</v>
      </c>
      <c r="Y177" s="45">
        <v>0.0</v>
      </c>
      <c r="Z177" s="45">
        <v>0.0</v>
      </c>
      <c r="AA177" s="45" t="s">
        <v>2260</v>
      </c>
      <c r="AB177" s="45" t="s">
        <v>2261</v>
      </c>
      <c r="AC177" s="45">
        <v>8.985947274E9</v>
      </c>
      <c r="AD177" s="45">
        <v>9.440647358E9</v>
      </c>
      <c r="AE177" s="45" t="s">
        <v>505</v>
      </c>
      <c r="AF177" s="45">
        <v>0.0</v>
      </c>
      <c r="AG177" s="45" t="s">
        <v>2262</v>
      </c>
      <c r="AH177" s="45" t="s">
        <v>2263</v>
      </c>
      <c r="AI177" s="45">
        <v>9.76</v>
      </c>
      <c r="AJ177" s="45">
        <v>9.32</v>
      </c>
      <c r="AK177" s="45">
        <v>9.14</v>
      </c>
      <c r="AL177" s="45">
        <v>0.0</v>
      </c>
      <c r="AM177" s="45">
        <v>9.22</v>
      </c>
      <c r="AN177" s="45">
        <v>9.25</v>
      </c>
      <c r="AO177" s="45" t="s">
        <v>27</v>
      </c>
      <c r="AQ177" s="45" t="s">
        <v>1011</v>
      </c>
      <c r="AT177" s="45" t="s">
        <v>1028</v>
      </c>
    </row>
    <row r="178">
      <c r="A178" s="107"/>
      <c r="B178" s="108" t="s">
        <v>506</v>
      </c>
      <c r="C178" s="109" t="s">
        <v>2264</v>
      </c>
      <c r="D178" s="108" t="s">
        <v>2158</v>
      </c>
      <c r="E178" s="108" t="s">
        <v>2265</v>
      </c>
      <c r="F178" s="108">
        <v>0.0</v>
      </c>
      <c r="G178" s="110">
        <v>2.88054E11</v>
      </c>
      <c r="H178" s="111" t="s">
        <v>1003</v>
      </c>
      <c r="I178" s="111">
        <v>4286.0</v>
      </c>
      <c r="J178" s="111" t="s">
        <v>1003</v>
      </c>
      <c r="K178" s="108" t="s">
        <v>1003</v>
      </c>
      <c r="L178" s="112" t="s">
        <v>1822</v>
      </c>
      <c r="M178" s="106">
        <v>30984.0</v>
      </c>
      <c r="N178" s="113">
        <v>0.0</v>
      </c>
      <c r="O178" s="118">
        <v>37967.0</v>
      </c>
      <c r="P178" s="106" t="s">
        <v>46</v>
      </c>
      <c r="Q178" s="45" t="s">
        <v>1006</v>
      </c>
      <c r="R178" s="45">
        <v>70.0</v>
      </c>
      <c r="S178" s="45">
        <v>2019.0</v>
      </c>
      <c r="T178" s="45">
        <v>94.0</v>
      </c>
      <c r="U178" s="45">
        <v>2021.0</v>
      </c>
      <c r="V178" s="45">
        <v>8.08</v>
      </c>
      <c r="W178" s="45">
        <v>75.8</v>
      </c>
      <c r="X178" s="45">
        <v>2025.0</v>
      </c>
      <c r="Y178" s="45">
        <v>0.0</v>
      </c>
      <c r="Z178" s="45">
        <v>0.0</v>
      </c>
      <c r="AA178" s="45" t="s">
        <v>2266</v>
      </c>
      <c r="AB178" s="45" t="s">
        <v>2267</v>
      </c>
      <c r="AC178" s="45">
        <v>9.963581056E9</v>
      </c>
      <c r="AD178" s="45">
        <v>9.951701386E9</v>
      </c>
      <c r="AE178" s="45" t="s">
        <v>508</v>
      </c>
      <c r="AF178" s="45">
        <v>0.0</v>
      </c>
      <c r="AG178" s="45" t="s">
        <v>2268</v>
      </c>
      <c r="AH178" s="45" t="s">
        <v>2269</v>
      </c>
      <c r="AI178" s="45">
        <v>8.51</v>
      </c>
      <c r="AJ178" s="45">
        <v>8.49</v>
      </c>
      <c r="AK178" s="45">
        <v>7.25</v>
      </c>
      <c r="AL178" s="45">
        <v>0.0</v>
      </c>
      <c r="AM178" s="45">
        <v>8.05</v>
      </c>
      <c r="AN178" s="45">
        <v>8.08</v>
      </c>
      <c r="AO178" s="45" t="s">
        <v>27</v>
      </c>
      <c r="AQ178" s="45" t="s">
        <v>1011</v>
      </c>
      <c r="AT178" s="45" t="s">
        <v>1012</v>
      </c>
    </row>
    <row r="179">
      <c r="A179" s="107"/>
      <c r="B179" s="108" t="s">
        <v>509</v>
      </c>
      <c r="C179" s="109" t="s">
        <v>2270</v>
      </c>
      <c r="D179" s="108" t="s">
        <v>2271</v>
      </c>
      <c r="E179" s="108" t="s">
        <v>510</v>
      </c>
      <c r="F179" s="108">
        <v>0.0</v>
      </c>
      <c r="G179" s="110">
        <v>6.04253E11</v>
      </c>
      <c r="H179" s="111" t="s">
        <v>1003</v>
      </c>
      <c r="I179" s="111">
        <v>2881.0</v>
      </c>
      <c r="J179" s="111" t="s">
        <v>1003</v>
      </c>
      <c r="K179" s="108" t="s">
        <v>1003</v>
      </c>
      <c r="L179" s="112" t="s">
        <v>1031</v>
      </c>
      <c r="M179" s="106">
        <v>13856.0</v>
      </c>
      <c r="N179" s="113">
        <v>0.0</v>
      </c>
      <c r="O179" s="106" t="s">
        <v>2272</v>
      </c>
      <c r="P179" s="106" t="s">
        <v>60</v>
      </c>
      <c r="Q179" s="45" t="s">
        <v>1006</v>
      </c>
      <c r="R179" s="45">
        <v>100.0</v>
      </c>
      <c r="S179" s="45">
        <v>2019.0</v>
      </c>
      <c r="T179" s="45">
        <v>95.0</v>
      </c>
      <c r="U179" s="45">
        <v>2021.0</v>
      </c>
      <c r="V179" s="45">
        <v>8.88</v>
      </c>
      <c r="W179" s="45">
        <v>83.8</v>
      </c>
      <c r="X179" s="45">
        <v>2025.0</v>
      </c>
      <c r="Y179" s="45">
        <v>0.0</v>
      </c>
      <c r="Z179" s="45">
        <v>0.0</v>
      </c>
      <c r="AA179" s="45" t="s">
        <v>2273</v>
      </c>
      <c r="AB179" s="45" t="s">
        <v>2274</v>
      </c>
      <c r="AC179" s="45">
        <v>6.304772563E9</v>
      </c>
      <c r="AD179" s="45">
        <v>9.84954806E9</v>
      </c>
      <c r="AE179" s="45" t="s">
        <v>278</v>
      </c>
      <c r="AF179" s="45">
        <v>0.0</v>
      </c>
      <c r="AG179" s="45" t="s">
        <v>2275</v>
      </c>
      <c r="AH179" s="45" t="s">
        <v>2276</v>
      </c>
      <c r="AI179" s="45">
        <v>8.59</v>
      </c>
      <c r="AJ179" s="45">
        <v>9.1</v>
      </c>
      <c r="AK179" s="45">
        <v>8.23</v>
      </c>
      <c r="AL179" s="45">
        <v>0.0</v>
      </c>
      <c r="AM179" s="45">
        <v>8.78</v>
      </c>
      <c r="AN179" s="45">
        <v>8.88</v>
      </c>
      <c r="AO179" s="45" t="s">
        <v>28</v>
      </c>
      <c r="AQ179" s="45" t="s">
        <v>1011</v>
      </c>
      <c r="AT179" s="45" t="s">
        <v>1012</v>
      </c>
    </row>
    <row r="180">
      <c r="A180" s="107"/>
      <c r="B180" s="108" t="s">
        <v>511</v>
      </c>
      <c r="C180" s="109" t="s">
        <v>2277</v>
      </c>
      <c r="D180" s="108" t="s">
        <v>2170</v>
      </c>
      <c r="E180" s="108" t="s">
        <v>512</v>
      </c>
      <c r="F180" s="108">
        <v>0.0</v>
      </c>
      <c r="G180" s="110">
        <v>5.88954E11</v>
      </c>
      <c r="H180" s="111" t="s">
        <v>1003</v>
      </c>
      <c r="I180" s="111">
        <v>7543.0</v>
      </c>
      <c r="J180" s="111">
        <v>8940.0</v>
      </c>
      <c r="K180" s="108" t="s">
        <v>1003</v>
      </c>
      <c r="L180" s="112" t="s">
        <v>2278</v>
      </c>
      <c r="M180" s="106">
        <v>16731.0</v>
      </c>
      <c r="N180" s="113">
        <v>0.0</v>
      </c>
      <c r="O180" s="106" t="s">
        <v>2279</v>
      </c>
      <c r="P180" s="106" t="s">
        <v>46</v>
      </c>
      <c r="Q180" s="45" t="s">
        <v>1006</v>
      </c>
      <c r="R180" s="45">
        <v>90.0</v>
      </c>
      <c r="S180" s="45">
        <v>2019.0</v>
      </c>
      <c r="T180" s="45">
        <v>89.2</v>
      </c>
      <c r="U180" s="45">
        <v>2021.0</v>
      </c>
      <c r="V180" s="45">
        <v>7.02</v>
      </c>
      <c r="W180" s="45">
        <v>65.2</v>
      </c>
      <c r="X180" s="45">
        <v>2025.0</v>
      </c>
      <c r="Y180" s="45">
        <v>0.0</v>
      </c>
      <c r="Z180" s="45">
        <v>0.0</v>
      </c>
      <c r="AA180" s="45" t="s">
        <v>2280</v>
      </c>
      <c r="AB180" s="45" t="s">
        <v>2281</v>
      </c>
      <c r="AC180" s="45">
        <v>6.304280461E9</v>
      </c>
      <c r="AD180" s="45">
        <v>8.247275224E9</v>
      </c>
      <c r="AE180" s="45" t="s">
        <v>52</v>
      </c>
      <c r="AF180" s="45">
        <v>0.0</v>
      </c>
      <c r="AG180" s="45" t="s">
        <v>2282</v>
      </c>
      <c r="AH180" s="45" t="s">
        <v>2283</v>
      </c>
      <c r="AI180" s="45">
        <v>6.86</v>
      </c>
      <c r="AJ180" s="45">
        <v>6.88</v>
      </c>
      <c r="AK180" s="45">
        <v>6.36</v>
      </c>
      <c r="AL180" s="45">
        <v>0.0</v>
      </c>
      <c r="AM180" s="45">
        <v>6.88</v>
      </c>
      <c r="AN180" s="45">
        <v>7.02</v>
      </c>
      <c r="AO180" s="45" t="s">
        <v>27</v>
      </c>
      <c r="AQ180" s="45" t="s">
        <v>1011</v>
      </c>
      <c r="AT180" s="45" t="s">
        <v>1012</v>
      </c>
    </row>
    <row r="181">
      <c r="A181" s="107"/>
      <c r="B181" s="108" t="s">
        <v>513</v>
      </c>
      <c r="C181" s="109" t="s">
        <v>2284</v>
      </c>
      <c r="D181" s="108" t="s">
        <v>2285</v>
      </c>
      <c r="E181" s="108" t="s">
        <v>514</v>
      </c>
      <c r="F181" s="108">
        <v>0.0</v>
      </c>
      <c r="G181" s="110">
        <v>8.19755E11</v>
      </c>
      <c r="H181" s="111" t="s">
        <v>1003</v>
      </c>
      <c r="I181" s="111" t="s">
        <v>1003</v>
      </c>
      <c r="J181" s="111" t="s">
        <v>1003</v>
      </c>
      <c r="K181" s="108" t="s">
        <v>1003</v>
      </c>
      <c r="L181" s="112" t="s">
        <v>2286</v>
      </c>
      <c r="M181" s="106">
        <v>52915.0</v>
      </c>
      <c r="N181" s="113">
        <v>0.0</v>
      </c>
      <c r="O181" s="106" t="s">
        <v>2287</v>
      </c>
      <c r="P181" s="106" t="s">
        <v>46</v>
      </c>
      <c r="Q181" s="45" t="s">
        <v>1006</v>
      </c>
      <c r="R181" s="45">
        <v>97.0</v>
      </c>
      <c r="S181" s="45">
        <v>2019.0</v>
      </c>
      <c r="T181" s="45">
        <v>94.4</v>
      </c>
      <c r="U181" s="45">
        <v>2021.0</v>
      </c>
      <c r="V181" s="45">
        <v>7.25</v>
      </c>
      <c r="W181" s="45">
        <v>67.5</v>
      </c>
      <c r="X181" s="45">
        <v>2025.0</v>
      </c>
      <c r="Y181" s="45">
        <v>0.0</v>
      </c>
      <c r="Z181" s="45">
        <v>0.0</v>
      </c>
      <c r="AA181" s="45" t="s">
        <v>2288</v>
      </c>
      <c r="AB181" s="45" t="s">
        <v>2289</v>
      </c>
      <c r="AC181" s="45">
        <v>6.305769056E9</v>
      </c>
      <c r="AD181" s="45">
        <v>9.440829565E9</v>
      </c>
      <c r="AE181" s="45">
        <v>0.0</v>
      </c>
      <c r="AF181" s="45">
        <v>0.0</v>
      </c>
      <c r="AG181" s="45" t="s">
        <v>2290</v>
      </c>
      <c r="AH181" s="45" t="s">
        <v>2291</v>
      </c>
      <c r="AI181" s="45">
        <v>7.65</v>
      </c>
      <c r="AJ181" s="45">
        <v>7.27</v>
      </c>
      <c r="AK181" s="45">
        <v>6.57</v>
      </c>
      <c r="AL181" s="45">
        <v>0.0</v>
      </c>
      <c r="AM181" s="45">
        <v>7.27</v>
      </c>
      <c r="AN181" s="45">
        <v>7.25</v>
      </c>
      <c r="AO181" s="45" t="s">
        <v>27</v>
      </c>
      <c r="AQ181" s="45" t="s">
        <v>1011</v>
      </c>
      <c r="AT181" s="45" t="s">
        <v>1028</v>
      </c>
    </row>
    <row r="182">
      <c r="A182" s="107"/>
      <c r="B182" s="108" t="s">
        <v>516</v>
      </c>
      <c r="C182" s="109" t="s">
        <v>2292</v>
      </c>
      <c r="D182" s="108" t="s">
        <v>2293</v>
      </c>
      <c r="E182" s="108" t="s">
        <v>517</v>
      </c>
      <c r="F182" s="108">
        <v>0.0</v>
      </c>
      <c r="G182" s="110">
        <v>3.8312E11</v>
      </c>
      <c r="H182" s="111" t="s">
        <v>1003</v>
      </c>
      <c r="I182" s="111" t="s">
        <v>1003</v>
      </c>
      <c r="J182" s="111" t="s">
        <v>1003</v>
      </c>
      <c r="K182" s="108" t="s">
        <v>1003</v>
      </c>
      <c r="L182" s="112" t="s">
        <v>1047</v>
      </c>
      <c r="M182" s="106">
        <v>13979.0</v>
      </c>
      <c r="N182" s="113">
        <v>0.0</v>
      </c>
      <c r="O182" s="114">
        <v>37501.0</v>
      </c>
      <c r="P182" s="106" t="s">
        <v>46</v>
      </c>
      <c r="Q182" s="45" t="s">
        <v>1006</v>
      </c>
      <c r="R182" s="45">
        <v>98.0</v>
      </c>
      <c r="S182" s="45">
        <v>2019.0</v>
      </c>
      <c r="T182" s="45">
        <v>96.4</v>
      </c>
      <c r="U182" s="45">
        <v>2021.0</v>
      </c>
      <c r="V182" s="45">
        <v>8.21</v>
      </c>
      <c r="W182" s="45">
        <v>77.1</v>
      </c>
      <c r="X182" s="45">
        <v>2025.0</v>
      </c>
      <c r="Y182" s="45">
        <v>0.0</v>
      </c>
      <c r="Z182" s="45">
        <v>0.0</v>
      </c>
      <c r="AA182" s="45" t="s">
        <v>2294</v>
      </c>
      <c r="AB182" s="45" t="s">
        <v>2295</v>
      </c>
      <c r="AC182" s="45">
        <v>8.247097481E9</v>
      </c>
      <c r="AD182" s="45">
        <v>9.553093864E9</v>
      </c>
      <c r="AE182" s="45" t="s">
        <v>518</v>
      </c>
      <c r="AF182" s="45">
        <v>0.0</v>
      </c>
      <c r="AG182" s="45" t="s">
        <v>2296</v>
      </c>
      <c r="AH182" s="45" t="s">
        <v>2297</v>
      </c>
      <c r="AI182" s="45">
        <v>7.73</v>
      </c>
      <c r="AJ182" s="45">
        <v>7.98</v>
      </c>
      <c r="AK182" s="45">
        <v>7.5</v>
      </c>
      <c r="AL182" s="45">
        <v>0.0</v>
      </c>
      <c r="AM182" s="45">
        <v>8.12</v>
      </c>
      <c r="AN182" s="45">
        <v>8.21</v>
      </c>
      <c r="AO182" s="45" t="s">
        <v>27</v>
      </c>
      <c r="AQ182" s="45" t="s">
        <v>1011</v>
      </c>
      <c r="AT182" s="45" t="s">
        <v>1012</v>
      </c>
    </row>
    <row r="183">
      <c r="A183" s="107"/>
      <c r="B183" s="108" t="s">
        <v>519</v>
      </c>
      <c r="C183" s="109" t="s">
        <v>2298</v>
      </c>
      <c r="D183" s="108" t="s">
        <v>2299</v>
      </c>
      <c r="E183" s="108" t="s">
        <v>520</v>
      </c>
      <c r="F183" s="108">
        <v>0.0</v>
      </c>
      <c r="G183" s="110">
        <v>4.7476E11</v>
      </c>
      <c r="H183" s="111" t="s">
        <v>1003</v>
      </c>
      <c r="I183" s="111">
        <v>14944.0</v>
      </c>
      <c r="J183" s="111" t="s">
        <v>1003</v>
      </c>
      <c r="K183" s="108" t="s">
        <v>1003</v>
      </c>
      <c r="L183" s="112" t="s">
        <v>1084</v>
      </c>
      <c r="M183" s="106">
        <v>18071.0</v>
      </c>
      <c r="N183" s="113">
        <v>0.0</v>
      </c>
      <c r="O183" s="106" t="s">
        <v>1149</v>
      </c>
      <c r="P183" s="106" t="s">
        <v>46</v>
      </c>
      <c r="Q183" s="45" t="s">
        <v>1006</v>
      </c>
      <c r="R183" s="45">
        <v>97.0</v>
      </c>
      <c r="S183" s="45">
        <v>2019.0</v>
      </c>
      <c r="T183" s="45">
        <v>98.0</v>
      </c>
      <c r="U183" s="45">
        <v>2021.0</v>
      </c>
      <c r="V183" s="45">
        <v>8.29</v>
      </c>
      <c r="W183" s="45">
        <v>77.9</v>
      </c>
      <c r="X183" s="45">
        <v>2025.0</v>
      </c>
      <c r="Y183" s="45">
        <v>0.0</v>
      </c>
      <c r="Z183" s="45">
        <v>0.0</v>
      </c>
      <c r="AA183" s="45" t="s">
        <v>2300</v>
      </c>
      <c r="AB183" s="45" t="s">
        <v>2301</v>
      </c>
      <c r="AC183" s="45">
        <v>8.886842479E9</v>
      </c>
      <c r="AD183" s="45">
        <v>7.8932709E9</v>
      </c>
      <c r="AE183" s="45" t="s">
        <v>521</v>
      </c>
      <c r="AF183" s="45" t="s">
        <v>94</v>
      </c>
      <c r="AG183" s="45" t="s">
        <v>2302</v>
      </c>
      <c r="AH183" s="45" t="s">
        <v>2303</v>
      </c>
      <c r="AI183" s="45">
        <v>8.73</v>
      </c>
      <c r="AJ183" s="45">
        <v>7.98</v>
      </c>
      <c r="AK183" s="45">
        <v>7.7</v>
      </c>
      <c r="AL183" s="45">
        <v>0.0</v>
      </c>
      <c r="AM183" s="45">
        <v>8.27</v>
      </c>
      <c r="AN183" s="45">
        <v>8.29</v>
      </c>
      <c r="AO183" s="45" t="s">
        <v>27</v>
      </c>
      <c r="AQ183" s="45" t="s">
        <v>1011</v>
      </c>
      <c r="AT183" s="45" t="s">
        <v>1012</v>
      </c>
    </row>
    <row r="184">
      <c r="A184" s="107"/>
      <c r="B184" s="108" t="s">
        <v>522</v>
      </c>
      <c r="C184" s="109" t="s">
        <v>2304</v>
      </c>
      <c r="D184" s="108" t="s">
        <v>2305</v>
      </c>
      <c r="E184" s="108" t="s">
        <v>523</v>
      </c>
      <c r="F184" s="108">
        <v>0.0</v>
      </c>
      <c r="G184" s="110">
        <v>4.4942E11</v>
      </c>
      <c r="H184" s="111" t="s">
        <v>1003</v>
      </c>
      <c r="I184" s="111" t="s">
        <v>1003</v>
      </c>
      <c r="J184" s="111" t="s">
        <v>1003</v>
      </c>
      <c r="K184" s="108" t="s">
        <v>1003</v>
      </c>
      <c r="L184" s="112" t="s">
        <v>1479</v>
      </c>
      <c r="M184" s="106">
        <v>9.0</v>
      </c>
      <c r="N184" s="113">
        <v>0.0</v>
      </c>
      <c r="O184" s="106" t="s">
        <v>2306</v>
      </c>
      <c r="P184" s="106" t="s">
        <v>60</v>
      </c>
      <c r="Q184" s="45" t="s">
        <v>1006</v>
      </c>
      <c r="R184" s="45">
        <v>90.0</v>
      </c>
      <c r="S184" s="45">
        <v>2019.0</v>
      </c>
      <c r="T184" s="45">
        <v>84.0</v>
      </c>
      <c r="U184" s="45">
        <v>2022.0</v>
      </c>
      <c r="V184" s="45">
        <v>0.0</v>
      </c>
      <c r="W184" s="45">
        <v>-5.0</v>
      </c>
      <c r="X184" s="45">
        <v>2025.0</v>
      </c>
      <c r="Y184" s="45">
        <v>6.0</v>
      </c>
      <c r="Z184" s="45">
        <v>9.0</v>
      </c>
      <c r="AA184" s="45" t="s">
        <v>2307</v>
      </c>
      <c r="AB184" s="45" t="s">
        <v>2308</v>
      </c>
      <c r="AC184" s="45">
        <v>7.842783679E9</v>
      </c>
      <c r="AD184" s="45">
        <v>7.832783679E9</v>
      </c>
      <c r="AE184" s="45">
        <v>0.0</v>
      </c>
      <c r="AF184" s="45">
        <v>0.0</v>
      </c>
      <c r="AG184" s="45" t="s">
        <v>2309</v>
      </c>
      <c r="AH184" s="45" t="s">
        <v>2310</v>
      </c>
      <c r="AI184" s="45">
        <v>7.32</v>
      </c>
      <c r="AJ184" s="45">
        <v>7.1</v>
      </c>
      <c r="AK184" s="45">
        <v>0.0</v>
      </c>
      <c r="AL184" s="45">
        <v>0.0</v>
      </c>
      <c r="AM184" s="45">
        <v>5.63</v>
      </c>
      <c r="AN184" s="45">
        <v>0.0</v>
      </c>
      <c r="AO184" s="45" t="s">
        <v>28</v>
      </c>
      <c r="AQ184" s="45" t="s">
        <v>1011</v>
      </c>
      <c r="AT184" s="45" t="s">
        <v>1012</v>
      </c>
    </row>
    <row r="185">
      <c r="A185" s="107"/>
      <c r="B185" s="108" t="s">
        <v>524</v>
      </c>
      <c r="C185" s="109" t="s">
        <v>2311</v>
      </c>
      <c r="D185" s="108" t="s">
        <v>2312</v>
      </c>
      <c r="E185" s="108" t="s">
        <v>525</v>
      </c>
      <c r="F185" s="108">
        <v>0.0</v>
      </c>
      <c r="G185" s="110">
        <v>9.55424E11</v>
      </c>
      <c r="H185" s="111" t="s">
        <v>1003</v>
      </c>
      <c r="I185" s="111">
        <v>3676.0</v>
      </c>
      <c r="J185" s="111">
        <v>4654.0</v>
      </c>
      <c r="K185" s="108" t="s">
        <v>1003</v>
      </c>
      <c r="L185" s="112" t="s">
        <v>1123</v>
      </c>
      <c r="M185" s="106">
        <v>32540.0</v>
      </c>
      <c r="N185" s="113">
        <v>0.0</v>
      </c>
      <c r="O185" s="106" t="s">
        <v>2313</v>
      </c>
      <c r="P185" s="106" t="s">
        <v>60</v>
      </c>
      <c r="Q185" s="45" t="s">
        <v>1006</v>
      </c>
      <c r="R185" s="45">
        <v>70.0</v>
      </c>
      <c r="S185" s="45">
        <v>2019.0</v>
      </c>
      <c r="T185" s="45">
        <v>90.0</v>
      </c>
      <c r="U185" s="45">
        <v>2021.0</v>
      </c>
      <c r="V185" s="45">
        <v>7.13</v>
      </c>
      <c r="W185" s="45">
        <v>66.3</v>
      </c>
      <c r="X185" s="45">
        <v>2025.0</v>
      </c>
      <c r="Y185" s="45">
        <v>0.0</v>
      </c>
      <c r="Z185" s="45">
        <v>2.0</v>
      </c>
      <c r="AA185" s="45" t="s">
        <v>2314</v>
      </c>
      <c r="AB185" s="45" t="s">
        <v>2315</v>
      </c>
      <c r="AC185" s="45">
        <v>8.125802274E9</v>
      </c>
      <c r="AD185" s="45">
        <v>9.640112283E9</v>
      </c>
      <c r="AE185" s="45" t="s">
        <v>255</v>
      </c>
      <c r="AF185" s="45">
        <v>0.0</v>
      </c>
      <c r="AG185" s="45" t="s">
        <v>2316</v>
      </c>
      <c r="AH185" s="45" t="s">
        <v>2317</v>
      </c>
      <c r="AI185" s="45">
        <v>7.54</v>
      </c>
      <c r="AJ185" s="45">
        <v>0.0</v>
      </c>
      <c r="AK185" s="45">
        <v>6.75</v>
      </c>
      <c r="AL185" s="45">
        <v>0.0</v>
      </c>
      <c r="AM185" s="45">
        <v>7.14</v>
      </c>
      <c r="AN185" s="45">
        <v>7.13</v>
      </c>
      <c r="AO185" s="45" t="s">
        <v>27</v>
      </c>
      <c r="AQ185" s="45" t="s">
        <v>1011</v>
      </c>
      <c r="AT185" s="45" t="s">
        <v>1028</v>
      </c>
    </row>
    <row r="186">
      <c r="A186" s="107"/>
      <c r="B186" s="108" t="s">
        <v>526</v>
      </c>
      <c r="C186" s="109" t="s">
        <v>2318</v>
      </c>
      <c r="D186" s="108" t="s">
        <v>2319</v>
      </c>
      <c r="E186" s="108" t="s">
        <v>527</v>
      </c>
      <c r="F186" s="108">
        <v>0.0</v>
      </c>
      <c r="G186" s="110">
        <v>7.56954E11</v>
      </c>
      <c r="H186" s="111" t="s">
        <v>1003</v>
      </c>
      <c r="I186" s="111" t="s">
        <v>1003</v>
      </c>
      <c r="J186" s="111" t="s">
        <v>1003</v>
      </c>
      <c r="K186" s="108" t="s">
        <v>1003</v>
      </c>
      <c r="L186" s="112" t="s">
        <v>1404</v>
      </c>
      <c r="M186" s="106">
        <v>19545.0</v>
      </c>
      <c r="N186" s="113">
        <v>19545.0</v>
      </c>
      <c r="O186" s="106" t="s">
        <v>2320</v>
      </c>
      <c r="P186" s="106" t="s">
        <v>60</v>
      </c>
      <c r="Q186" s="45" t="s">
        <v>1006</v>
      </c>
      <c r="R186" s="45">
        <v>85.0</v>
      </c>
      <c r="S186" s="45">
        <v>2019.0</v>
      </c>
      <c r="T186" s="45">
        <v>80.0</v>
      </c>
      <c r="U186" s="45">
        <v>2021.0</v>
      </c>
      <c r="V186" s="45">
        <v>0.0</v>
      </c>
      <c r="W186" s="45">
        <v>-5.0</v>
      </c>
      <c r="X186" s="45">
        <v>2025.0</v>
      </c>
      <c r="Y186" s="45">
        <v>1.0</v>
      </c>
      <c r="Z186" s="45">
        <v>1.0</v>
      </c>
      <c r="AA186" s="45" t="s">
        <v>2321</v>
      </c>
      <c r="AB186" s="45" t="s">
        <v>2322</v>
      </c>
      <c r="AC186" s="45">
        <v>9.676416738E9</v>
      </c>
      <c r="AD186" s="45">
        <v>7.330851468E9</v>
      </c>
      <c r="AE186" s="45">
        <v>0.0</v>
      </c>
      <c r="AF186" s="45">
        <v>0.0</v>
      </c>
      <c r="AG186" s="45" t="s">
        <v>2323</v>
      </c>
      <c r="AH186" s="45" t="s">
        <v>2324</v>
      </c>
      <c r="AI186" s="45">
        <v>7.49</v>
      </c>
      <c r="AJ186" s="45">
        <v>7.02</v>
      </c>
      <c r="AK186" s="45">
        <v>0.0</v>
      </c>
      <c r="AL186" s="45">
        <v>0.0</v>
      </c>
      <c r="AM186" s="45">
        <v>6.87</v>
      </c>
      <c r="AN186" s="45">
        <v>0.0</v>
      </c>
      <c r="AO186" s="45" t="s">
        <v>27</v>
      </c>
      <c r="AQ186" s="45" t="s">
        <v>1011</v>
      </c>
      <c r="AT186" s="45" t="s">
        <v>1012</v>
      </c>
    </row>
    <row r="187">
      <c r="A187" s="107"/>
      <c r="B187" s="108" t="s">
        <v>528</v>
      </c>
      <c r="C187" s="109" t="s">
        <v>2325</v>
      </c>
      <c r="D187" s="108" t="s">
        <v>2326</v>
      </c>
      <c r="E187" s="108" t="s">
        <v>529</v>
      </c>
      <c r="F187" s="108">
        <v>0.0</v>
      </c>
      <c r="G187" s="110">
        <v>6.19216E11</v>
      </c>
      <c r="H187" s="111" t="s">
        <v>1003</v>
      </c>
      <c r="I187" s="111" t="s">
        <v>1003</v>
      </c>
      <c r="J187" s="111" t="s">
        <v>1003</v>
      </c>
      <c r="K187" s="108" t="s">
        <v>1003</v>
      </c>
      <c r="L187" s="112" t="s">
        <v>2327</v>
      </c>
      <c r="M187" s="106">
        <v>18188.0</v>
      </c>
      <c r="N187" s="113">
        <v>0.0</v>
      </c>
      <c r="O187" s="114">
        <v>37742.0</v>
      </c>
      <c r="P187" s="106" t="s">
        <v>46</v>
      </c>
      <c r="Q187" s="45" t="s">
        <v>1006</v>
      </c>
      <c r="R187" s="45">
        <v>88.35</v>
      </c>
      <c r="S187" s="45">
        <v>2019.0</v>
      </c>
      <c r="T187" s="45">
        <v>90.4</v>
      </c>
      <c r="U187" s="45">
        <v>2021.0</v>
      </c>
      <c r="V187" s="45">
        <v>7.83</v>
      </c>
      <c r="W187" s="45">
        <v>73.3</v>
      </c>
      <c r="X187" s="45">
        <v>2025.0</v>
      </c>
      <c r="Y187" s="45">
        <v>0.0</v>
      </c>
      <c r="Z187" s="45">
        <v>0.0</v>
      </c>
      <c r="AA187" s="45" t="s">
        <v>2328</v>
      </c>
      <c r="AB187" s="45" t="s">
        <v>2329</v>
      </c>
      <c r="AC187" s="45">
        <v>9.392698788E9</v>
      </c>
      <c r="AD187" s="45">
        <v>9.000438052E9</v>
      </c>
      <c r="AE187" s="45">
        <v>0.0</v>
      </c>
      <c r="AF187" s="45">
        <v>0.0</v>
      </c>
      <c r="AG187" s="45" t="s">
        <v>2330</v>
      </c>
      <c r="AH187" s="45" t="s">
        <v>2331</v>
      </c>
      <c r="AI187" s="45">
        <v>7.95</v>
      </c>
      <c r="AJ187" s="45">
        <v>8.29</v>
      </c>
      <c r="AK187" s="45">
        <v>7.57</v>
      </c>
      <c r="AL187" s="45">
        <v>0.0</v>
      </c>
      <c r="AM187" s="45">
        <v>7.98</v>
      </c>
      <c r="AN187" s="45">
        <v>7.83</v>
      </c>
      <c r="AO187" s="45" t="s">
        <v>27</v>
      </c>
      <c r="AQ187" s="45" t="s">
        <v>1011</v>
      </c>
      <c r="AT187" s="45" t="s">
        <v>1028</v>
      </c>
    </row>
    <row r="188">
      <c r="A188" s="107"/>
      <c r="B188" s="108" t="s">
        <v>531</v>
      </c>
      <c r="C188" s="109" t="s">
        <v>2332</v>
      </c>
      <c r="D188" s="108" t="s">
        <v>2333</v>
      </c>
      <c r="E188" s="108" t="s">
        <v>532</v>
      </c>
      <c r="F188" s="108">
        <v>0.0</v>
      </c>
      <c r="G188" s="110">
        <v>7.08118E11</v>
      </c>
      <c r="H188" s="111" t="s">
        <v>1003</v>
      </c>
      <c r="I188" s="111">
        <v>25905.0</v>
      </c>
      <c r="J188" s="111">
        <v>26748.0</v>
      </c>
      <c r="K188" s="108">
        <v>33652.0</v>
      </c>
      <c r="L188" s="112" t="s">
        <v>2334</v>
      </c>
      <c r="M188" s="106">
        <v>13847.0</v>
      </c>
      <c r="N188" s="113">
        <v>0.0</v>
      </c>
      <c r="O188" s="106" t="s">
        <v>2335</v>
      </c>
      <c r="P188" s="106" t="s">
        <v>46</v>
      </c>
      <c r="Q188" s="45" t="s">
        <v>1006</v>
      </c>
      <c r="R188" s="45">
        <v>84.0</v>
      </c>
      <c r="S188" s="45">
        <v>2019.0</v>
      </c>
      <c r="T188" s="45">
        <v>94.0</v>
      </c>
      <c r="U188" s="45">
        <v>2021.0</v>
      </c>
      <c r="V188" s="45">
        <v>8.71</v>
      </c>
      <c r="W188" s="45">
        <v>82.1</v>
      </c>
      <c r="X188" s="45">
        <v>2025.0</v>
      </c>
      <c r="Y188" s="45">
        <v>0.0</v>
      </c>
      <c r="Z188" s="45">
        <v>0.0</v>
      </c>
      <c r="AA188" s="45" t="s">
        <v>2336</v>
      </c>
      <c r="AB188" s="45" t="s">
        <v>2337</v>
      </c>
      <c r="AC188" s="45">
        <v>9.381004526E9</v>
      </c>
      <c r="AD188" s="45">
        <v>9.441078276E9</v>
      </c>
      <c r="AE188" s="45" t="s">
        <v>2338</v>
      </c>
      <c r="AF188" s="45" t="s">
        <v>957</v>
      </c>
      <c r="AG188" s="45" t="s">
        <v>2339</v>
      </c>
      <c r="AH188" s="45" t="s">
        <v>2340</v>
      </c>
      <c r="AI188" s="45">
        <v>9.16</v>
      </c>
      <c r="AJ188" s="45">
        <v>8.93</v>
      </c>
      <c r="AK188" s="45">
        <v>8.45</v>
      </c>
      <c r="AL188" s="45">
        <v>0.0</v>
      </c>
      <c r="AM188" s="45">
        <v>8.81</v>
      </c>
      <c r="AN188" s="45">
        <v>8.71</v>
      </c>
      <c r="AO188" s="45" t="s">
        <v>28</v>
      </c>
      <c r="AQ188" s="45" t="s">
        <v>1011</v>
      </c>
      <c r="AT188" s="45" t="s">
        <v>1028</v>
      </c>
    </row>
    <row r="189">
      <c r="A189" s="107"/>
      <c r="B189" s="108" t="s">
        <v>534</v>
      </c>
      <c r="C189" s="109" t="s">
        <v>2341</v>
      </c>
      <c r="D189" s="108" t="s">
        <v>2342</v>
      </c>
      <c r="E189" s="108" t="s">
        <v>535</v>
      </c>
      <c r="F189" s="108">
        <v>0.0</v>
      </c>
      <c r="G189" s="110">
        <v>2.43669E11</v>
      </c>
      <c r="H189" s="111" t="s">
        <v>1003</v>
      </c>
      <c r="I189" s="111" t="s">
        <v>1003</v>
      </c>
      <c r="J189" s="111" t="s">
        <v>1003</v>
      </c>
      <c r="K189" s="108" t="s">
        <v>1003</v>
      </c>
      <c r="L189" s="112" t="s">
        <v>1084</v>
      </c>
      <c r="M189" s="106">
        <v>20149.0</v>
      </c>
      <c r="N189" s="113">
        <v>0.0</v>
      </c>
      <c r="O189" s="106" t="s">
        <v>2343</v>
      </c>
      <c r="P189" s="106" t="s">
        <v>46</v>
      </c>
      <c r="Q189" s="45" t="s">
        <v>1006</v>
      </c>
      <c r="R189" s="45">
        <v>95.0</v>
      </c>
      <c r="S189" s="45">
        <v>2019.0</v>
      </c>
      <c r="T189" s="45">
        <v>91.6</v>
      </c>
      <c r="U189" s="45">
        <v>2021.0</v>
      </c>
      <c r="V189" s="45">
        <v>8.24</v>
      </c>
      <c r="W189" s="45">
        <v>77.4</v>
      </c>
      <c r="X189" s="45">
        <v>2025.0</v>
      </c>
      <c r="Y189" s="45">
        <v>0.0</v>
      </c>
      <c r="Z189" s="45">
        <v>0.0</v>
      </c>
      <c r="AA189" s="45" t="s">
        <v>2344</v>
      </c>
      <c r="AB189" s="45" t="s">
        <v>2345</v>
      </c>
      <c r="AC189" s="45">
        <v>9.347235903E9</v>
      </c>
      <c r="AD189" s="45">
        <v>9.912576123E9</v>
      </c>
      <c r="AE189" s="45" t="s">
        <v>52</v>
      </c>
      <c r="AF189" s="45">
        <v>0.0</v>
      </c>
      <c r="AG189" s="45" t="s">
        <v>2346</v>
      </c>
      <c r="AH189" s="45" t="s">
        <v>2347</v>
      </c>
      <c r="AI189" s="45">
        <v>8.86</v>
      </c>
      <c r="AJ189" s="45">
        <v>8.22</v>
      </c>
      <c r="AK189" s="45">
        <v>8.25</v>
      </c>
      <c r="AL189" s="45">
        <v>0.0</v>
      </c>
      <c r="AM189" s="45">
        <v>8.35</v>
      </c>
      <c r="AN189" s="45">
        <v>8.24</v>
      </c>
      <c r="AO189" s="45" t="s">
        <v>28</v>
      </c>
      <c r="AQ189" s="45" t="s">
        <v>1011</v>
      </c>
      <c r="AT189" s="45" t="s">
        <v>1012</v>
      </c>
    </row>
    <row r="190">
      <c r="A190" s="107"/>
      <c r="B190" s="108" t="s">
        <v>536</v>
      </c>
      <c r="C190" s="109" t="s">
        <v>2348</v>
      </c>
      <c r="D190" s="108" t="s">
        <v>2349</v>
      </c>
      <c r="E190" s="108" t="s">
        <v>537</v>
      </c>
      <c r="F190" s="108">
        <v>0.0</v>
      </c>
      <c r="G190" s="110">
        <v>9.91294E11</v>
      </c>
      <c r="H190" s="111" t="s">
        <v>1003</v>
      </c>
      <c r="I190" s="111" t="s">
        <v>1003</v>
      </c>
      <c r="J190" s="111" t="s">
        <v>1003</v>
      </c>
      <c r="K190" s="108" t="s">
        <v>1003</v>
      </c>
      <c r="L190" s="112" t="s">
        <v>2053</v>
      </c>
      <c r="M190" s="106">
        <v>25043.0</v>
      </c>
      <c r="N190" s="113">
        <v>0.0</v>
      </c>
      <c r="O190" s="106" t="s">
        <v>2350</v>
      </c>
      <c r="P190" s="106" t="s">
        <v>60</v>
      </c>
      <c r="Q190" s="45" t="s">
        <v>1006</v>
      </c>
      <c r="R190" s="45">
        <v>73.0</v>
      </c>
      <c r="S190" s="45">
        <v>2018.0</v>
      </c>
      <c r="T190" s="45">
        <v>87.0</v>
      </c>
      <c r="U190" s="45">
        <v>2020.0</v>
      </c>
      <c r="V190" s="45">
        <v>7.52</v>
      </c>
      <c r="W190" s="45">
        <v>70.2</v>
      </c>
      <c r="X190" s="45">
        <v>2025.0</v>
      </c>
      <c r="Y190" s="45">
        <v>0.0</v>
      </c>
      <c r="Z190" s="45">
        <v>1.0</v>
      </c>
      <c r="AA190" s="45" t="s">
        <v>2351</v>
      </c>
      <c r="AB190" s="45" t="s">
        <v>2352</v>
      </c>
      <c r="AC190" s="45">
        <v>9.502311156E9</v>
      </c>
      <c r="AD190" s="45">
        <v>9.848117172E9</v>
      </c>
      <c r="AE190" s="45" t="s">
        <v>237</v>
      </c>
      <c r="AF190" s="45">
        <v>0.0</v>
      </c>
      <c r="AG190" s="45" t="s">
        <v>2353</v>
      </c>
      <c r="AH190" s="45" t="s">
        <v>2175</v>
      </c>
      <c r="AI190" s="45">
        <v>7.81</v>
      </c>
      <c r="AJ190" s="45">
        <v>7.44</v>
      </c>
      <c r="AK190" s="45">
        <v>6.34</v>
      </c>
      <c r="AL190" s="45">
        <v>0.0</v>
      </c>
      <c r="AM190" s="45">
        <v>7.42</v>
      </c>
      <c r="AN190" s="45">
        <v>7.52</v>
      </c>
      <c r="AO190" s="45" t="s">
        <v>27</v>
      </c>
      <c r="AQ190" s="45" t="s">
        <v>1011</v>
      </c>
      <c r="AT190" s="45" t="s">
        <v>1012</v>
      </c>
    </row>
    <row r="191">
      <c r="A191" s="107"/>
      <c r="B191" s="108" t="s">
        <v>538</v>
      </c>
      <c r="C191" s="109" t="s">
        <v>2354</v>
      </c>
      <c r="D191" s="108" t="s">
        <v>2355</v>
      </c>
      <c r="E191" s="108" t="s">
        <v>539</v>
      </c>
      <c r="F191" s="108">
        <v>0.0</v>
      </c>
      <c r="G191" s="110">
        <v>7.80009E11</v>
      </c>
      <c r="H191" s="111" t="s">
        <v>1003</v>
      </c>
      <c r="I191" s="111">
        <v>10815.0</v>
      </c>
      <c r="J191" s="111">
        <v>12661.0</v>
      </c>
      <c r="K191" s="108">
        <v>17162.0</v>
      </c>
      <c r="L191" s="112" t="s">
        <v>2356</v>
      </c>
      <c r="M191" s="106">
        <v>8036.0</v>
      </c>
      <c r="N191" s="113">
        <v>0.0</v>
      </c>
      <c r="O191" s="106" t="s">
        <v>2357</v>
      </c>
      <c r="P191" s="106" t="s">
        <v>46</v>
      </c>
      <c r="Q191" s="45" t="s">
        <v>1006</v>
      </c>
      <c r="R191" s="45">
        <v>98.0</v>
      </c>
      <c r="S191" s="45">
        <v>2019.0</v>
      </c>
      <c r="T191" s="45">
        <v>97.2</v>
      </c>
      <c r="U191" s="45">
        <v>2021.0</v>
      </c>
      <c r="V191" s="45">
        <v>8.55</v>
      </c>
      <c r="W191" s="45">
        <v>80.5</v>
      </c>
      <c r="X191" s="45">
        <v>2025.0</v>
      </c>
      <c r="Y191" s="45">
        <v>0.0</v>
      </c>
      <c r="Z191" s="45">
        <v>0.0</v>
      </c>
      <c r="AA191" s="45" t="s">
        <v>2358</v>
      </c>
      <c r="AB191" s="45" t="s">
        <v>2359</v>
      </c>
      <c r="AC191" s="45">
        <v>6.304089664E9</v>
      </c>
      <c r="AD191" s="45">
        <v>8.179153105E9</v>
      </c>
      <c r="AE191" s="45" t="s">
        <v>278</v>
      </c>
      <c r="AF191" s="45">
        <v>0.0</v>
      </c>
      <c r="AG191" s="45" t="s">
        <v>2360</v>
      </c>
      <c r="AH191" s="45" t="s">
        <v>2361</v>
      </c>
      <c r="AI191" s="45">
        <v>9.32</v>
      </c>
      <c r="AJ191" s="45">
        <v>9.0</v>
      </c>
      <c r="AK191" s="45">
        <v>7.77</v>
      </c>
      <c r="AL191" s="45">
        <v>0.0</v>
      </c>
      <c r="AM191" s="45">
        <v>8.63</v>
      </c>
      <c r="AN191" s="45">
        <v>8.55</v>
      </c>
      <c r="AO191" s="45" t="s">
        <v>27</v>
      </c>
      <c r="AQ191" s="45" t="s">
        <v>1011</v>
      </c>
      <c r="AT191" s="45" t="s">
        <v>1012</v>
      </c>
    </row>
    <row r="192">
      <c r="A192" s="107"/>
      <c r="B192" s="108" t="s">
        <v>540</v>
      </c>
      <c r="C192" s="109" t="s">
        <v>2362</v>
      </c>
      <c r="D192" s="108" t="s">
        <v>2363</v>
      </c>
      <c r="E192" s="108" t="s">
        <v>541</v>
      </c>
      <c r="F192" s="108">
        <v>0.0</v>
      </c>
      <c r="G192" s="110">
        <v>2.40771E11</v>
      </c>
      <c r="H192" s="111" t="s">
        <v>1003</v>
      </c>
      <c r="I192" s="111" t="s">
        <v>1003</v>
      </c>
      <c r="J192" s="111" t="s">
        <v>1003</v>
      </c>
      <c r="K192" s="108" t="s">
        <v>1003</v>
      </c>
      <c r="L192" s="112" t="s">
        <v>2364</v>
      </c>
      <c r="M192" s="106">
        <v>24400.0</v>
      </c>
      <c r="N192" s="113">
        <v>0.0</v>
      </c>
      <c r="O192" s="106" t="s">
        <v>2365</v>
      </c>
      <c r="P192" s="106" t="s">
        <v>46</v>
      </c>
      <c r="Q192" s="45" t="s">
        <v>1006</v>
      </c>
      <c r="R192" s="45">
        <v>93.0</v>
      </c>
      <c r="S192" s="45">
        <v>2019.0</v>
      </c>
      <c r="T192" s="45">
        <v>73.6</v>
      </c>
      <c r="U192" s="45">
        <v>2021.0</v>
      </c>
      <c r="V192" s="45">
        <v>7.04</v>
      </c>
      <c r="W192" s="45">
        <v>65.4</v>
      </c>
      <c r="X192" s="45">
        <v>2025.0</v>
      </c>
      <c r="Y192" s="45">
        <v>0.0</v>
      </c>
      <c r="Z192" s="45">
        <v>0.0</v>
      </c>
      <c r="AA192" s="45" t="s">
        <v>2366</v>
      </c>
      <c r="AB192" s="45" t="s">
        <v>2367</v>
      </c>
      <c r="AC192" s="45">
        <v>8.125787826E9</v>
      </c>
      <c r="AD192" s="45">
        <v>9.177627827E9</v>
      </c>
      <c r="AE192" s="45">
        <v>0.0</v>
      </c>
      <c r="AF192" s="45">
        <v>0.0</v>
      </c>
      <c r="AG192" s="45" t="s">
        <v>2368</v>
      </c>
      <c r="AH192" s="45" t="s">
        <v>2369</v>
      </c>
      <c r="AI192" s="45">
        <v>7.05</v>
      </c>
      <c r="AJ192" s="45">
        <v>6.66</v>
      </c>
      <c r="AK192" s="45">
        <v>6.27</v>
      </c>
      <c r="AL192" s="45">
        <v>0.0</v>
      </c>
      <c r="AM192" s="45">
        <v>6.99</v>
      </c>
      <c r="AN192" s="45">
        <v>7.04</v>
      </c>
      <c r="AO192" s="45" t="s">
        <v>28</v>
      </c>
      <c r="AQ192" s="45" t="s">
        <v>1011</v>
      </c>
      <c r="AT192" s="45" t="s">
        <v>1012</v>
      </c>
    </row>
    <row r="193">
      <c r="A193" s="107"/>
      <c r="B193" s="108" t="s">
        <v>542</v>
      </c>
      <c r="C193" s="109" t="s">
        <v>2370</v>
      </c>
      <c r="D193" s="108" t="s">
        <v>2371</v>
      </c>
      <c r="E193" s="108" t="s">
        <v>543</v>
      </c>
      <c r="F193" s="108">
        <v>0.0</v>
      </c>
      <c r="G193" s="110">
        <v>4.5269E11</v>
      </c>
      <c r="H193" s="111" t="s">
        <v>1003</v>
      </c>
      <c r="I193" s="111">
        <v>1216.0</v>
      </c>
      <c r="J193" s="111" t="s">
        <v>1003</v>
      </c>
      <c r="K193" s="108" t="s">
        <v>1003</v>
      </c>
      <c r="L193" s="112" t="s">
        <v>2372</v>
      </c>
      <c r="M193" s="106">
        <v>0.0</v>
      </c>
      <c r="N193" s="113">
        <v>0.0</v>
      </c>
      <c r="O193" s="114">
        <v>38022.0</v>
      </c>
      <c r="P193" s="106" t="s">
        <v>46</v>
      </c>
      <c r="Q193" s="45" t="s">
        <v>1006</v>
      </c>
      <c r="R193" s="45">
        <v>75.0</v>
      </c>
      <c r="S193" s="45">
        <v>2019.0</v>
      </c>
      <c r="T193" s="45">
        <v>75.0</v>
      </c>
      <c r="U193" s="45">
        <v>2021.0</v>
      </c>
      <c r="V193" s="45">
        <v>6.88</v>
      </c>
      <c r="W193" s="45">
        <v>63.8</v>
      </c>
      <c r="X193" s="45">
        <v>2025.0</v>
      </c>
      <c r="Y193" s="45">
        <v>0.0</v>
      </c>
      <c r="Z193" s="45">
        <v>0.0</v>
      </c>
      <c r="AA193" s="45" t="s">
        <v>2373</v>
      </c>
      <c r="AB193" s="45" t="s">
        <v>2374</v>
      </c>
      <c r="AC193" s="45">
        <v>8.919797053E9</v>
      </c>
      <c r="AD193" s="45">
        <v>8.919797053E9</v>
      </c>
      <c r="AE193" s="45" t="s">
        <v>52</v>
      </c>
      <c r="AF193" s="45">
        <v>0.0</v>
      </c>
      <c r="AG193" s="45" t="s">
        <v>2375</v>
      </c>
      <c r="AH193" s="45" t="s">
        <v>2376</v>
      </c>
      <c r="AI193" s="45">
        <v>7.11</v>
      </c>
      <c r="AJ193" s="45">
        <v>0.0</v>
      </c>
      <c r="AK193" s="45">
        <v>0.0</v>
      </c>
      <c r="AL193" s="45">
        <v>0.0</v>
      </c>
      <c r="AM193" s="45">
        <v>6.83</v>
      </c>
      <c r="AN193" s="45">
        <v>6.88</v>
      </c>
      <c r="AO193" s="45" t="s">
        <v>27</v>
      </c>
      <c r="AQ193" s="45" t="s">
        <v>1011</v>
      </c>
      <c r="AT193" s="45" t="s">
        <v>1012</v>
      </c>
    </row>
    <row r="194">
      <c r="A194" s="107"/>
      <c r="B194" s="108" t="s">
        <v>544</v>
      </c>
      <c r="C194" s="109" t="s">
        <v>2377</v>
      </c>
      <c r="D194" s="108" t="s">
        <v>2378</v>
      </c>
      <c r="E194" s="108" t="s">
        <v>545</v>
      </c>
      <c r="F194" s="108">
        <v>0.0</v>
      </c>
      <c r="G194" s="110">
        <v>3.67414E11</v>
      </c>
      <c r="H194" s="111" t="s">
        <v>1003</v>
      </c>
      <c r="I194" s="111">
        <v>22762.0</v>
      </c>
      <c r="J194" s="111">
        <v>31306.0</v>
      </c>
      <c r="K194" s="108">
        <v>31354.0</v>
      </c>
      <c r="L194" s="112" t="s">
        <v>2379</v>
      </c>
      <c r="M194" s="106">
        <v>5510.0</v>
      </c>
      <c r="N194" s="113">
        <v>0.0</v>
      </c>
      <c r="O194" s="114">
        <v>37993.0</v>
      </c>
      <c r="P194" s="106" t="s">
        <v>60</v>
      </c>
      <c r="Q194" s="45" t="s">
        <v>1006</v>
      </c>
      <c r="R194" s="45">
        <v>95.8</v>
      </c>
      <c r="S194" s="45">
        <v>2019.0</v>
      </c>
      <c r="T194" s="45">
        <v>97.0</v>
      </c>
      <c r="U194" s="45">
        <v>2021.0</v>
      </c>
      <c r="V194" s="45">
        <v>8.94</v>
      </c>
      <c r="W194" s="45">
        <v>84.4</v>
      </c>
      <c r="X194" s="45">
        <v>2025.0</v>
      </c>
      <c r="Y194" s="45">
        <v>0.0</v>
      </c>
      <c r="Z194" s="45">
        <v>0.0</v>
      </c>
      <c r="AA194" s="45" t="s">
        <v>2380</v>
      </c>
      <c r="AB194" s="45" t="s">
        <v>2381</v>
      </c>
      <c r="AC194" s="45">
        <v>7.013850148E9</v>
      </c>
      <c r="AD194" s="45">
        <v>8.309833682E9</v>
      </c>
      <c r="AE194" s="45" t="s">
        <v>546</v>
      </c>
      <c r="AF194" s="45" t="s">
        <v>463</v>
      </c>
      <c r="AG194" s="45" t="s">
        <v>2382</v>
      </c>
      <c r="AH194" s="45" t="s">
        <v>2383</v>
      </c>
      <c r="AI194" s="45">
        <v>9.19</v>
      </c>
      <c r="AJ194" s="45">
        <v>9.32</v>
      </c>
      <c r="AK194" s="45">
        <v>7.91</v>
      </c>
      <c r="AL194" s="45">
        <v>0.0</v>
      </c>
      <c r="AM194" s="45">
        <v>8.91</v>
      </c>
      <c r="AN194" s="45">
        <v>8.94</v>
      </c>
      <c r="AO194" s="45" t="s">
        <v>27</v>
      </c>
      <c r="AQ194" s="45" t="s">
        <v>1011</v>
      </c>
      <c r="AT194" s="45" t="s">
        <v>1012</v>
      </c>
    </row>
    <row r="195">
      <c r="A195" s="107"/>
      <c r="B195" s="108" t="s">
        <v>547</v>
      </c>
      <c r="C195" s="109" t="s">
        <v>2384</v>
      </c>
      <c r="D195" s="108" t="s">
        <v>2385</v>
      </c>
      <c r="E195" s="108" t="s">
        <v>548</v>
      </c>
      <c r="F195" s="108">
        <v>0.0</v>
      </c>
      <c r="G195" s="110">
        <v>5.42648E11</v>
      </c>
      <c r="H195" s="111" t="s">
        <v>1003</v>
      </c>
      <c r="I195" s="111">
        <v>2583.0</v>
      </c>
      <c r="J195" s="111" t="s">
        <v>1003</v>
      </c>
      <c r="K195" s="108" t="s">
        <v>1003</v>
      </c>
      <c r="L195" s="112" t="s">
        <v>1479</v>
      </c>
      <c r="M195" s="106">
        <v>22775.0</v>
      </c>
      <c r="N195" s="113">
        <v>0.0</v>
      </c>
      <c r="O195" s="114">
        <v>37720.0</v>
      </c>
      <c r="P195" s="106" t="s">
        <v>60</v>
      </c>
      <c r="Q195" s="45" t="s">
        <v>1006</v>
      </c>
      <c r="R195" s="45">
        <v>98.0</v>
      </c>
      <c r="S195" s="45">
        <v>2019.0</v>
      </c>
      <c r="T195" s="45">
        <v>97.0</v>
      </c>
      <c r="U195" s="45">
        <v>2021.0</v>
      </c>
      <c r="V195" s="45">
        <v>7.93</v>
      </c>
      <c r="W195" s="45">
        <v>74.3</v>
      </c>
      <c r="X195" s="45">
        <v>2025.0</v>
      </c>
      <c r="Y195" s="45">
        <v>0.0</v>
      </c>
      <c r="Z195" s="45">
        <v>0.0</v>
      </c>
      <c r="AA195" s="45" t="s">
        <v>2386</v>
      </c>
      <c r="AB195" s="45" t="s">
        <v>2387</v>
      </c>
      <c r="AC195" s="45">
        <v>7.70201954E9</v>
      </c>
      <c r="AD195" s="45">
        <v>9.866572804E9</v>
      </c>
      <c r="AE195" s="45" t="s">
        <v>278</v>
      </c>
      <c r="AF195" s="45">
        <v>0.0</v>
      </c>
      <c r="AG195" s="45" t="s">
        <v>2388</v>
      </c>
      <c r="AH195" s="45" t="s">
        <v>2389</v>
      </c>
      <c r="AI195" s="45">
        <v>7.78</v>
      </c>
      <c r="AJ195" s="45">
        <v>7.95</v>
      </c>
      <c r="AK195" s="45">
        <v>7.45</v>
      </c>
      <c r="AL195" s="45">
        <v>0.0</v>
      </c>
      <c r="AM195" s="45">
        <v>7.89</v>
      </c>
      <c r="AN195" s="45">
        <v>7.93</v>
      </c>
      <c r="AO195" s="45" t="s">
        <v>27</v>
      </c>
      <c r="AQ195" s="45" t="s">
        <v>1011</v>
      </c>
      <c r="AT195" s="45" t="s">
        <v>1012</v>
      </c>
    </row>
    <row r="196">
      <c r="A196" s="107"/>
      <c r="B196" s="108" t="s">
        <v>549</v>
      </c>
      <c r="C196" s="109" t="s">
        <v>2390</v>
      </c>
      <c r="D196" s="108" t="s">
        <v>2391</v>
      </c>
      <c r="E196" s="108" t="s">
        <v>550</v>
      </c>
      <c r="F196" s="108">
        <v>0.0</v>
      </c>
      <c r="G196" s="110">
        <v>8.90193E11</v>
      </c>
      <c r="H196" s="111" t="s">
        <v>1003</v>
      </c>
      <c r="I196" s="111">
        <v>3251.0</v>
      </c>
      <c r="J196" s="111" t="s">
        <v>1003</v>
      </c>
      <c r="K196" s="108" t="s">
        <v>1003</v>
      </c>
      <c r="L196" s="112" t="s">
        <v>1479</v>
      </c>
      <c r="M196" s="106">
        <v>33000.0</v>
      </c>
      <c r="N196" s="113">
        <v>0.0</v>
      </c>
      <c r="O196" s="106" t="s">
        <v>1648</v>
      </c>
      <c r="P196" s="106" t="s">
        <v>60</v>
      </c>
      <c r="Q196" s="45" t="s">
        <v>1006</v>
      </c>
      <c r="R196" s="45">
        <v>92.0</v>
      </c>
      <c r="S196" s="45">
        <v>2019.0</v>
      </c>
      <c r="T196" s="45">
        <v>82.0</v>
      </c>
      <c r="U196" s="45">
        <v>2021.0</v>
      </c>
      <c r="V196" s="45">
        <v>8.04</v>
      </c>
      <c r="W196" s="45">
        <v>75.4</v>
      </c>
      <c r="X196" s="45">
        <v>2025.0</v>
      </c>
      <c r="Y196" s="45">
        <v>0.0</v>
      </c>
      <c r="Z196" s="45">
        <v>0.0</v>
      </c>
      <c r="AA196" s="45" t="s">
        <v>2392</v>
      </c>
      <c r="AB196" s="45" t="s">
        <v>2393</v>
      </c>
      <c r="AC196" s="45">
        <v>9.949250651E9</v>
      </c>
      <c r="AD196" s="45">
        <v>9.848029263E9</v>
      </c>
      <c r="AE196" s="45">
        <v>0.0</v>
      </c>
      <c r="AF196" s="45">
        <v>0.0</v>
      </c>
      <c r="AG196" s="45" t="s">
        <v>2394</v>
      </c>
      <c r="AH196" s="45" t="s">
        <v>2395</v>
      </c>
      <c r="AI196" s="45">
        <v>7.68</v>
      </c>
      <c r="AJ196" s="45">
        <v>7.88</v>
      </c>
      <c r="AK196" s="45">
        <v>7.45</v>
      </c>
      <c r="AL196" s="45">
        <v>0.0</v>
      </c>
      <c r="AM196" s="45">
        <v>7.87</v>
      </c>
      <c r="AN196" s="45">
        <v>8.04</v>
      </c>
      <c r="AO196" s="45" t="s">
        <v>27</v>
      </c>
      <c r="AQ196" s="45" t="s">
        <v>1011</v>
      </c>
      <c r="AT196" s="45" t="s">
        <v>1012</v>
      </c>
    </row>
    <row r="197">
      <c r="A197" s="107"/>
      <c r="B197" s="108" t="s">
        <v>551</v>
      </c>
      <c r="C197" s="109" t="s">
        <v>2396</v>
      </c>
      <c r="D197" s="108" t="s">
        <v>2397</v>
      </c>
      <c r="E197" s="108" t="s">
        <v>552</v>
      </c>
      <c r="F197" s="108">
        <v>0.0</v>
      </c>
      <c r="G197" s="110">
        <v>3.09878E11</v>
      </c>
      <c r="H197" s="111" t="s">
        <v>1003</v>
      </c>
      <c r="I197" s="111" t="s">
        <v>1003</v>
      </c>
      <c r="J197" s="111" t="s">
        <v>1003</v>
      </c>
      <c r="K197" s="108" t="s">
        <v>1003</v>
      </c>
      <c r="L197" s="112" t="s">
        <v>1123</v>
      </c>
      <c r="M197" s="106">
        <v>7339.0</v>
      </c>
      <c r="N197" s="113">
        <v>0.0</v>
      </c>
      <c r="O197" s="106" t="s">
        <v>2398</v>
      </c>
      <c r="P197" s="106" t="s">
        <v>46</v>
      </c>
      <c r="Q197" s="45" t="s">
        <v>1006</v>
      </c>
      <c r="R197" s="45">
        <v>97.0</v>
      </c>
      <c r="S197" s="45">
        <v>2019.0</v>
      </c>
      <c r="T197" s="45">
        <v>97.6</v>
      </c>
      <c r="U197" s="45">
        <v>2021.0</v>
      </c>
      <c r="V197" s="45">
        <v>7.75</v>
      </c>
      <c r="W197" s="45">
        <v>72.5</v>
      </c>
      <c r="X197" s="45">
        <v>2025.0</v>
      </c>
      <c r="Y197" s="45">
        <v>0.0</v>
      </c>
      <c r="Z197" s="45">
        <v>0.0</v>
      </c>
      <c r="AA197" s="45" t="s">
        <v>2399</v>
      </c>
      <c r="AB197" s="45" t="s">
        <v>2400</v>
      </c>
      <c r="AC197" s="45">
        <v>8.309463469E9</v>
      </c>
      <c r="AD197" s="45">
        <v>9.032067313E9</v>
      </c>
      <c r="AE197" s="45">
        <v>0.0</v>
      </c>
      <c r="AF197" s="45">
        <v>0.0</v>
      </c>
      <c r="AG197" s="45" t="s">
        <v>2401</v>
      </c>
      <c r="AH197" s="45" t="s">
        <v>2402</v>
      </c>
      <c r="AI197" s="45">
        <v>8.32</v>
      </c>
      <c r="AJ197" s="45">
        <v>8.41</v>
      </c>
      <c r="AK197" s="45">
        <v>7.11</v>
      </c>
      <c r="AL197" s="45">
        <v>0.0</v>
      </c>
      <c r="AM197" s="45">
        <v>7.74</v>
      </c>
      <c r="AN197" s="45">
        <v>7.75</v>
      </c>
      <c r="AO197" s="45" t="s">
        <v>28</v>
      </c>
      <c r="AQ197" s="45" t="s">
        <v>1011</v>
      </c>
      <c r="AT197" s="45" t="s">
        <v>1028</v>
      </c>
    </row>
    <row r="198">
      <c r="A198" s="107"/>
      <c r="B198" s="108" t="s">
        <v>553</v>
      </c>
      <c r="C198" s="109" t="s">
        <v>2403</v>
      </c>
      <c r="D198" s="108" t="s">
        <v>2404</v>
      </c>
      <c r="E198" s="108" t="s">
        <v>554</v>
      </c>
      <c r="F198" s="108">
        <v>0.0</v>
      </c>
      <c r="G198" s="110">
        <v>9.3931E11</v>
      </c>
      <c r="H198" s="111" t="s">
        <v>1003</v>
      </c>
      <c r="I198" s="111" t="s">
        <v>1003</v>
      </c>
      <c r="J198" s="111" t="s">
        <v>1003</v>
      </c>
      <c r="K198" s="108" t="s">
        <v>1003</v>
      </c>
      <c r="L198" s="112" t="s">
        <v>1341</v>
      </c>
      <c r="M198" s="106">
        <v>0.0</v>
      </c>
      <c r="N198" s="113">
        <v>0.0</v>
      </c>
      <c r="O198" s="114">
        <v>37567.0</v>
      </c>
      <c r="P198" s="106" t="s">
        <v>46</v>
      </c>
      <c r="Q198" s="45" t="s">
        <v>1006</v>
      </c>
      <c r="R198" s="45">
        <v>69.0</v>
      </c>
      <c r="S198" s="45">
        <v>2018.0</v>
      </c>
      <c r="T198" s="45">
        <v>67.0</v>
      </c>
      <c r="U198" s="45">
        <v>2021.0</v>
      </c>
      <c r="V198" s="45">
        <v>0.0</v>
      </c>
      <c r="W198" s="45">
        <v>-5.0</v>
      </c>
      <c r="X198" s="45">
        <v>2025.0</v>
      </c>
      <c r="Y198" s="45">
        <v>2.0</v>
      </c>
      <c r="Z198" s="45">
        <v>3.0</v>
      </c>
      <c r="AA198" s="45" t="s">
        <v>2405</v>
      </c>
      <c r="AB198" s="45" t="s">
        <v>2406</v>
      </c>
      <c r="AC198" s="45">
        <v>9.849952699E9</v>
      </c>
      <c r="AD198" s="45">
        <v>8.00821333E9</v>
      </c>
      <c r="AE198" s="45">
        <v>0.0</v>
      </c>
      <c r="AF198" s="45">
        <v>0.0</v>
      </c>
      <c r="AG198" s="45" t="s">
        <v>2407</v>
      </c>
      <c r="AH198" s="45" t="s">
        <v>2408</v>
      </c>
      <c r="AI198" s="45">
        <v>0.0</v>
      </c>
      <c r="AJ198" s="45">
        <v>0.0</v>
      </c>
      <c r="AK198" s="45">
        <v>6.23</v>
      </c>
      <c r="AL198" s="45">
        <v>0.0</v>
      </c>
      <c r="AM198" s="45">
        <v>6.39</v>
      </c>
      <c r="AN198" s="45">
        <v>0.0</v>
      </c>
      <c r="AO198" s="45" t="s">
        <v>27</v>
      </c>
      <c r="AQ198" s="45" t="s">
        <v>1011</v>
      </c>
      <c r="AT198" s="45" t="s">
        <v>1028</v>
      </c>
    </row>
    <row r="199">
      <c r="A199" s="107"/>
      <c r="B199" s="108" t="s">
        <v>555</v>
      </c>
      <c r="C199" s="109" t="s">
        <v>2409</v>
      </c>
      <c r="D199" s="108" t="s">
        <v>1155</v>
      </c>
      <c r="E199" s="108" t="s">
        <v>556</v>
      </c>
      <c r="F199" s="108">
        <v>0.0</v>
      </c>
      <c r="G199" s="110">
        <v>5.42923E11</v>
      </c>
      <c r="H199" s="111" t="s">
        <v>1003</v>
      </c>
      <c r="I199" s="111">
        <v>9868.0</v>
      </c>
      <c r="J199" s="111">
        <v>13009.0</v>
      </c>
      <c r="K199" s="108" t="s">
        <v>1003</v>
      </c>
      <c r="L199" s="112" t="s">
        <v>2410</v>
      </c>
      <c r="M199" s="106">
        <v>11992.0</v>
      </c>
      <c r="N199" s="113">
        <v>0.0</v>
      </c>
      <c r="O199" s="114">
        <v>37867.0</v>
      </c>
      <c r="P199" s="106" t="s">
        <v>46</v>
      </c>
      <c r="Q199" s="45" t="s">
        <v>1006</v>
      </c>
      <c r="R199" s="45">
        <v>97.0</v>
      </c>
      <c r="S199" s="45">
        <v>2019.0</v>
      </c>
      <c r="T199" s="45">
        <v>96.8</v>
      </c>
      <c r="U199" s="45">
        <v>2021.0</v>
      </c>
      <c r="V199" s="45">
        <v>8.08</v>
      </c>
      <c r="W199" s="45">
        <v>75.8</v>
      </c>
      <c r="X199" s="45">
        <v>2025.0</v>
      </c>
      <c r="Y199" s="45">
        <v>0.0</v>
      </c>
      <c r="Z199" s="45">
        <v>0.0</v>
      </c>
      <c r="AA199" s="45" t="s">
        <v>2411</v>
      </c>
      <c r="AB199" s="45" t="s">
        <v>2412</v>
      </c>
      <c r="AC199" s="45">
        <v>9.848994471E9</v>
      </c>
      <c r="AD199" s="45">
        <v>9.177069944E9</v>
      </c>
      <c r="AE199" s="45" t="s">
        <v>237</v>
      </c>
      <c r="AF199" s="45">
        <v>0.0</v>
      </c>
      <c r="AG199" s="45" t="s">
        <v>2413</v>
      </c>
      <c r="AH199" s="45" t="s">
        <v>2414</v>
      </c>
      <c r="AI199" s="45">
        <v>8.59</v>
      </c>
      <c r="AJ199" s="45">
        <v>8.02</v>
      </c>
      <c r="AK199" s="45">
        <v>7.16</v>
      </c>
      <c r="AL199" s="45">
        <v>0.0</v>
      </c>
      <c r="AM199" s="45">
        <v>8.05</v>
      </c>
      <c r="AN199" s="45">
        <v>8.08</v>
      </c>
      <c r="AO199" s="45" t="s">
        <v>28</v>
      </c>
      <c r="AQ199" s="45" t="s">
        <v>1011</v>
      </c>
      <c r="AT199" s="45" t="s">
        <v>1012</v>
      </c>
    </row>
    <row r="200">
      <c r="A200" s="107"/>
      <c r="B200" s="108" t="s">
        <v>557</v>
      </c>
      <c r="C200" s="109" t="s">
        <v>558</v>
      </c>
      <c r="D200" s="108" t="s">
        <v>2415</v>
      </c>
      <c r="E200" s="108" t="s">
        <v>558</v>
      </c>
      <c r="F200" s="108">
        <v>0.0</v>
      </c>
      <c r="G200" s="110">
        <v>2.445E11</v>
      </c>
      <c r="H200" s="111" t="s">
        <v>1003</v>
      </c>
      <c r="I200" s="111" t="s">
        <v>1003</v>
      </c>
      <c r="J200" s="111" t="s">
        <v>1003</v>
      </c>
      <c r="K200" s="108" t="s">
        <v>1003</v>
      </c>
      <c r="L200" s="112" t="s">
        <v>2416</v>
      </c>
      <c r="M200" s="106">
        <v>23123.0</v>
      </c>
      <c r="N200" s="113">
        <v>0.0</v>
      </c>
      <c r="O200" s="106" t="s">
        <v>2417</v>
      </c>
      <c r="P200" s="106" t="s">
        <v>60</v>
      </c>
      <c r="Q200" s="45" t="s">
        <v>1006</v>
      </c>
      <c r="R200" s="45">
        <v>95.0</v>
      </c>
      <c r="S200" s="45">
        <v>2019.0</v>
      </c>
      <c r="T200" s="45">
        <v>96.4</v>
      </c>
      <c r="U200" s="45">
        <v>2021.0</v>
      </c>
      <c r="V200" s="45">
        <v>8.59</v>
      </c>
      <c r="W200" s="45">
        <v>80.9</v>
      </c>
      <c r="X200" s="45">
        <v>2025.0</v>
      </c>
      <c r="Y200" s="45">
        <v>0.0</v>
      </c>
      <c r="Z200" s="45">
        <v>0.0</v>
      </c>
      <c r="AA200" s="45" t="s">
        <v>2418</v>
      </c>
      <c r="AB200" s="45" t="s">
        <v>2419</v>
      </c>
      <c r="AC200" s="45">
        <v>8.639788406E9</v>
      </c>
      <c r="AD200" s="45">
        <v>9.701626653E9</v>
      </c>
      <c r="AE200" s="45" t="s">
        <v>546</v>
      </c>
      <c r="AF200" s="45" t="s">
        <v>559</v>
      </c>
      <c r="AG200" s="45" t="s">
        <v>2420</v>
      </c>
      <c r="AH200" s="45" t="s">
        <v>2421</v>
      </c>
      <c r="AI200" s="45">
        <v>8.95</v>
      </c>
      <c r="AJ200" s="45">
        <v>8.71</v>
      </c>
      <c r="AK200" s="45">
        <v>8.05</v>
      </c>
      <c r="AL200" s="45">
        <v>0.0</v>
      </c>
      <c r="AM200" s="45">
        <v>8.64</v>
      </c>
      <c r="AN200" s="45">
        <v>8.59</v>
      </c>
      <c r="AO200" s="45" t="s">
        <v>28</v>
      </c>
      <c r="AQ200" s="45" t="s">
        <v>1011</v>
      </c>
      <c r="AT200" s="45" t="s">
        <v>1012</v>
      </c>
    </row>
    <row r="201">
      <c r="A201" s="107"/>
      <c r="B201" s="108" t="s">
        <v>560</v>
      </c>
      <c r="C201" s="109" t="s">
        <v>558</v>
      </c>
      <c r="D201" s="108" t="s">
        <v>2422</v>
      </c>
      <c r="E201" s="108" t="s">
        <v>561</v>
      </c>
      <c r="F201" s="108">
        <v>0.0</v>
      </c>
      <c r="G201" s="110">
        <v>4.82715E11</v>
      </c>
      <c r="H201" s="111" t="s">
        <v>1003</v>
      </c>
      <c r="I201" s="111" t="s">
        <v>1003</v>
      </c>
      <c r="J201" s="111" t="s">
        <v>1003</v>
      </c>
      <c r="K201" s="108" t="s">
        <v>1003</v>
      </c>
      <c r="L201" s="112" t="s">
        <v>1870</v>
      </c>
      <c r="M201" s="106">
        <v>12957.0</v>
      </c>
      <c r="N201" s="113">
        <v>0.0</v>
      </c>
      <c r="O201" s="106" t="s">
        <v>2423</v>
      </c>
      <c r="P201" s="106" t="s">
        <v>60</v>
      </c>
      <c r="Q201" s="45" t="s">
        <v>1006</v>
      </c>
      <c r="R201" s="45">
        <v>88.4</v>
      </c>
      <c r="S201" s="45">
        <v>2019.0</v>
      </c>
      <c r="T201" s="45">
        <v>94.2</v>
      </c>
      <c r="U201" s="45">
        <v>2021.0</v>
      </c>
      <c r="V201" s="45">
        <v>8.49</v>
      </c>
      <c r="W201" s="45">
        <v>79.9</v>
      </c>
      <c r="X201" s="45">
        <v>2025.0</v>
      </c>
      <c r="Y201" s="45">
        <v>0.0</v>
      </c>
      <c r="Z201" s="45">
        <v>0.0</v>
      </c>
      <c r="AA201" s="45" t="s">
        <v>2424</v>
      </c>
      <c r="AB201" s="45" t="s">
        <v>2425</v>
      </c>
      <c r="AC201" s="45">
        <v>9.177342212E9</v>
      </c>
      <c r="AD201" s="45">
        <v>9.441886543E9</v>
      </c>
      <c r="AE201" s="45" t="s">
        <v>278</v>
      </c>
      <c r="AF201" s="45">
        <v>0.0</v>
      </c>
      <c r="AG201" s="45" t="s">
        <v>2426</v>
      </c>
      <c r="AH201" s="45" t="s">
        <v>2427</v>
      </c>
      <c r="AI201" s="45">
        <v>8.51</v>
      </c>
      <c r="AJ201" s="45">
        <v>8.15</v>
      </c>
      <c r="AK201" s="45">
        <v>8.34</v>
      </c>
      <c r="AL201" s="45">
        <v>0.0</v>
      </c>
      <c r="AM201" s="45">
        <v>8.41</v>
      </c>
      <c r="AN201" s="45">
        <v>8.49</v>
      </c>
      <c r="AO201" s="45" t="s">
        <v>27</v>
      </c>
      <c r="AQ201" s="45" t="s">
        <v>1011</v>
      </c>
      <c r="AT201" s="45" t="s">
        <v>1012</v>
      </c>
    </row>
    <row r="202">
      <c r="A202" s="107"/>
      <c r="B202" s="108" t="s">
        <v>562</v>
      </c>
      <c r="C202" s="109" t="s">
        <v>558</v>
      </c>
      <c r="D202" s="108" t="s">
        <v>2428</v>
      </c>
      <c r="E202" s="108" t="s">
        <v>563</v>
      </c>
      <c r="F202" s="108">
        <v>0.0</v>
      </c>
      <c r="G202" s="110">
        <v>7.23834E11</v>
      </c>
      <c r="H202" s="111" t="s">
        <v>1003</v>
      </c>
      <c r="I202" s="111">
        <v>9046.0</v>
      </c>
      <c r="J202" s="111">
        <v>11146.0</v>
      </c>
      <c r="K202" s="108" t="s">
        <v>1003</v>
      </c>
      <c r="L202" s="112" t="s">
        <v>2429</v>
      </c>
      <c r="M202" s="106">
        <v>0.0</v>
      </c>
      <c r="N202" s="113">
        <v>0.0</v>
      </c>
      <c r="O202" s="106" t="s">
        <v>1593</v>
      </c>
      <c r="P202" s="106" t="s">
        <v>60</v>
      </c>
      <c r="Q202" s="45" t="s">
        <v>1006</v>
      </c>
      <c r="R202" s="45">
        <v>81.4</v>
      </c>
      <c r="S202" s="45">
        <v>2019.0</v>
      </c>
      <c r="T202" s="45">
        <v>92.0</v>
      </c>
      <c r="U202" s="45">
        <v>2021.0</v>
      </c>
      <c r="V202" s="45">
        <v>8.38</v>
      </c>
      <c r="W202" s="45">
        <v>78.8</v>
      </c>
      <c r="X202" s="45">
        <v>2025.0</v>
      </c>
      <c r="Y202" s="45">
        <v>0.0</v>
      </c>
      <c r="Z202" s="45">
        <v>0.0</v>
      </c>
      <c r="AA202" s="45" t="s">
        <v>2430</v>
      </c>
      <c r="AB202" s="45" t="s">
        <v>2431</v>
      </c>
      <c r="AC202" s="45">
        <v>9.0300908E9</v>
      </c>
      <c r="AD202" s="45">
        <v>9.396670077E9</v>
      </c>
      <c r="AE202" s="45" t="s">
        <v>237</v>
      </c>
      <c r="AF202" s="45">
        <v>0.0</v>
      </c>
      <c r="AG202" s="45" t="s">
        <v>2432</v>
      </c>
      <c r="AH202" s="45" t="s">
        <v>2433</v>
      </c>
      <c r="AI202" s="45">
        <v>8.84</v>
      </c>
      <c r="AJ202" s="45">
        <v>7.95</v>
      </c>
      <c r="AK202" s="45">
        <v>7.77</v>
      </c>
      <c r="AL202" s="45">
        <v>0.0</v>
      </c>
      <c r="AM202" s="45">
        <v>8.34</v>
      </c>
      <c r="AN202" s="45">
        <v>8.38</v>
      </c>
      <c r="AO202" s="45" t="s">
        <v>28</v>
      </c>
      <c r="AQ202" s="45" t="s">
        <v>1011</v>
      </c>
      <c r="AT202" s="45" t="s">
        <v>1012</v>
      </c>
    </row>
    <row r="203">
      <c r="A203" s="107"/>
      <c r="B203" s="108" t="s">
        <v>564</v>
      </c>
      <c r="C203" s="109" t="s">
        <v>2434</v>
      </c>
      <c r="D203" s="108" t="s">
        <v>2435</v>
      </c>
      <c r="E203" s="108" t="s">
        <v>565</v>
      </c>
      <c r="F203" s="108">
        <v>0.0</v>
      </c>
      <c r="G203" s="110">
        <v>7.62013E11</v>
      </c>
      <c r="H203" s="111" t="s">
        <v>1003</v>
      </c>
      <c r="I203" s="111">
        <v>5089.0</v>
      </c>
      <c r="J203" s="111" t="s">
        <v>1003</v>
      </c>
      <c r="K203" s="108" t="s">
        <v>1003</v>
      </c>
      <c r="L203" s="112" t="s">
        <v>2436</v>
      </c>
      <c r="M203" s="106">
        <v>0.0</v>
      </c>
      <c r="N203" s="113">
        <v>0.0</v>
      </c>
      <c r="O203" s="114">
        <v>38149.0</v>
      </c>
      <c r="P203" s="106" t="s">
        <v>60</v>
      </c>
      <c r="Q203" s="45" t="s">
        <v>1006</v>
      </c>
      <c r="R203" s="45">
        <v>72.8</v>
      </c>
      <c r="S203" s="45">
        <v>2019.0</v>
      </c>
      <c r="T203" s="45">
        <v>91.4</v>
      </c>
      <c r="U203" s="45">
        <v>2021.0</v>
      </c>
      <c r="V203" s="45">
        <v>7.64</v>
      </c>
      <c r="W203" s="45">
        <v>71.4</v>
      </c>
      <c r="X203" s="45">
        <v>2025.0</v>
      </c>
      <c r="Y203" s="45">
        <v>0.0</v>
      </c>
      <c r="Z203" s="45">
        <v>0.0</v>
      </c>
      <c r="AA203" s="45" t="s">
        <v>2437</v>
      </c>
      <c r="AB203" s="45" t="s">
        <v>2438</v>
      </c>
      <c r="AC203" s="45">
        <v>9.550608666E9</v>
      </c>
      <c r="AD203" s="45">
        <v>9.550606444E9</v>
      </c>
      <c r="AE203" s="45" t="s">
        <v>48</v>
      </c>
      <c r="AF203" s="45">
        <v>0.0</v>
      </c>
      <c r="AG203" s="45" t="s">
        <v>2439</v>
      </c>
      <c r="AH203" s="45" t="s">
        <v>2440</v>
      </c>
      <c r="AI203" s="45">
        <v>7.97</v>
      </c>
      <c r="AJ203" s="45">
        <v>7.8</v>
      </c>
      <c r="AK203" s="45">
        <v>7.07</v>
      </c>
      <c r="AL203" s="45">
        <v>0.0</v>
      </c>
      <c r="AM203" s="45">
        <v>7.67</v>
      </c>
      <c r="AN203" s="45">
        <v>7.64</v>
      </c>
      <c r="AO203" s="45" t="s">
        <v>27</v>
      </c>
      <c r="AQ203" s="45" t="s">
        <v>1011</v>
      </c>
      <c r="AT203" s="45" t="s">
        <v>1012</v>
      </c>
    </row>
    <row r="204">
      <c r="A204" s="107"/>
      <c r="B204" s="108" t="s">
        <v>566</v>
      </c>
      <c r="C204" s="109" t="s">
        <v>2441</v>
      </c>
      <c r="D204" s="108" t="s">
        <v>2442</v>
      </c>
      <c r="E204" s="108" t="s">
        <v>567</v>
      </c>
      <c r="F204" s="108">
        <v>0.0</v>
      </c>
      <c r="G204" s="110">
        <v>5.34327E11</v>
      </c>
      <c r="H204" s="111" t="s">
        <v>1003</v>
      </c>
      <c r="I204" s="111">
        <v>948.0</v>
      </c>
      <c r="J204" s="111" t="s">
        <v>1003</v>
      </c>
      <c r="K204" s="108" t="s">
        <v>1003</v>
      </c>
      <c r="L204" s="112" t="s">
        <v>2443</v>
      </c>
      <c r="M204" s="106">
        <v>21789.0</v>
      </c>
      <c r="N204" s="113">
        <v>0.0</v>
      </c>
      <c r="O204" s="114">
        <v>37320.0</v>
      </c>
      <c r="P204" s="106" t="s">
        <v>46</v>
      </c>
      <c r="Q204" s="45" t="s">
        <v>1006</v>
      </c>
      <c r="R204" s="45">
        <v>90.0</v>
      </c>
      <c r="S204" s="45">
        <v>2018.0</v>
      </c>
      <c r="T204" s="45">
        <v>90.0</v>
      </c>
      <c r="U204" s="45">
        <v>2020.0</v>
      </c>
      <c r="V204" s="45">
        <v>6.82</v>
      </c>
      <c r="W204" s="45">
        <v>63.2</v>
      </c>
      <c r="X204" s="45">
        <v>2025.0</v>
      </c>
      <c r="Y204" s="45">
        <v>0.0</v>
      </c>
      <c r="Z204" s="45">
        <v>0.0</v>
      </c>
      <c r="AA204" s="45" t="s">
        <v>2444</v>
      </c>
      <c r="AB204" s="45" t="s">
        <v>2445</v>
      </c>
      <c r="AC204" s="45">
        <v>6.301218142E9</v>
      </c>
      <c r="AD204" s="45">
        <v>9.6667218E9</v>
      </c>
      <c r="AE204" s="45">
        <v>0.0</v>
      </c>
      <c r="AF204" s="45">
        <v>0.0</v>
      </c>
      <c r="AG204" s="45" t="s">
        <v>2446</v>
      </c>
      <c r="AH204" s="45" t="s">
        <v>2447</v>
      </c>
      <c r="AI204" s="45">
        <v>6.89</v>
      </c>
      <c r="AJ204" s="45">
        <v>6.98</v>
      </c>
      <c r="AK204" s="45">
        <v>0.0</v>
      </c>
      <c r="AL204" s="45">
        <v>0.0</v>
      </c>
      <c r="AM204" s="45">
        <v>6.85</v>
      </c>
      <c r="AN204" s="45">
        <v>6.82</v>
      </c>
      <c r="AO204" s="45" t="s">
        <v>27</v>
      </c>
      <c r="AQ204" s="45" t="s">
        <v>1011</v>
      </c>
      <c r="AT204" s="45" t="s">
        <v>1012</v>
      </c>
    </row>
    <row r="205">
      <c r="A205" s="107"/>
      <c r="B205" s="108" t="s">
        <v>568</v>
      </c>
      <c r="C205" s="109" t="s">
        <v>2448</v>
      </c>
      <c r="D205" s="108" t="s">
        <v>2449</v>
      </c>
      <c r="E205" s="108" t="s">
        <v>569</v>
      </c>
      <c r="F205" s="108">
        <v>0.0</v>
      </c>
      <c r="G205" s="110">
        <v>5.93744E11</v>
      </c>
      <c r="H205" s="111" t="s">
        <v>1003</v>
      </c>
      <c r="I205" s="111" t="s">
        <v>1003</v>
      </c>
      <c r="J205" s="111" t="s">
        <v>1003</v>
      </c>
      <c r="K205" s="108" t="s">
        <v>1003</v>
      </c>
      <c r="L205" s="112" t="s">
        <v>1123</v>
      </c>
      <c r="M205" s="106">
        <v>13008.0</v>
      </c>
      <c r="N205" s="113">
        <v>0.0</v>
      </c>
      <c r="O205" s="114">
        <v>38180.0</v>
      </c>
      <c r="P205" s="106" t="s">
        <v>46</v>
      </c>
      <c r="Q205" s="45" t="s">
        <v>1006</v>
      </c>
      <c r="R205" s="45">
        <v>97.0</v>
      </c>
      <c r="S205" s="45">
        <v>2019.0</v>
      </c>
      <c r="T205" s="45">
        <v>90.2</v>
      </c>
      <c r="U205" s="45">
        <v>2021.0</v>
      </c>
      <c r="V205" s="45">
        <v>7.23</v>
      </c>
      <c r="W205" s="45">
        <v>67.3</v>
      </c>
      <c r="X205" s="45">
        <v>2025.0</v>
      </c>
      <c r="Y205" s="45">
        <v>0.0</v>
      </c>
      <c r="Z205" s="45">
        <v>2.0</v>
      </c>
      <c r="AA205" s="45" t="s">
        <v>2450</v>
      </c>
      <c r="AB205" s="45" t="s">
        <v>2451</v>
      </c>
      <c r="AC205" s="45">
        <v>7.84263729E9</v>
      </c>
      <c r="AD205" s="45">
        <v>9.441169234E9</v>
      </c>
      <c r="AE205" s="45">
        <v>0.0</v>
      </c>
      <c r="AF205" s="45">
        <v>0.0</v>
      </c>
      <c r="AG205" s="45" t="s">
        <v>2452</v>
      </c>
      <c r="AH205" s="45" t="s">
        <v>2453</v>
      </c>
      <c r="AI205" s="45">
        <v>7.32</v>
      </c>
      <c r="AJ205" s="45">
        <v>7.05</v>
      </c>
      <c r="AK205" s="45">
        <v>0.0</v>
      </c>
      <c r="AL205" s="45">
        <v>0.0</v>
      </c>
      <c r="AM205" s="45">
        <v>7.23</v>
      </c>
      <c r="AN205" s="45">
        <v>7.23</v>
      </c>
      <c r="AO205" s="45" t="s">
        <v>27</v>
      </c>
      <c r="AQ205" s="45" t="s">
        <v>1011</v>
      </c>
      <c r="AT205" s="45" t="s">
        <v>1028</v>
      </c>
    </row>
    <row r="206">
      <c r="A206" s="107"/>
      <c r="B206" s="108" t="s">
        <v>570</v>
      </c>
      <c r="C206" s="109" t="s">
        <v>2454</v>
      </c>
      <c r="D206" s="108" t="s">
        <v>2455</v>
      </c>
      <c r="E206" s="108" t="s">
        <v>571</v>
      </c>
      <c r="F206" s="108">
        <v>0.0</v>
      </c>
      <c r="G206" s="110">
        <v>7.36703E11</v>
      </c>
      <c r="H206" s="111" t="s">
        <v>1003</v>
      </c>
      <c r="I206" s="111">
        <v>15911.0</v>
      </c>
      <c r="J206" s="111">
        <v>18661.0</v>
      </c>
      <c r="K206" s="108">
        <v>24766.0</v>
      </c>
      <c r="L206" s="112" t="s">
        <v>2436</v>
      </c>
      <c r="M206" s="106">
        <v>0.0</v>
      </c>
      <c r="N206" s="113">
        <v>0.0</v>
      </c>
      <c r="O206" s="114">
        <v>37998.0</v>
      </c>
      <c r="P206" s="106" t="s">
        <v>60</v>
      </c>
      <c r="Q206" s="45" t="s">
        <v>1006</v>
      </c>
      <c r="R206" s="45">
        <v>100.0</v>
      </c>
      <c r="S206" s="45">
        <v>2019.0</v>
      </c>
      <c r="T206" s="45">
        <v>98.0</v>
      </c>
      <c r="U206" s="45">
        <v>2021.0</v>
      </c>
      <c r="V206" s="45">
        <v>8.94</v>
      </c>
      <c r="W206" s="45">
        <v>84.4</v>
      </c>
      <c r="X206" s="45">
        <v>2025.0</v>
      </c>
      <c r="Y206" s="45">
        <v>0.0</v>
      </c>
      <c r="Z206" s="45">
        <v>0.0</v>
      </c>
      <c r="AA206" s="45" t="s">
        <v>2456</v>
      </c>
      <c r="AB206" s="45" t="s">
        <v>2457</v>
      </c>
      <c r="AC206" s="45">
        <v>8.125970672E9</v>
      </c>
      <c r="AD206" s="45">
        <v>9.95956924E9</v>
      </c>
      <c r="AE206" s="45" t="s">
        <v>572</v>
      </c>
      <c r="AF206" s="45">
        <v>0.0</v>
      </c>
      <c r="AG206" s="45" t="s">
        <v>2458</v>
      </c>
      <c r="AH206" s="45" t="s">
        <v>2459</v>
      </c>
      <c r="AI206" s="45">
        <v>9.35</v>
      </c>
      <c r="AJ206" s="45">
        <v>9.07</v>
      </c>
      <c r="AK206" s="45">
        <v>8.32</v>
      </c>
      <c r="AL206" s="45">
        <v>0.0</v>
      </c>
      <c r="AM206" s="45">
        <v>8.87</v>
      </c>
      <c r="AN206" s="45">
        <v>8.94</v>
      </c>
      <c r="AO206" s="45" t="s">
        <v>27</v>
      </c>
      <c r="AQ206" s="45" t="s">
        <v>1011</v>
      </c>
      <c r="AT206" s="45" t="s">
        <v>1012</v>
      </c>
    </row>
    <row r="207">
      <c r="A207" s="107"/>
      <c r="B207" s="108" t="s">
        <v>573</v>
      </c>
      <c r="C207" s="109" t="s">
        <v>2460</v>
      </c>
      <c r="D207" s="108" t="s">
        <v>2461</v>
      </c>
      <c r="E207" s="108" t="s">
        <v>574</v>
      </c>
      <c r="F207" s="108">
        <v>0.0</v>
      </c>
      <c r="G207" s="110">
        <v>3.84529E11</v>
      </c>
      <c r="H207" s="111" t="s">
        <v>1003</v>
      </c>
      <c r="I207" s="111">
        <v>6834.0</v>
      </c>
      <c r="J207" s="111" t="s">
        <v>1003</v>
      </c>
      <c r="K207" s="108" t="s">
        <v>1003</v>
      </c>
      <c r="L207" s="112" t="s">
        <v>2462</v>
      </c>
      <c r="M207" s="106">
        <v>7937.0</v>
      </c>
      <c r="N207" s="113">
        <v>0.0</v>
      </c>
      <c r="O207" s="114">
        <v>37685.0</v>
      </c>
      <c r="P207" s="106" t="s">
        <v>60</v>
      </c>
      <c r="Q207" s="45" t="s">
        <v>1006</v>
      </c>
      <c r="R207" s="45">
        <v>100.0</v>
      </c>
      <c r="S207" s="45">
        <v>2019.0</v>
      </c>
      <c r="T207" s="45">
        <v>99.0</v>
      </c>
      <c r="U207" s="45">
        <v>2022.0</v>
      </c>
      <c r="V207" s="45">
        <v>9.19</v>
      </c>
      <c r="W207" s="45">
        <v>86.9</v>
      </c>
      <c r="X207" s="45">
        <v>2025.0</v>
      </c>
      <c r="Y207" s="45">
        <v>0.0</v>
      </c>
      <c r="Z207" s="45">
        <v>0.0</v>
      </c>
      <c r="AA207" s="45" t="s">
        <v>2463</v>
      </c>
      <c r="AB207" s="45" t="s">
        <v>2464</v>
      </c>
      <c r="AC207" s="45">
        <v>9.704225065E9</v>
      </c>
      <c r="AD207" s="45">
        <v>9.441762423E9</v>
      </c>
      <c r="AE207" s="45" t="s">
        <v>87</v>
      </c>
      <c r="AF207" s="45">
        <v>0.0</v>
      </c>
      <c r="AG207" s="45" t="s">
        <v>2465</v>
      </c>
      <c r="AH207" s="45" t="s">
        <v>2466</v>
      </c>
      <c r="AI207" s="45">
        <v>9.84</v>
      </c>
      <c r="AJ207" s="45">
        <v>9.32</v>
      </c>
      <c r="AK207" s="45">
        <v>8.64</v>
      </c>
      <c r="AL207" s="45">
        <v>0.0</v>
      </c>
      <c r="AM207" s="45">
        <v>9.21</v>
      </c>
      <c r="AN207" s="45">
        <v>9.19</v>
      </c>
      <c r="AO207" s="45" t="s">
        <v>27</v>
      </c>
      <c r="AQ207" s="45" t="s">
        <v>1011</v>
      </c>
      <c r="AT207" s="45" t="s">
        <v>1012</v>
      </c>
    </row>
    <row r="208">
      <c r="A208" s="107"/>
      <c r="B208" s="108" t="s">
        <v>575</v>
      </c>
      <c r="C208" s="109" t="s">
        <v>2467</v>
      </c>
      <c r="D208" s="108" t="s">
        <v>2468</v>
      </c>
      <c r="E208" s="108" t="s">
        <v>576</v>
      </c>
      <c r="F208" s="108">
        <v>0.0</v>
      </c>
      <c r="G208" s="110">
        <v>8.4078E11</v>
      </c>
      <c r="H208" s="111" t="s">
        <v>1003</v>
      </c>
      <c r="I208" s="111">
        <v>1974.0</v>
      </c>
      <c r="J208" s="111" t="s">
        <v>1003</v>
      </c>
      <c r="K208" s="108" t="s">
        <v>1003</v>
      </c>
      <c r="L208" s="112" t="s">
        <v>2053</v>
      </c>
      <c r="M208" s="106">
        <v>12291.0</v>
      </c>
      <c r="N208" s="113">
        <v>0.0</v>
      </c>
      <c r="O208" s="114">
        <v>38021.0</v>
      </c>
      <c r="P208" s="106" t="s">
        <v>46</v>
      </c>
      <c r="Q208" s="45" t="s">
        <v>1006</v>
      </c>
      <c r="R208" s="45">
        <v>97.0</v>
      </c>
      <c r="S208" s="45">
        <v>2019.0</v>
      </c>
      <c r="T208" s="45">
        <v>82.6</v>
      </c>
      <c r="U208" s="45">
        <v>2021.0</v>
      </c>
      <c r="V208" s="45">
        <v>8.35</v>
      </c>
      <c r="W208" s="45">
        <v>78.5</v>
      </c>
      <c r="X208" s="45">
        <v>2025.0</v>
      </c>
      <c r="Y208" s="45">
        <v>0.0</v>
      </c>
      <c r="Z208" s="45">
        <v>0.0</v>
      </c>
      <c r="AA208" s="45" t="s">
        <v>2469</v>
      </c>
      <c r="AB208" s="45" t="s">
        <v>2470</v>
      </c>
      <c r="AC208" s="45">
        <v>7.799990155E9</v>
      </c>
      <c r="AD208" s="45">
        <v>9.949593777E9</v>
      </c>
      <c r="AE208" s="45" t="s">
        <v>52</v>
      </c>
      <c r="AF208" s="45">
        <v>0.0</v>
      </c>
      <c r="AG208" s="45" t="s">
        <v>2471</v>
      </c>
      <c r="AH208" s="45" t="s">
        <v>2472</v>
      </c>
      <c r="AI208" s="45">
        <v>8.59</v>
      </c>
      <c r="AJ208" s="45">
        <v>8.24</v>
      </c>
      <c r="AK208" s="45">
        <v>7.32</v>
      </c>
      <c r="AL208" s="45">
        <v>0.0</v>
      </c>
      <c r="AM208" s="45">
        <v>8.33</v>
      </c>
      <c r="AN208" s="45">
        <v>8.35</v>
      </c>
      <c r="AO208" s="45" t="s">
        <v>27</v>
      </c>
      <c r="AQ208" s="45" t="s">
        <v>1011</v>
      </c>
      <c r="AT208" s="45" t="s">
        <v>1028</v>
      </c>
    </row>
    <row r="209">
      <c r="A209" s="107"/>
      <c r="B209" s="108" t="s">
        <v>577</v>
      </c>
      <c r="C209" s="109" t="s">
        <v>2473</v>
      </c>
      <c r="D209" s="108" t="s">
        <v>2474</v>
      </c>
      <c r="E209" s="108" t="s">
        <v>578</v>
      </c>
      <c r="F209" s="108">
        <v>0.0</v>
      </c>
      <c r="G209" s="110">
        <v>5.33356E11</v>
      </c>
      <c r="H209" s="111" t="s">
        <v>1003</v>
      </c>
      <c r="I209" s="111">
        <v>6143.0</v>
      </c>
      <c r="J209" s="111">
        <v>8263.0</v>
      </c>
      <c r="K209" s="108" t="s">
        <v>1003</v>
      </c>
      <c r="L209" s="112" t="s">
        <v>2475</v>
      </c>
      <c r="M209" s="106">
        <v>9136.0</v>
      </c>
      <c r="N209" s="113">
        <v>0.0</v>
      </c>
      <c r="O209" s="106" t="s">
        <v>2476</v>
      </c>
      <c r="P209" s="106" t="s">
        <v>46</v>
      </c>
      <c r="Q209" s="45" t="s">
        <v>1006</v>
      </c>
      <c r="R209" s="45">
        <v>93.0</v>
      </c>
      <c r="S209" s="45">
        <v>2019.0</v>
      </c>
      <c r="T209" s="45">
        <v>98.2</v>
      </c>
      <c r="U209" s="45">
        <v>2021.0</v>
      </c>
      <c r="V209" s="45">
        <v>8.11</v>
      </c>
      <c r="W209" s="45">
        <v>76.1</v>
      </c>
      <c r="X209" s="45">
        <v>2025.0</v>
      </c>
      <c r="Y209" s="45">
        <v>0.0</v>
      </c>
      <c r="Z209" s="45">
        <v>0.0</v>
      </c>
      <c r="AA209" s="45" t="s">
        <v>2477</v>
      </c>
      <c r="AB209" s="45" t="s">
        <v>2478</v>
      </c>
      <c r="AC209" s="45">
        <v>9.010236025E9</v>
      </c>
      <c r="AD209" s="45">
        <v>9.440602743E9</v>
      </c>
      <c r="AE209" s="45">
        <v>0.0</v>
      </c>
      <c r="AF209" s="45">
        <v>0.0</v>
      </c>
      <c r="AG209" s="45" t="s">
        <v>2479</v>
      </c>
      <c r="AH209" s="45" t="s">
        <v>2480</v>
      </c>
      <c r="AI209" s="45">
        <v>8.46</v>
      </c>
      <c r="AJ209" s="45">
        <v>8.0</v>
      </c>
      <c r="AK209" s="45">
        <v>7.98</v>
      </c>
      <c r="AL209" s="45">
        <v>0.0</v>
      </c>
      <c r="AM209" s="45">
        <v>8.08</v>
      </c>
      <c r="AN209" s="45">
        <v>8.11</v>
      </c>
      <c r="AO209" s="45" t="s">
        <v>27</v>
      </c>
      <c r="AQ209" s="45" t="s">
        <v>1011</v>
      </c>
      <c r="AT209" s="45" t="s">
        <v>1012</v>
      </c>
    </row>
    <row r="210">
      <c r="A210" s="107"/>
      <c r="B210" s="108" t="s">
        <v>579</v>
      </c>
      <c r="C210" s="109" t="s">
        <v>2481</v>
      </c>
      <c r="D210" s="108" t="s">
        <v>737</v>
      </c>
      <c r="E210" s="108" t="s">
        <v>580</v>
      </c>
      <c r="F210" s="108">
        <v>0.0</v>
      </c>
      <c r="G210" s="110">
        <v>4.07829E11</v>
      </c>
      <c r="H210" s="111" t="s">
        <v>1003</v>
      </c>
      <c r="I210" s="111">
        <v>3062.0</v>
      </c>
      <c r="J210" s="111" t="s">
        <v>1003</v>
      </c>
      <c r="K210" s="108" t="s">
        <v>1003</v>
      </c>
      <c r="L210" s="112" t="s">
        <v>2482</v>
      </c>
      <c r="M210" s="106">
        <v>0.0</v>
      </c>
      <c r="N210" s="113">
        <v>616.0</v>
      </c>
      <c r="O210" s="106" t="s">
        <v>2483</v>
      </c>
      <c r="P210" s="106" t="s">
        <v>60</v>
      </c>
      <c r="Q210" s="45" t="s">
        <v>1006</v>
      </c>
      <c r="R210" s="45">
        <v>97.0</v>
      </c>
      <c r="S210" s="45">
        <v>2019.0</v>
      </c>
      <c r="T210" s="45">
        <v>96.0</v>
      </c>
      <c r="U210" s="45">
        <v>2022.0</v>
      </c>
      <c r="V210" s="45">
        <v>8.12</v>
      </c>
      <c r="W210" s="45">
        <v>76.2</v>
      </c>
      <c r="X210" s="45">
        <v>2025.0</v>
      </c>
      <c r="Y210" s="45">
        <v>0.0</v>
      </c>
      <c r="Z210" s="45">
        <v>0.0</v>
      </c>
      <c r="AA210" s="45" t="s">
        <v>2484</v>
      </c>
      <c r="AB210" s="45" t="s">
        <v>2485</v>
      </c>
      <c r="AC210" s="45">
        <v>9.392541989E9</v>
      </c>
      <c r="AD210" s="45">
        <v>9.49007015E9</v>
      </c>
      <c r="AE210" s="45" t="s">
        <v>440</v>
      </c>
      <c r="AF210" s="45" t="s">
        <v>440</v>
      </c>
      <c r="AG210" s="45" t="s">
        <v>2486</v>
      </c>
      <c r="AH210" s="45" t="s">
        <v>2487</v>
      </c>
      <c r="AI210" s="45">
        <v>0.0</v>
      </c>
      <c r="AJ210" s="45">
        <v>0.0</v>
      </c>
      <c r="AK210" s="45">
        <v>8.18</v>
      </c>
      <c r="AL210" s="45">
        <v>0.0</v>
      </c>
      <c r="AM210" s="45">
        <v>8.11</v>
      </c>
      <c r="AN210" s="45">
        <v>8.12</v>
      </c>
      <c r="AO210" s="45" t="s">
        <v>27</v>
      </c>
      <c r="AQ210" s="45" t="s">
        <v>1011</v>
      </c>
      <c r="AT210" s="45" t="s">
        <v>1012</v>
      </c>
    </row>
    <row r="211">
      <c r="A211" s="107"/>
      <c r="B211" s="108" t="s">
        <v>581</v>
      </c>
      <c r="C211" s="109" t="s">
        <v>2488</v>
      </c>
      <c r="D211" s="108" t="s">
        <v>1812</v>
      </c>
      <c r="E211" s="108" t="s">
        <v>582</v>
      </c>
      <c r="F211" s="108">
        <v>0.0</v>
      </c>
      <c r="G211" s="110">
        <v>4.67393E11</v>
      </c>
      <c r="H211" s="111" t="s">
        <v>1003</v>
      </c>
      <c r="I211" s="111" t="s">
        <v>1003</v>
      </c>
      <c r="J211" s="111" t="s">
        <v>1003</v>
      </c>
      <c r="K211" s="108" t="s">
        <v>1003</v>
      </c>
      <c r="L211" s="112" t="s">
        <v>2489</v>
      </c>
      <c r="M211" s="106">
        <v>0.0</v>
      </c>
      <c r="N211" s="113">
        <v>610.0</v>
      </c>
      <c r="O211" s="106" t="s">
        <v>2490</v>
      </c>
      <c r="P211" s="106" t="s">
        <v>46</v>
      </c>
      <c r="Q211" s="45" t="s">
        <v>1006</v>
      </c>
      <c r="R211" s="45">
        <v>78.0</v>
      </c>
      <c r="S211" s="45">
        <v>2019.0</v>
      </c>
      <c r="T211" s="45">
        <v>84.0</v>
      </c>
      <c r="U211" s="45">
        <v>2022.0</v>
      </c>
      <c r="V211" s="45">
        <v>7.73</v>
      </c>
      <c r="W211" s="45">
        <v>72.3</v>
      </c>
      <c r="X211" s="45">
        <v>2025.0</v>
      </c>
      <c r="Y211" s="45">
        <v>0.0</v>
      </c>
      <c r="Z211" s="45">
        <v>0.0</v>
      </c>
      <c r="AA211" s="45" t="s">
        <v>2491</v>
      </c>
      <c r="AB211" s="45" t="s">
        <v>2492</v>
      </c>
      <c r="AC211" s="45">
        <v>9.177238508E9</v>
      </c>
      <c r="AD211" s="45">
        <v>9.491950555E9</v>
      </c>
      <c r="AE211" s="45" t="s">
        <v>52</v>
      </c>
      <c r="AF211" s="45">
        <v>0.0</v>
      </c>
      <c r="AG211" s="45" t="s">
        <v>2493</v>
      </c>
      <c r="AH211" s="45" t="s">
        <v>2494</v>
      </c>
      <c r="AI211" s="45">
        <v>0.0</v>
      </c>
      <c r="AJ211" s="45">
        <v>0.0</v>
      </c>
      <c r="AK211" s="45">
        <v>7.77</v>
      </c>
      <c r="AL211" s="45">
        <v>0.0</v>
      </c>
      <c r="AM211" s="45">
        <v>7.86</v>
      </c>
      <c r="AN211" s="45">
        <v>7.73</v>
      </c>
      <c r="AO211" s="45" t="s">
        <v>27</v>
      </c>
      <c r="AQ211" s="45" t="s">
        <v>1011</v>
      </c>
      <c r="AT211" s="45" t="s">
        <v>1028</v>
      </c>
    </row>
    <row r="212">
      <c r="A212" s="107"/>
      <c r="B212" s="108" t="s">
        <v>583</v>
      </c>
      <c r="C212" s="109" t="s">
        <v>2495</v>
      </c>
      <c r="D212" s="108" t="s">
        <v>2496</v>
      </c>
      <c r="E212" s="108" t="s">
        <v>584</v>
      </c>
      <c r="F212" s="108">
        <v>0.0</v>
      </c>
      <c r="G212" s="108">
        <v>8.990282291E10</v>
      </c>
      <c r="H212" s="111" t="s">
        <v>1003</v>
      </c>
      <c r="I212" s="111" t="s">
        <v>1003</v>
      </c>
      <c r="J212" s="111" t="s">
        <v>1003</v>
      </c>
      <c r="K212" s="108" t="s">
        <v>1003</v>
      </c>
      <c r="L212" s="112" t="s">
        <v>2497</v>
      </c>
      <c r="M212" s="106">
        <v>11400.0</v>
      </c>
      <c r="N212" s="113">
        <v>1480.0</v>
      </c>
      <c r="O212" s="106" t="s">
        <v>2498</v>
      </c>
      <c r="P212" s="106" t="s">
        <v>46</v>
      </c>
      <c r="Q212" s="45" t="s">
        <v>1006</v>
      </c>
      <c r="R212" s="45">
        <v>90.0</v>
      </c>
      <c r="S212" s="45">
        <v>2019.0</v>
      </c>
      <c r="T212" s="45">
        <v>75.0</v>
      </c>
      <c r="U212" s="45">
        <v>2022.0</v>
      </c>
      <c r="V212" s="45">
        <v>7.5</v>
      </c>
      <c r="W212" s="45">
        <v>70.0</v>
      </c>
      <c r="X212" s="45">
        <v>2025.0</v>
      </c>
      <c r="Y212" s="45">
        <v>0.0</v>
      </c>
      <c r="Z212" s="45">
        <v>0.0</v>
      </c>
      <c r="AA212" s="45" t="s">
        <v>2499</v>
      </c>
      <c r="AB212" s="45" t="s">
        <v>2500</v>
      </c>
      <c r="AC212" s="45">
        <v>6.281370642E9</v>
      </c>
      <c r="AD212" s="45">
        <v>7.981095057E9</v>
      </c>
      <c r="AE212" s="45">
        <v>0.0</v>
      </c>
      <c r="AF212" s="45">
        <v>0.0</v>
      </c>
      <c r="AG212" s="45" t="s">
        <v>2501</v>
      </c>
      <c r="AH212" s="45" t="s">
        <v>2502</v>
      </c>
      <c r="AI212" s="45">
        <v>0.0</v>
      </c>
      <c r="AJ212" s="45">
        <v>0.0</v>
      </c>
      <c r="AK212" s="45">
        <v>0.0</v>
      </c>
      <c r="AL212" s="45">
        <v>0.0</v>
      </c>
      <c r="AM212" s="45">
        <v>7.5</v>
      </c>
      <c r="AN212" s="45">
        <v>7.5</v>
      </c>
      <c r="AO212" s="45" t="s">
        <v>28</v>
      </c>
      <c r="AQ212" s="45" t="s">
        <v>1011</v>
      </c>
      <c r="AT212" s="45" t="s">
        <v>1012</v>
      </c>
    </row>
    <row r="213">
      <c r="A213" s="107"/>
      <c r="B213" s="108" t="s">
        <v>586</v>
      </c>
      <c r="C213" s="109" t="s">
        <v>2503</v>
      </c>
      <c r="D213" s="108" t="s">
        <v>2504</v>
      </c>
      <c r="E213" s="108" t="s">
        <v>587</v>
      </c>
      <c r="F213" s="108">
        <v>0.0</v>
      </c>
      <c r="G213" s="110">
        <v>6.15027E11</v>
      </c>
      <c r="H213" s="111" t="s">
        <v>1003</v>
      </c>
      <c r="I213" s="111" t="s">
        <v>1003</v>
      </c>
      <c r="J213" s="111" t="s">
        <v>1003</v>
      </c>
      <c r="K213" s="108" t="s">
        <v>1003</v>
      </c>
      <c r="L213" s="112" t="s">
        <v>1123</v>
      </c>
      <c r="M213" s="106">
        <v>0.0</v>
      </c>
      <c r="N213" s="113">
        <v>598.0</v>
      </c>
      <c r="O213" s="106" t="s">
        <v>2505</v>
      </c>
      <c r="P213" s="106" t="s">
        <v>46</v>
      </c>
      <c r="Q213" s="45" t="s">
        <v>1006</v>
      </c>
      <c r="R213" s="45">
        <v>95.0</v>
      </c>
      <c r="S213" s="45">
        <v>2019.0</v>
      </c>
      <c r="T213" s="45">
        <v>91.0</v>
      </c>
      <c r="U213" s="45">
        <v>2022.0</v>
      </c>
      <c r="V213" s="45">
        <v>8.17</v>
      </c>
      <c r="W213" s="45">
        <v>76.7</v>
      </c>
      <c r="X213" s="45">
        <v>2025.0</v>
      </c>
      <c r="Y213" s="45">
        <v>0.0</v>
      </c>
      <c r="Z213" s="45">
        <v>0.0</v>
      </c>
      <c r="AA213" s="45" t="s">
        <v>2506</v>
      </c>
      <c r="AB213" s="45" t="s">
        <v>2507</v>
      </c>
      <c r="AC213" s="45">
        <v>7.569746723E9</v>
      </c>
      <c r="AD213" s="45">
        <v>9.440656388E9</v>
      </c>
      <c r="AE213" s="45">
        <v>0.0</v>
      </c>
      <c r="AF213" s="45">
        <v>0.0</v>
      </c>
      <c r="AG213" s="45" t="s">
        <v>2508</v>
      </c>
      <c r="AH213" s="45" t="s">
        <v>2509</v>
      </c>
      <c r="AI213" s="45">
        <v>0.0</v>
      </c>
      <c r="AJ213" s="45">
        <v>0.0</v>
      </c>
      <c r="AK213" s="45">
        <v>8.09</v>
      </c>
      <c r="AL213" s="45">
        <v>0.0</v>
      </c>
      <c r="AM213" s="45">
        <v>8.31</v>
      </c>
      <c r="AN213" s="45">
        <v>8.17</v>
      </c>
      <c r="AO213" s="45" t="s">
        <v>28</v>
      </c>
      <c r="AQ213" s="45" t="s">
        <v>1011</v>
      </c>
      <c r="AT213" s="45" t="s">
        <v>1028</v>
      </c>
    </row>
    <row r="214">
      <c r="A214" s="107"/>
      <c r="B214" s="108" t="s">
        <v>588</v>
      </c>
      <c r="C214" s="109" t="s">
        <v>2510</v>
      </c>
      <c r="D214" s="108" t="s">
        <v>2511</v>
      </c>
      <c r="E214" s="108" t="s">
        <v>589</v>
      </c>
      <c r="F214" s="108">
        <v>0.0</v>
      </c>
      <c r="G214" s="110">
        <v>9.90833E11</v>
      </c>
      <c r="H214" s="111" t="s">
        <v>1003</v>
      </c>
      <c r="I214" s="111">
        <v>4292.0</v>
      </c>
      <c r="J214" s="111">
        <v>5630.0</v>
      </c>
      <c r="K214" s="108">
        <v>7935.0</v>
      </c>
      <c r="L214" s="112" t="s">
        <v>2512</v>
      </c>
      <c r="M214" s="106">
        <v>0.0</v>
      </c>
      <c r="N214" s="113">
        <v>449.0</v>
      </c>
      <c r="O214" s="114">
        <v>38210.0</v>
      </c>
      <c r="P214" s="106" t="s">
        <v>46</v>
      </c>
      <c r="Q214" s="45" t="s">
        <v>1006</v>
      </c>
      <c r="R214" s="45">
        <v>93.0</v>
      </c>
      <c r="S214" s="45">
        <v>2019.0</v>
      </c>
      <c r="T214" s="45">
        <v>88.0</v>
      </c>
      <c r="U214" s="45">
        <v>2022.0</v>
      </c>
      <c r="V214" s="45">
        <v>8.29</v>
      </c>
      <c r="W214" s="45">
        <v>77.9</v>
      </c>
      <c r="X214" s="45">
        <v>2025.0</v>
      </c>
      <c r="Y214" s="45">
        <v>0.0</v>
      </c>
      <c r="Z214" s="45">
        <v>0.0</v>
      </c>
      <c r="AA214" s="45" t="s">
        <v>2513</v>
      </c>
      <c r="AB214" s="45" t="s">
        <v>2514</v>
      </c>
      <c r="AC214" s="45">
        <v>6.309755875E9</v>
      </c>
      <c r="AD214" s="45">
        <v>9.912387069E9</v>
      </c>
      <c r="AE214" s="45" t="s">
        <v>52</v>
      </c>
      <c r="AF214" s="45">
        <v>0.0</v>
      </c>
      <c r="AG214" s="45" t="s">
        <v>2515</v>
      </c>
      <c r="AH214" s="45" t="s">
        <v>2516</v>
      </c>
      <c r="AI214" s="45">
        <v>0.0</v>
      </c>
      <c r="AJ214" s="45">
        <v>0.0</v>
      </c>
      <c r="AK214" s="45">
        <v>7.59</v>
      </c>
      <c r="AL214" s="45">
        <v>0.0</v>
      </c>
      <c r="AM214" s="45">
        <v>8.32</v>
      </c>
      <c r="AN214" s="45">
        <v>8.29</v>
      </c>
      <c r="AO214" s="45" t="s">
        <v>27</v>
      </c>
      <c r="AQ214" s="45" t="s">
        <v>1011</v>
      </c>
      <c r="AT214" s="45" t="s">
        <v>1012</v>
      </c>
    </row>
    <row r="215">
      <c r="A215" s="107"/>
      <c r="B215" s="108" t="s">
        <v>590</v>
      </c>
      <c r="C215" s="109" t="s">
        <v>2517</v>
      </c>
      <c r="D215" s="108" t="s">
        <v>2518</v>
      </c>
      <c r="E215" s="108" t="s">
        <v>591</v>
      </c>
      <c r="F215" s="108">
        <v>0.0</v>
      </c>
      <c r="G215" s="110">
        <v>4.18173E11</v>
      </c>
      <c r="H215" s="111" t="s">
        <v>1003</v>
      </c>
      <c r="I215" s="111">
        <v>3930.0</v>
      </c>
      <c r="J215" s="111" t="s">
        <v>1003</v>
      </c>
      <c r="K215" s="108" t="s">
        <v>1003</v>
      </c>
      <c r="L215" s="112" t="s">
        <v>2519</v>
      </c>
      <c r="M215" s="106">
        <v>0.0</v>
      </c>
      <c r="N215" s="113">
        <v>488.0</v>
      </c>
      <c r="O215" s="106" t="s">
        <v>2520</v>
      </c>
      <c r="P215" s="106" t="s">
        <v>60</v>
      </c>
      <c r="Q215" s="45" t="s">
        <v>1006</v>
      </c>
      <c r="R215" s="45">
        <v>98.0</v>
      </c>
      <c r="S215" s="45">
        <v>2019.0</v>
      </c>
      <c r="T215" s="45">
        <v>93.0</v>
      </c>
      <c r="U215" s="45">
        <v>2022.0</v>
      </c>
      <c r="V215" s="45">
        <v>8.74</v>
      </c>
      <c r="W215" s="45">
        <v>82.4</v>
      </c>
      <c r="X215" s="45">
        <v>2025.0</v>
      </c>
      <c r="Y215" s="45">
        <v>0.0</v>
      </c>
      <c r="Z215" s="45">
        <v>0.0</v>
      </c>
      <c r="AA215" s="45" t="s">
        <v>2521</v>
      </c>
      <c r="AB215" s="45" t="s">
        <v>2522</v>
      </c>
      <c r="AC215" s="45">
        <v>9.121436266E9</v>
      </c>
      <c r="AD215" s="45">
        <v>9.100519331E9</v>
      </c>
      <c r="AE215" s="45" t="s">
        <v>210</v>
      </c>
      <c r="AF215" s="45">
        <v>0.0</v>
      </c>
      <c r="AG215" s="45" t="s">
        <v>2523</v>
      </c>
      <c r="AH215" s="45" t="s">
        <v>2524</v>
      </c>
      <c r="AI215" s="45">
        <v>0.0</v>
      </c>
      <c r="AJ215" s="45">
        <v>0.0</v>
      </c>
      <c r="AK215" s="45">
        <v>8.14</v>
      </c>
      <c r="AL215" s="45">
        <v>0.0</v>
      </c>
      <c r="AM215" s="45">
        <v>8.66</v>
      </c>
      <c r="AN215" s="45">
        <v>8.74</v>
      </c>
      <c r="AO215" s="45" t="s">
        <v>28</v>
      </c>
      <c r="AQ215" s="45" t="s">
        <v>1011</v>
      </c>
      <c r="AT215" s="45" t="s">
        <v>1028</v>
      </c>
    </row>
    <row r="216">
      <c r="A216" s="107"/>
      <c r="B216" s="108" t="s">
        <v>592</v>
      </c>
      <c r="C216" s="109" t="s">
        <v>2525</v>
      </c>
      <c r="D216" s="108" t="s">
        <v>2526</v>
      </c>
      <c r="E216" s="108" t="s">
        <v>593</v>
      </c>
      <c r="F216" s="108">
        <v>0.0</v>
      </c>
      <c r="G216" s="110">
        <v>2.63851E11</v>
      </c>
      <c r="H216" s="111" t="s">
        <v>1003</v>
      </c>
      <c r="I216" s="111" t="s">
        <v>1003</v>
      </c>
      <c r="J216" s="111" t="s">
        <v>1003</v>
      </c>
      <c r="K216" s="108" t="s">
        <v>1003</v>
      </c>
      <c r="L216" s="112" t="s">
        <v>1404</v>
      </c>
      <c r="M216" s="106">
        <v>0.0</v>
      </c>
      <c r="N216" s="113">
        <v>0.0</v>
      </c>
      <c r="O216" s="106" t="s">
        <v>2527</v>
      </c>
      <c r="P216" s="106" t="s">
        <v>46</v>
      </c>
      <c r="Q216" s="45" t="s">
        <v>1006</v>
      </c>
      <c r="R216" s="45">
        <v>83.0</v>
      </c>
      <c r="S216" s="45">
        <v>2019.0</v>
      </c>
      <c r="T216" s="45">
        <v>80.0</v>
      </c>
      <c r="U216" s="45">
        <v>2021.0</v>
      </c>
      <c r="V216" s="45">
        <v>0.0</v>
      </c>
      <c r="W216" s="45">
        <v>-5.0</v>
      </c>
      <c r="X216" s="45">
        <v>2025.0</v>
      </c>
      <c r="Y216" s="45">
        <v>6.0</v>
      </c>
      <c r="Z216" s="45">
        <v>7.0</v>
      </c>
      <c r="AA216" s="45" t="s">
        <v>2528</v>
      </c>
      <c r="AB216" s="45" t="s">
        <v>2529</v>
      </c>
      <c r="AC216" s="45">
        <v>8.019971972E9</v>
      </c>
      <c r="AD216" s="45">
        <v>9.989662216E9</v>
      </c>
      <c r="AE216" s="45">
        <v>0.0</v>
      </c>
      <c r="AF216" s="45">
        <v>0.0</v>
      </c>
      <c r="AG216" s="45" t="s">
        <v>2530</v>
      </c>
      <c r="AH216" s="45" t="s">
        <v>2531</v>
      </c>
      <c r="AI216" s="45">
        <v>0.0</v>
      </c>
      <c r="AJ216" s="45">
        <v>0.0</v>
      </c>
      <c r="AK216" s="45">
        <v>0.0</v>
      </c>
      <c r="AL216" s="45">
        <v>0.0</v>
      </c>
      <c r="AM216" s="45">
        <v>4.31</v>
      </c>
      <c r="AN216" s="45">
        <v>0.0</v>
      </c>
      <c r="AO216" s="45" t="s">
        <v>27</v>
      </c>
      <c r="AQ216" s="45" t="s">
        <v>1011</v>
      </c>
      <c r="AT216" s="45" t="s">
        <v>1012</v>
      </c>
    </row>
    <row r="217">
      <c r="A217" s="107"/>
      <c r="B217" s="108" t="s">
        <v>594</v>
      </c>
      <c r="C217" s="109" t="s">
        <v>2532</v>
      </c>
      <c r="D217" s="108" t="s">
        <v>2533</v>
      </c>
      <c r="E217" s="108" t="s">
        <v>595</v>
      </c>
      <c r="F217" s="108">
        <v>0.0</v>
      </c>
      <c r="G217" s="110">
        <v>3.0289E11</v>
      </c>
      <c r="H217" s="111" t="s">
        <v>1003</v>
      </c>
      <c r="I217" s="111" t="s">
        <v>1003</v>
      </c>
      <c r="J217" s="111" t="s">
        <v>1003</v>
      </c>
      <c r="K217" s="108" t="s">
        <v>1003</v>
      </c>
      <c r="L217" s="112" t="s">
        <v>2534</v>
      </c>
      <c r="M217" s="106">
        <v>17851.0</v>
      </c>
      <c r="N217" s="113">
        <v>0.0</v>
      </c>
      <c r="O217" s="106" t="s">
        <v>2535</v>
      </c>
      <c r="P217" s="106" t="s">
        <v>46</v>
      </c>
      <c r="Q217" s="45" t="s">
        <v>1006</v>
      </c>
      <c r="R217" s="45">
        <v>88.0</v>
      </c>
      <c r="S217" s="45">
        <v>2019.0</v>
      </c>
      <c r="T217" s="45">
        <v>88.0</v>
      </c>
      <c r="U217" s="45">
        <v>2022.0</v>
      </c>
      <c r="V217" s="45">
        <v>7.67</v>
      </c>
      <c r="W217" s="45">
        <v>71.7</v>
      </c>
      <c r="X217" s="45">
        <v>2025.0</v>
      </c>
      <c r="Y217" s="45">
        <v>0.0</v>
      </c>
      <c r="Z217" s="45">
        <v>0.0</v>
      </c>
      <c r="AA217" s="45" t="s">
        <v>2536</v>
      </c>
      <c r="AB217" s="45" t="s">
        <v>2537</v>
      </c>
      <c r="AC217" s="45">
        <v>9.347326244E9</v>
      </c>
      <c r="AD217" s="45">
        <v>9.88598811E9</v>
      </c>
      <c r="AE217" s="45" t="s">
        <v>2538</v>
      </c>
      <c r="AF217" s="45">
        <v>0.0</v>
      </c>
      <c r="AG217" s="45" t="s">
        <v>2539</v>
      </c>
      <c r="AH217" s="45" t="s">
        <v>2540</v>
      </c>
      <c r="AI217" s="45">
        <v>8.05</v>
      </c>
      <c r="AJ217" s="45">
        <v>7.63</v>
      </c>
      <c r="AK217" s="45">
        <v>7.25</v>
      </c>
      <c r="AL217" s="45">
        <v>0.0</v>
      </c>
      <c r="AM217" s="45">
        <v>7.62</v>
      </c>
      <c r="AN217" s="45">
        <v>7.67</v>
      </c>
      <c r="AO217" s="45" t="s">
        <v>28</v>
      </c>
      <c r="AQ217" s="45" t="s">
        <v>1011</v>
      </c>
      <c r="AT217" s="45" t="s">
        <v>1012</v>
      </c>
    </row>
    <row r="218">
      <c r="A218" s="107"/>
      <c r="B218" s="108" t="s">
        <v>597</v>
      </c>
      <c r="C218" s="109" t="s">
        <v>2541</v>
      </c>
      <c r="D218" s="108" t="s">
        <v>2542</v>
      </c>
      <c r="E218" s="108" t="s">
        <v>598</v>
      </c>
      <c r="F218" s="108">
        <v>0.0</v>
      </c>
      <c r="G218" s="110">
        <v>7.90668E11</v>
      </c>
      <c r="H218" s="111" t="s">
        <v>1003</v>
      </c>
      <c r="I218" s="111" t="s">
        <v>1003</v>
      </c>
      <c r="J218" s="111" t="s">
        <v>1003</v>
      </c>
      <c r="K218" s="108" t="s">
        <v>1003</v>
      </c>
      <c r="L218" s="112" t="s">
        <v>2543</v>
      </c>
      <c r="M218" s="106">
        <v>0.0</v>
      </c>
      <c r="N218" s="113">
        <v>0.0</v>
      </c>
      <c r="O218" s="106" t="s">
        <v>1397</v>
      </c>
      <c r="P218" s="106" t="s">
        <v>60</v>
      </c>
      <c r="Q218" s="45" t="s">
        <v>1006</v>
      </c>
      <c r="R218" s="45">
        <v>76.0</v>
      </c>
      <c r="S218" s="45">
        <v>2019.0</v>
      </c>
      <c r="T218" s="45">
        <v>80.0</v>
      </c>
      <c r="U218" s="45">
        <v>2021.0</v>
      </c>
      <c r="V218" s="45">
        <v>7.19</v>
      </c>
      <c r="W218" s="45">
        <v>66.9</v>
      </c>
      <c r="X218" s="45">
        <v>2025.0</v>
      </c>
      <c r="Y218" s="45">
        <v>0.0</v>
      </c>
      <c r="Z218" s="45">
        <v>0.0</v>
      </c>
      <c r="AA218" s="45" t="s">
        <v>2544</v>
      </c>
      <c r="AB218" s="45" t="s">
        <v>2545</v>
      </c>
      <c r="AC218" s="45">
        <v>9.704599977E9</v>
      </c>
      <c r="AD218" s="45">
        <v>9.618238669E9</v>
      </c>
      <c r="AE218" s="45" t="s">
        <v>52</v>
      </c>
      <c r="AF218" s="45">
        <v>0.0</v>
      </c>
      <c r="AG218" s="45" t="s">
        <v>2546</v>
      </c>
      <c r="AH218" s="45" t="s">
        <v>2547</v>
      </c>
      <c r="AI218" s="45">
        <v>7.0</v>
      </c>
      <c r="AJ218" s="45">
        <v>6.73</v>
      </c>
      <c r="AK218" s="45">
        <v>6.95</v>
      </c>
      <c r="AL218" s="45">
        <v>0.0</v>
      </c>
      <c r="AM218" s="45">
        <v>7.04</v>
      </c>
      <c r="AN218" s="45">
        <v>7.19</v>
      </c>
      <c r="AO218" s="45" t="s">
        <v>28</v>
      </c>
      <c r="AQ218" s="45" t="s">
        <v>1011</v>
      </c>
      <c r="AT218" s="45" t="s">
        <v>1012</v>
      </c>
    </row>
    <row r="219">
      <c r="A219" s="107"/>
      <c r="B219" s="108" t="s">
        <v>599</v>
      </c>
      <c r="C219" s="109" t="s">
        <v>2548</v>
      </c>
      <c r="D219" s="108" t="s">
        <v>2549</v>
      </c>
      <c r="E219" s="108" t="s">
        <v>600</v>
      </c>
      <c r="F219" s="108">
        <v>0.0</v>
      </c>
      <c r="G219" s="110">
        <v>6.04499E11</v>
      </c>
      <c r="H219" s="111" t="s">
        <v>1003</v>
      </c>
      <c r="I219" s="111" t="s">
        <v>1003</v>
      </c>
      <c r="J219" s="111" t="s">
        <v>1003</v>
      </c>
      <c r="K219" s="108" t="s">
        <v>1003</v>
      </c>
      <c r="L219" s="112" t="s">
        <v>2550</v>
      </c>
      <c r="M219" s="106">
        <v>7170.0</v>
      </c>
      <c r="N219" s="113">
        <v>0.0</v>
      </c>
      <c r="O219" s="114">
        <v>38053.0</v>
      </c>
      <c r="P219" s="106" t="s">
        <v>46</v>
      </c>
      <c r="Q219" s="45" t="s">
        <v>1006</v>
      </c>
      <c r="R219" s="45">
        <v>80.0</v>
      </c>
      <c r="S219" s="45">
        <v>2019.0</v>
      </c>
      <c r="T219" s="45">
        <v>68.8</v>
      </c>
      <c r="U219" s="45">
        <v>2021.0</v>
      </c>
      <c r="V219" s="45">
        <v>8.2</v>
      </c>
      <c r="W219" s="45">
        <v>77.0</v>
      </c>
      <c r="X219" s="45">
        <v>2025.0</v>
      </c>
      <c r="Y219" s="45">
        <v>0.0</v>
      </c>
      <c r="Z219" s="45">
        <v>0.0</v>
      </c>
      <c r="AA219" s="45" t="s">
        <v>2551</v>
      </c>
      <c r="AB219" s="45" t="s">
        <v>2552</v>
      </c>
      <c r="AC219" s="45">
        <v>7.075487791E9</v>
      </c>
      <c r="AD219" s="45">
        <v>9.440048323E9</v>
      </c>
      <c r="AE219" s="45" t="s">
        <v>271</v>
      </c>
      <c r="AF219" s="45">
        <v>0.0</v>
      </c>
      <c r="AG219" s="45" t="s">
        <v>2553</v>
      </c>
      <c r="AH219" s="45" t="s">
        <v>2554</v>
      </c>
      <c r="AI219" s="45">
        <v>8.43</v>
      </c>
      <c r="AJ219" s="45">
        <v>7.56</v>
      </c>
      <c r="AK219" s="45">
        <v>7.64</v>
      </c>
      <c r="AL219" s="45">
        <v>0.0</v>
      </c>
      <c r="AM219" s="45">
        <v>8.03</v>
      </c>
      <c r="AN219" s="45">
        <v>8.2</v>
      </c>
      <c r="AO219" s="45" t="s">
        <v>28</v>
      </c>
      <c r="AQ219" s="45" t="s">
        <v>1011</v>
      </c>
      <c r="AT219" s="45" t="s">
        <v>1012</v>
      </c>
    </row>
    <row r="220">
      <c r="A220" s="107"/>
      <c r="B220" s="108" t="s">
        <v>602</v>
      </c>
      <c r="C220" s="109" t="s">
        <v>2555</v>
      </c>
      <c r="D220" s="108" t="s">
        <v>2556</v>
      </c>
      <c r="E220" s="108" t="s">
        <v>603</v>
      </c>
      <c r="F220" s="108">
        <v>0.0</v>
      </c>
      <c r="G220" s="110">
        <v>5.36073E11</v>
      </c>
      <c r="H220" s="111" t="s">
        <v>1003</v>
      </c>
      <c r="I220" s="111" t="s">
        <v>1003</v>
      </c>
      <c r="J220" s="111" t="s">
        <v>1003</v>
      </c>
      <c r="K220" s="108" t="s">
        <v>1003</v>
      </c>
      <c r="L220" s="112" t="s">
        <v>1123</v>
      </c>
      <c r="M220" s="106">
        <v>0.0</v>
      </c>
      <c r="N220" s="113">
        <v>0.0</v>
      </c>
      <c r="O220" s="106" t="s">
        <v>2557</v>
      </c>
      <c r="P220" s="106" t="s">
        <v>46</v>
      </c>
      <c r="Q220" s="45" t="s">
        <v>1006</v>
      </c>
      <c r="R220" s="45">
        <v>66.0</v>
      </c>
      <c r="S220" s="45">
        <v>2019.0</v>
      </c>
      <c r="T220" s="45">
        <v>66.0</v>
      </c>
      <c r="U220" s="45">
        <v>2021.0</v>
      </c>
      <c r="V220" s="45">
        <v>7.59</v>
      </c>
      <c r="W220" s="45">
        <v>70.9</v>
      </c>
      <c r="X220" s="45">
        <v>2025.0</v>
      </c>
      <c r="Y220" s="45">
        <v>0.0</v>
      </c>
      <c r="Z220" s="45">
        <v>0.0</v>
      </c>
      <c r="AA220" s="45" t="s">
        <v>2558</v>
      </c>
      <c r="AB220" s="45" t="s">
        <v>2559</v>
      </c>
      <c r="AC220" s="45">
        <v>9.640073704E9</v>
      </c>
      <c r="AD220" s="45">
        <v>9.866139666E9</v>
      </c>
      <c r="AE220" s="45">
        <v>0.0</v>
      </c>
      <c r="AF220" s="45">
        <v>0.0</v>
      </c>
      <c r="AG220" s="45" t="s">
        <v>2560</v>
      </c>
      <c r="AH220" s="45" t="s">
        <v>2561</v>
      </c>
      <c r="AI220" s="45">
        <v>7.35</v>
      </c>
      <c r="AJ220" s="45">
        <v>6.95</v>
      </c>
      <c r="AK220" s="45">
        <v>7.14</v>
      </c>
      <c r="AL220" s="45">
        <v>0.0</v>
      </c>
      <c r="AM220" s="45">
        <v>7.54</v>
      </c>
      <c r="AN220" s="45">
        <v>7.59</v>
      </c>
      <c r="AO220" s="45" t="s">
        <v>28</v>
      </c>
      <c r="AQ220" s="45" t="s">
        <v>1011</v>
      </c>
      <c r="AT220" s="45" t="s">
        <v>1012</v>
      </c>
    </row>
    <row r="221">
      <c r="A221" s="107"/>
      <c r="B221" s="108" t="s">
        <v>605</v>
      </c>
      <c r="C221" s="109" t="s">
        <v>2562</v>
      </c>
      <c r="D221" s="108" t="s">
        <v>2563</v>
      </c>
      <c r="E221" s="108" t="s">
        <v>606</v>
      </c>
      <c r="F221" s="108">
        <v>0.0</v>
      </c>
      <c r="G221" s="110">
        <v>4.72943E11</v>
      </c>
      <c r="H221" s="111" t="s">
        <v>1003</v>
      </c>
      <c r="I221" s="111" t="s">
        <v>1003</v>
      </c>
      <c r="J221" s="111" t="s">
        <v>1003</v>
      </c>
      <c r="K221" s="108" t="s">
        <v>1003</v>
      </c>
      <c r="L221" s="112" t="s">
        <v>1123</v>
      </c>
      <c r="M221" s="106">
        <v>69197.0</v>
      </c>
      <c r="N221" s="113">
        <v>0.0</v>
      </c>
      <c r="O221" s="106" t="s">
        <v>2564</v>
      </c>
      <c r="P221" s="106" t="s">
        <v>46</v>
      </c>
      <c r="Q221" s="45" t="s">
        <v>1006</v>
      </c>
      <c r="R221" s="45">
        <v>95.0</v>
      </c>
      <c r="S221" s="45">
        <v>2019.0</v>
      </c>
      <c r="T221" s="45">
        <v>95.0</v>
      </c>
      <c r="U221" s="45">
        <v>2021.0</v>
      </c>
      <c r="V221" s="45">
        <v>7.4</v>
      </c>
      <c r="W221" s="45">
        <v>69.0</v>
      </c>
      <c r="X221" s="45">
        <v>2025.0</v>
      </c>
      <c r="Y221" s="45">
        <v>0.0</v>
      </c>
      <c r="Z221" s="45">
        <v>0.0</v>
      </c>
      <c r="AA221" s="45" t="s">
        <v>2565</v>
      </c>
      <c r="AB221" s="45" t="s">
        <v>2566</v>
      </c>
      <c r="AC221" s="45">
        <v>9.059210547E9</v>
      </c>
      <c r="AD221" s="45">
        <v>9.95148024E9</v>
      </c>
      <c r="AE221" s="45">
        <v>0.0</v>
      </c>
      <c r="AF221" s="45">
        <v>0.0</v>
      </c>
      <c r="AG221" s="45" t="s">
        <v>2567</v>
      </c>
      <c r="AH221" s="45" t="s">
        <v>2568</v>
      </c>
      <c r="AI221" s="45">
        <v>7.92</v>
      </c>
      <c r="AJ221" s="45">
        <v>7.05</v>
      </c>
      <c r="AK221" s="45">
        <v>6.98</v>
      </c>
      <c r="AL221" s="45">
        <v>0.0</v>
      </c>
      <c r="AM221" s="45">
        <v>7.4</v>
      </c>
      <c r="AN221" s="45">
        <v>7.4</v>
      </c>
      <c r="AO221" s="45" t="s">
        <v>27</v>
      </c>
      <c r="AQ221" s="45" t="s">
        <v>1011</v>
      </c>
      <c r="AT221" s="45" t="s">
        <v>1012</v>
      </c>
    </row>
    <row r="222">
      <c r="A222" s="107"/>
      <c r="B222" s="108" t="s">
        <v>607</v>
      </c>
      <c r="C222" s="109" t="s">
        <v>2569</v>
      </c>
      <c r="D222" s="108" t="s">
        <v>2570</v>
      </c>
      <c r="E222" s="108" t="s">
        <v>608</v>
      </c>
      <c r="F222" s="108">
        <v>0.0</v>
      </c>
      <c r="G222" s="110">
        <v>6.74346E11</v>
      </c>
      <c r="H222" s="111" t="s">
        <v>1003</v>
      </c>
      <c r="I222" s="111" t="s">
        <v>1003</v>
      </c>
      <c r="J222" s="111" t="s">
        <v>1003</v>
      </c>
      <c r="K222" s="108" t="s">
        <v>1003</v>
      </c>
      <c r="L222" s="112" t="s">
        <v>1084</v>
      </c>
      <c r="M222" s="106">
        <v>7354.0</v>
      </c>
      <c r="N222" s="113">
        <v>0.0</v>
      </c>
      <c r="O222" s="106" t="s">
        <v>2571</v>
      </c>
      <c r="P222" s="106" t="s">
        <v>60</v>
      </c>
      <c r="Q222" s="45" t="s">
        <v>1006</v>
      </c>
      <c r="R222" s="45">
        <v>78.33</v>
      </c>
      <c r="S222" s="45">
        <v>2018.0</v>
      </c>
      <c r="T222" s="45">
        <v>95.7</v>
      </c>
      <c r="U222" s="45">
        <v>2020.0</v>
      </c>
      <c r="V222" s="45">
        <v>8.1</v>
      </c>
      <c r="W222" s="45">
        <v>76.0</v>
      </c>
      <c r="X222" s="45">
        <v>2025.0</v>
      </c>
      <c r="Y222" s="45">
        <v>0.0</v>
      </c>
      <c r="Z222" s="45">
        <v>0.0</v>
      </c>
      <c r="AA222" s="45" t="s">
        <v>2572</v>
      </c>
      <c r="AB222" s="45" t="s">
        <v>2573</v>
      </c>
      <c r="AC222" s="45">
        <v>8.125878108E9</v>
      </c>
      <c r="AD222" s="45">
        <v>8.106837904E9</v>
      </c>
      <c r="AE222" s="45">
        <v>0.0</v>
      </c>
      <c r="AF222" s="45">
        <v>0.0</v>
      </c>
      <c r="AG222" s="45" t="s">
        <v>2574</v>
      </c>
      <c r="AH222" s="45" t="s">
        <v>2575</v>
      </c>
      <c r="AI222" s="45">
        <v>9.11</v>
      </c>
      <c r="AJ222" s="45">
        <v>7.49</v>
      </c>
      <c r="AK222" s="45">
        <v>7.86</v>
      </c>
      <c r="AL222" s="45">
        <v>0.0</v>
      </c>
      <c r="AM222" s="45">
        <v>8.11</v>
      </c>
      <c r="AN222" s="45">
        <v>8.1</v>
      </c>
      <c r="AO222" s="45" t="s">
        <v>28</v>
      </c>
      <c r="AQ222" s="45" t="s">
        <v>1011</v>
      </c>
      <c r="AT222" s="45" t="s">
        <v>1012</v>
      </c>
    </row>
    <row r="223">
      <c r="A223" s="107"/>
      <c r="B223" s="108" t="s">
        <v>610</v>
      </c>
      <c r="C223" s="109" t="s">
        <v>2576</v>
      </c>
      <c r="D223" s="108" t="s">
        <v>2577</v>
      </c>
      <c r="E223" s="108" t="s">
        <v>611</v>
      </c>
      <c r="F223" s="108">
        <v>0.0</v>
      </c>
      <c r="G223" s="110">
        <v>2.52115E11</v>
      </c>
      <c r="H223" s="111" t="s">
        <v>1003</v>
      </c>
      <c r="I223" s="111" t="s">
        <v>1003</v>
      </c>
      <c r="J223" s="111" t="s">
        <v>1003</v>
      </c>
      <c r="K223" s="108" t="s">
        <v>1003</v>
      </c>
      <c r="L223" s="112" t="s">
        <v>2578</v>
      </c>
      <c r="M223" s="106">
        <v>0.0</v>
      </c>
      <c r="N223" s="113">
        <v>0.0</v>
      </c>
      <c r="O223" s="114">
        <v>37842.0</v>
      </c>
      <c r="P223" s="106" t="s">
        <v>46</v>
      </c>
      <c r="Q223" s="45" t="s">
        <v>1006</v>
      </c>
      <c r="R223" s="45">
        <v>84.0</v>
      </c>
      <c r="S223" s="45">
        <v>2019.0</v>
      </c>
      <c r="T223" s="45">
        <v>80.0</v>
      </c>
      <c r="U223" s="45">
        <v>2021.0</v>
      </c>
      <c r="V223" s="45">
        <v>0.0</v>
      </c>
      <c r="W223" s="45">
        <v>-5.0</v>
      </c>
      <c r="X223" s="45">
        <v>2025.0</v>
      </c>
      <c r="Y223" s="45">
        <v>17.0</v>
      </c>
      <c r="Z223" s="45">
        <v>16.0</v>
      </c>
      <c r="AA223" s="45" t="s">
        <v>2579</v>
      </c>
      <c r="AB223" s="45" t="s">
        <v>2580</v>
      </c>
      <c r="AC223" s="45">
        <v>9.440823637E9</v>
      </c>
      <c r="AD223" s="45">
        <v>9.440491282E9</v>
      </c>
      <c r="AE223" s="45">
        <v>0.0</v>
      </c>
      <c r="AF223" s="45">
        <v>0.0</v>
      </c>
      <c r="AG223" s="45" t="s">
        <v>2581</v>
      </c>
      <c r="AH223" s="45" t="s">
        <v>2582</v>
      </c>
      <c r="AI223" s="45">
        <v>0.0</v>
      </c>
      <c r="AJ223" s="45">
        <v>0.0</v>
      </c>
      <c r="AK223" s="45">
        <v>0.0</v>
      </c>
      <c r="AL223" s="45">
        <v>0.0</v>
      </c>
      <c r="AM223" s="45">
        <v>4.21</v>
      </c>
      <c r="AN223" s="45">
        <v>0.0</v>
      </c>
      <c r="AO223" s="45" t="s">
        <v>27</v>
      </c>
      <c r="AQ223" s="45" t="s">
        <v>1011</v>
      </c>
      <c r="AT223" s="45" t="s">
        <v>1028</v>
      </c>
    </row>
    <row r="224">
      <c r="A224" s="107"/>
      <c r="B224" s="108" t="s">
        <v>612</v>
      </c>
      <c r="C224" s="109" t="s">
        <v>2583</v>
      </c>
      <c r="D224" s="108" t="s">
        <v>2584</v>
      </c>
      <c r="E224" s="108" t="s">
        <v>613</v>
      </c>
      <c r="F224" s="108">
        <v>0.0</v>
      </c>
      <c r="G224" s="110">
        <v>6.13954E11</v>
      </c>
      <c r="H224" s="111" t="s">
        <v>1003</v>
      </c>
      <c r="I224" s="111">
        <v>1850.0</v>
      </c>
      <c r="J224" s="111" t="s">
        <v>1003</v>
      </c>
      <c r="K224" s="108" t="s">
        <v>1003</v>
      </c>
      <c r="L224" s="112" t="s">
        <v>1620</v>
      </c>
      <c r="M224" s="106">
        <v>22449.0</v>
      </c>
      <c r="N224" s="113">
        <v>0.0</v>
      </c>
      <c r="O224" s="114">
        <v>37930.0</v>
      </c>
      <c r="P224" s="106" t="s">
        <v>60</v>
      </c>
      <c r="Q224" s="45" t="s">
        <v>1006</v>
      </c>
      <c r="R224" s="45">
        <v>95.0</v>
      </c>
      <c r="S224" s="45">
        <v>2019.0</v>
      </c>
      <c r="T224" s="45">
        <v>89.0</v>
      </c>
      <c r="U224" s="45">
        <v>2021.0</v>
      </c>
      <c r="V224" s="45">
        <v>8.71</v>
      </c>
      <c r="W224" s="45">
        <v>82.1</v>
      </c>
      <c r="X224" s="45">
        <v>2025.0</v>
      </c>
      <c r="Y224" s="45">
        <v>0.0</v>
      </c>
      <c r="Z224" s="45">
        <v>0.0</v>
      </c>
      <c r="AA224" s="45" t="s">
        <v>2585</v>
      </c>
      <c r="AB224" s="45" t="s">
        <v>2586</v>
      </c>
      <c r="AC224" s="45">
        <v>6.301871816E9</v>
      </c>
      <c r="AD224" s="45">
        <v>9.502560693E9</v>
      </c>
      <c r="AE224" s="45" t="s">
        <v>52</v>
      </c>
      <c r="AF224" s="45">
        <v>0.0</v>
      </c>
      <c r="AG224" s="45" t="s">
        <v>2587</v>
      </c>
      <c r="AH224" s="45" t="s">
        <v>2588</v>
      </c>
      <c r="AI224" s="45">
        <v>8.43</v>
      </c>
      <c r="AJ224" s="45">
        <v>8.59</v>
      </c>
      <c r="AK224" s="45">
        <v>8.07</v>
      </c>
      <c r="AL224" s="45">
        <v>0.0</v>
      </c>
      <c r="AM224" s="45">
        <v>8.62</v>
      </c>
      <c r="AN224" s="45">
        <v>8.71</v>
      </c>
      <c r="AO224" s="45" t="s">
        <v>27</v>
      </c>
      <c r="AQ224" s="45" t="s">
        <v>1011</v>
      </c>
      <c r="AT224" s="45" t="s">
        <v>1012</v>
      </c>
    </row>
    <row r="225">
      <c r="A225" s="107"/>
      <c r="B225" s="108" t="s">
        <v>614</v>
      </c>
      <c r="C225" s="109" t="s">
        <v>2589</v>
      </c>
      <c r="D225" s="108" t="s">
        <v>2590</v>
      </c>
      <c r="E225" s="108" t="s">
        <v>615</v>
      </c>
      <c r="F225" s="108">
        <v>0.0</v>
      </c>
      <c r="G225" s="110">
        <v>3.59669E11</v>
      </c>
      <c r="H225" s="111" t="s">
        <v>1003</v>
      </c>
      <c r="I225" s="111" t="s">
        <v>1003</v>
      </c>
      <c r="J225" s="111" t="s">
        <v>1003</v>
      </c>
      <c r="K225" s="108" t="s">
        <v>1003</v>
      </c>
      <c r="L225" s="112" t="s">
        <v>2591</v>
      </c>
      <c r="M225" s="106">
        <v>9048.0</v>
      </c>
      <c r="N225" s="113">
        <v>0.0</v>
      </c>
      <c r="O225" s="106" t="s">
        <v>1124</v>
      </c>
      <c r="P225" s="106" t="s">
        <v>46</v>
      </c>
      <c r="Q225" s="45" t="s">
        <v>1006</v>
      </c>
      <c r="R225" s="45">
        <v>98.0</v>
      </c>
      <c r="S225" s="45">
        <v>2019.0</v>
      </c>
      <c r="T225" s="45">
        <v>94.2</v>
      </c>
      <c r="U225" s="45">
        <v>2021.0</v>
      </c>
      <c r="V225" s="45">
        <v>8.45</v>
      </c>
      <c r="W225" s="45">
        <v>79.5</v>
      </c>
      <c r="X225" s="45">
        <v>2025.0</v>
      </c>
      <c r="Y225" s="45">
        <v>0.0</v>
      </c>
      <c r="Z225" s="45">
        <v>0.0</v>
      </c>
      <c r="AA225" s="45" t="s">
        <v>2592</v>
      </c>
      <c r="AB225" s="45" t="s">
        <v>2593</v>
      </c>
      <c r="AC225" s="45">
        <v>9.6528486E9</v>
      </c>
      <c r="AD225" s="45">
        <v>9.440863051E9</v>
      </c>
      <c r="AE225" s="45">
        <v>0.0</v>
      </c>
      <c r="AF225" s="45">
        <v>0.0</v>
      </c>
      <c r="AG225" s="45" t="s">
        <v>2594</v>
      </c>
      <c r="AH225" s="45" t="s">
        <v>2595</v>
      </c>
      <c r="AI225" s="45">
        <v>8.27</v>
      </c>
      <c r="AJ225" s="45">
        <v>8.39</v>
      </c>
      <c r="AK225" s="45">
        <v>7.93</v>
      </c>
      <c r="AL225" s="45">
        <v>0.0</v>
      </c>
      <c r="AM225" s="45">
        <v>8.4</v>
      </c>
      <c r="AN225" s="45">
        <v>8.45</v>
      </c>
      <c r="AO225" s="45" t="s">
        <v>27</v>
      </c>
      <c r="AQ225" s="45" t="s">
        <v>1011</v>
      </c>
      <c r="AT225" s="45" t="s">
        <v>1012</v>
      </c>
    </row>
    <row r="226">
      <c r="A226" s="107"/>
      <c r="B226" s="108" t="s">
        <v>617</v>
      </c>
      <c r="C226" s="109" t="s">
        <v>2596</v>
      </c>
      <c r="D226" s="108" t="s">
        <v>2597</v>
      </c>
      <c r="E226" s="108" t="s">
        <v>618</v>
      </c>
      <c r="F226" s="108">
        <v>0.0</v>
      </c>
      <c r="G226" s="110">
        <v>9.76777E11</v>
      </c>
      <c r="H226" s="111" t="s">
        <v>1003</v>
      </c>
      <c r="I226" s="111">
        <v>1098.0</v>
      </c>
      <c r="J226" s="111" t="s">
        <v>1003</v>
      </c>
      <c r="K226" s="108" t="s">
        <v>1003</v>
      </c>
      <c r="L226" s="112" t="s">
        <v>1031</v>
      </c>
      <c r="M226" s="106">
        <v>10844.0</v>
      </c>
      <c r="N226" s="113">
        <v>0.0</v>
      </c>
      <c r="O226" s="114">
        <v>37599.0</v>
      </c>
      <c r="P226" s="106" t="s">
        <v>60</v>
      </c>
      <c r="Q226" s="45" t="s">
        <v>1006</v>
      </c>
      <c r="R226" s="45">
        <v>98.0</v>
      </c>
      <c r="S226" s="45">
        <v>2018.0</v>
      </c>
      <c r="T226" s="45">
        <v>95.2</v>
      </c>
      <c r="U226" s="45">
        <v>2020.0</v>
      </c>
      <c r="V226" s="45">
        <v>9.08</v>
      </c>
      <c r="W226" s="45">
        <v>85.8</v>
      </c>
      <c r="X226" s="45">
        <v>2025.0</v>
      </c>
      <c r="Y226" s="45">
        <v>0.0</v>
      </c>
      <c r="Z226" s="45">
        <v>0.0</v>
      </c>
      <c r="AA226" s="45" t="s">
        <v>2598</v>
      </c>
      <c r="AB226" s="45" t="s">
        <v>2599</v>
      </c>
      <c r="AC226" s="45">
        <v>7.396053313E9</v>
      </c>
      <c r="AD226" s="45">
        <v>9.948266225E9</v>
      </c>
      <c r="AE226" s="45" t="s">
        <v>52</v>
      </c>
      <c r="AF226" s="45">
        <v>0.0</v>
      </c>
      <c r="AG226" s="45" t="s">
        <v>2600</v>
      </c>
      <c r="AH226" s="45" t="s">
        <v>2601</v>
      </c>
      <c r="AI226" s="45">
        <v>9.35</v>
      </c>
      <c r="AJ226" s="45">
        <v>8.9</v>
      </c>
      <c r="AK226" s="45">
        <v>8.75</v>
      </c>
      <c r="AL226" s="45">
        <v>0.0</v>
      </c>
      <c r="AM226" s="45">
        <v>9.04</v>
      </c>
      <c r="AN226" s="45">
        <v>9.08</v>
      </c>
      <c r="AO226" s="45" t="s">
        <v>27</v>
      </c>
      <c r="AQ226" s="45" t="s">
        <v>1011</v>
      </c>
      <c r="AT226" s="45" t="s">
        <v>1012</v>
      </c>
    </row>
    <row r="227">
      <c r="A227" s="107"/>
      <c r="B227" s="108" t="s">
        <v>619</v>
      </c>
      <c r="C227" s="109" t="s">
        <v>2602</v>
      </c>
      <c r="D227" s="108" t="s">
        <v>2603</v>
      </c>
      <c r="E227" s="108" t="s">
        <v>620</v>
      </c>
      <c r="F227" s="108">
        <v>0.0</v>
      </c>
      <c r="G227" s="110">
        <v>8.9447E11</v>
      </c>
      <c r="H227" s="111" t="s">
        <v>1003</v>
      </c>
      <c r="I227" s="111">
        <v>2701.0</v>
      </c>
      <c r="J227" s="111" t="s">
        <v>1003</v>
      </c>
      <c r="K227" s="108" t="s">
        <v>1003</v>
      </c>
      <c r="L227" s="112" t="s">
        <v>1123</v>
      </c>
      <c r="M227" s="106">
        <v>9774.0</v>
      </c>
      <c r="N227" s="113">
        <v>0.0</v>
      </c>
      <c r="O227" s="106" t="s">
        <v>2604</v>
      </c>
      <c r="P227" s="106" t="s">
        <v>60</v>
      </c>
      <c r="Q227" s="45" t="s">
        <v>1006</v>
      </c>
      <c r="R227" s="45">
        <v>100.0</v>
      </c>
      <c r="S227" s="45">
        <v>2019.0</v>
      </c>
      <c r="T227" s="45">
        <v>98.0</v>
      </c>
      <c r="U227" s="45">
        <v>2021.0</v>
      </c>
      <c r="V227" s="45">
        <v>9.06</v>
      </c>
      <c r="W227" s="45">
        <v>85.6</v>
      </c>
      <c r="X227" s="45">
        <v>2025.0</v>
      </c>
      <c r="Y227" s="45">
        <v>0.0</v>
      </c>
      <c r="Z227" s="45">
        <v>0.0</v>
      </c>
      <c r="AA227" s="45" t="s">
        <v>2605</v>
      </c>
      <c r="AB227" s="45" t="s">
        <v>2606</v>
      </c>
      <c r="AC227" s="45">
        <v>8.309999179E9</v>
      </c>
      <c r="AD227" s="45">
        <v>9.618801828E9</v>
      </c>
      <c r="AE227" s="45" t="s">
        <v>622</v>
      </c>
      <c r="AF227" s="45" t="s">
        <v>621</v>
      </c>
      <c r="AG227" s="45" t="s">
        <v>2607</v>
      </c>
      <c r="AH227" s="45" t="s">
        <v>2608</v>
      </c>
      <c r="AI227" s="45">
        <v>9.19</v>
      </c>
      <c r="AJ227" s="45">
        <v>9.07</v>
      </c>
      <c r="AK227" s="45">
        <v>8.59</v>
      </c>
      <c r="AL227" s="45">
        <v>0.0</v>
      </c>
      <c r="AM227" s="45">
        <v>9.01</v>
      </c>
      <c r="AN227" s="45">
        <v>9.06</v>
      </c>
      <c r="AO227" s="45" t="s">
        <v>27</v>
      </c>
      <c r="AQ227" s="45" t="s">
        <v>1011</v>
      </c>
      <c r="AT227" s="45" t="s">
        <v>1028</v>
      </c>
    </row>
    <row r="228">
      <c r="A228" s="107"/>
      <c r="B228" s="108" t="s">
        <v>623</v>
      </c>
      <c r="C228" s="109" t="s">
        <v>2609</v>
      </c>
      <c r="D228" s="108" t="s">
        <v>1456</v>
      </c>
      <c r="E228" s="108" t="s">
        <v>624</v>
      </c>
      <c r="F228" s="108">
        <v>0.0</v>
      </c>
      <c r="G228" s="110">
        <v>8.53959E11</v>
      </c>
      <c r="H228" s="111" t="s">
        <v>1003</v>
      </c>
      <c r="I228" s="111" t="s">
        <v>1003</v>
      </c>
      <c r="J228" s="111" t="s">
        <v>1003</v>
      </c>
      <c r="K228" s="108" t="s">
        <v>1003</v>
      </c>
      <c r="L228" s="112" t="s">
        <v>2610</v>
      </c>
      <c r="M228" s="106">
        <v>118518.0</v>
      </c>
      <c r="N228" s="113">
        <v>0.0</v>
      </c>
      <c r="O228" s="114">
        <v>37897.0</v>
      </c>
      <c r="P228" s="106" t="s">
        <v>60</v>
      </c>
      <c r="Q228" s="45" t="s">
        <v>1006</v>
      </c>
      <c r="R228" s="45">
        <v>83.6</v>
      </c>
      <c r="S228" s="45">
        <v>2019.0</v>
      </c>
      <c r="T228" s="45">
        <v>75.8</v>
      </c>
      <c r="U228" s="45">
        <v>2021.0</v>
      </c>
      <c r="V228" s="45">
        <v>6.87</v>
      </c>
      <c r="W228" s="45">
        <v>63.7</v>
      </c>
      <c r="X228" s="45">
        <v>2025.0</v>
      </c>
      <c r="Y228" s="45">
        <v>0.0</v>
      </c>
      <c r="Z228" s="45">
        <v>0.0</v>
      </c>
      <c r="AA228" s="45" t="s">
        <v>2611</v>
      </c>
      <c r="AB228" s="45" t="s">
        <v>2612</v>
      </c>
      <c r="AC228" s="45">
        <v>9.849732675E9</v>
      </c>
      <c r="AD228" s="45">
        <v>8.790594476E9</v>
      </c>
      <c r="AE228" s="45">
        <v>0.0</v>
      </c>
      <c r="AF228" s="45">
        <v>0.0</v>
      </c>
      <c r="AG228" s="45" t="s">
        <v>2613</v>
      </c>
      <c r="AH228" s="45" t="s">
        <v>2614</v>
      </c>
      <c r="AI228" s="45">
        <v>6.76</v>
      </c>
      <c r="AJ228" s="45">
        <v>0.0</v>
      </c>
      <c r="AK228" s="45">
        <v>6.57</v>
      </c>
      <c r="AL228" s="45">
        <v>0.0</v>
      </c>
      <c r="AM228" s="45">
        <v>6.73</v>
      </c>
      <c r="AN228" s="45">
        <v>6.87</v>
      </c>
      <c r="AO228" s="45" t="s">
        <v>27</v>
      </c>
      <c r="AQ228" s="45" t="s">
        <v>1011</v>
      </c>
      <c r="AT228" s="45" t="s">
        <v>1012</v>
      </c>
    </row>
    <row r="229">
      <c r="A229" s="107"/>
      <c r="B229" s="108" t="s">
        <v>625</v>
      </c>
      <c r="C229" s="109" t="s">
        <v>2615</v>
      </c>
      <c r="D229" s="108" t="s">
        <v>2616</v>
      </c>
      <c r="E229" s="108" t="s">
        <v>626</v>
      </c>
      <c r="F229" s="108">
        <v>0.0</v>
      </c>
      <c r="G229" s="110">
        <v>7.28723E11</v>
      </c>
      <c r="H229" s="111" t="s">
        <v>1003</v>
      </c>
      <c r="I229" s="111">
        <v>2009.0</v>
      </c>
      <c r="J229" s="111" t="s">
        <v>1003</v>
      </c>
      <c r="K229" s="108" t="s">
        <v>1003</v>
      </c>
      <c r="L229" s="112" t="s">
        <v>1123</v>
      </c>
      <c r="M229" s="106">
        <v>31597.0</v>
      </c>
      <c r="N229" s="113">
        <v>0.0</v>
      </c>
      <c r="O229" s="114">
        <v>37535.0</v>
      </c>
      <c r="P229" s="106" t="s">
        <v>46</v>
      </c>
      <c r="Q229" s="45" t="s">
        <v>1006</v>
      </c>
      <c r="R229" s="45">
        <v>95.0</v>
      </c>
      <c r="S229" s="45">
        <v>2019.0</v>
      </c>
      <c r="T229" s="45">
        <v>98.0</v>
      </c>
      <c r="U229" s="45">
        <v>2021.0</v>
      </c>
      <c r="V229" s="45">
        <v>8.23</v>
      </c>
      <c r="W229" s="45">
        <v>77.3</v>
      </c>
      <c r="X229" s="45">
        <v>2025.0</v>
      </c>
      <c r="Y229" s="45">
        <v>0.0</v>
      </c>
      <c r="Z229" s="45">
        <v>0.0</v>
      </c>
      <c r="AA229" s="45" t="s">
        <v>2617</v>
      </c>
      <c r="AB229" s="45" t="s">
        <v>2618</v>
      </c>
      <c r="AC229" s="45">
        <v>6.300194071E9</v>
      </c>
      <c r="AD229" s="45">
        <v>9.15484941E9</v>
      </c>
      <c r="AE229" s="45">
        <v>0.0</v>
      </c>
      <c r="AF229" s="45">
        <v>0.0</v>
      </c>
      <c r="AG229" s="45" t="s">
        <v>2619</v>
      </c>
      <c r="AH229" s="45" t="s">
        <v>2620</v>
      </c>
      <c r="AI229" s="45">
        <v>8.03</v>
      </c>
      <c r="AJ229" s="45">
        <v>7.76</v>
      </c>
      <c r="AK229" s="45">
        <v>7.77</v>
      </c>
      <c r="AL229" s="45">
        <v>0.0</v>
      </c>
      <c r="AM229" s="45">
        <v>8.17</v>
      </c>
      <c r="AN229" s="45">
        <v>8.23</v>
      </c>
      <c r="AO229" s="45" t="s">
        <v>27</v>
      </c>
      <c r="AQ229" s="45" t="s">
        <v>1011</v>
      </c>
      <c r="AT229" s="45" t="s">
        <v>1028</v>
      </c>
    </row>
    <row r="230">
      <c r="A230" s="107"/>
      <c r="B230" s="108" t="s">
        <v>627</v>
      </c>
      <c r="C230" s="109" t="s">
        <v>2621</v>
      </c>
      <c r="D230" s="108" t="s">
        <v>2622</v>
      </c>
      <c r="E230" s="108" t="s">
        <v>628</v>
      </c>
      <c r="F230" s="108">
        <v>0.0</v>
      </c>
      <c r="G230" s="110">
        <v>7.80092E11</v>
      </c>
      <c r="H230" s="111" t="s">
        <v>1003</v>
      </c>
      <c r="I230" s="111" t="s">
        <v>1003</v>
      </c>
      <c r="J230" s="111" t="s">
        <v>1003</v>
      </c>
      <c r="K230" s="108" t="s">
        <v>1003</v>
      </c>
      <c r="L230" s="112" t="s">
        <v>2152</v>
      </c>
      <c r="M230" s="106">
        <v>8973.0</v>
      </c>
      <c r="N230" s="113">
        <v>0.0</v>
      </c>
      <c r="O230" s="114">
        <v>37930.0</v>
      </c>
      <c r="P230" s="106" t="s">
        <v>46</v>
      </c>
      <c r="Q230" s="45" t="s">
        <v>1006</v>
      </c>
      <c r="R230" s="45">
        <v>95.0</v>
      </c>
      <c r="S230" s="45">
        <v>2019.0</v>
      </c>
      <c r="T230" s="45">
        <v>97.0</v>
      </c>
      <c r="U230" s="45">
        <v>2021.0</v>
      </c>
      <c r="V230" s="45">
        <v>7.74</v>
      </c>
      <c r="W230" s="45">
        <v>72.4</v>
      </c>
      <c r="X230" s="45">
        <v>2025.0</v>
      </c>
      <c r="Y230" s="45">
        <v>0.0</v>
      </c>
      <c r="Z230" s="45">
        <v>0.0</v>
      </c>
      <c r="AA230" s="45" t="s">
        <v>2623</v>
      </c>
      <c r="AB230" s="45" t="s">
        <v>2624</v>
      </c>
      <c r="AC230" s="45">
        <v>6.302086364E9</v>
      </c>
      <c r="AD230" s="45">
        <v>9.618505414E9</v>
      </c>
      <c r="AE230" s="45" t="s">
        <v>237</v>
      </c>
      <c r="AF230" s="45">
        <v>0.0</v>
      </c>
      <c r="AG230" s="45" t="s">
        <v>2625</v>
      </c>
      <c r="AH230" s="45" t="s">
        <v>2626</v>
      </c>
      <c r="AI230" s="45">
        <v>8.08</v>
      </c>
      <c r="AJ230" s="45">
        <v>7.12</v>
      </c>
      <c r="AK230" s="45">
        <v>7.32</v>
      </c>
      <c r="AL230" s="45">
        <v>0.0</v>
      </c>
      <c r="AM230" s="45">
        <v>7.65</v>
      </c>
      <c r="AN230" s="45">
        <v>7.74</v>
      </c>
      <c r="AO230" s="45" t="s">
        <v>27</v>
      </c>
      <c r="AQ230" s="45" t="s">
        <v>1011</v>
      </c>
      <c r="AT230" s="45" t="s">
        <v>1012</v>
      </c>
    </row>
    <row r="231">
      <c r="A231" s="107"/>
      <c r="B231" s="108" t="s">
        <v>630</v>
      </c>
      <c r="C231" s="109" t="s">
        <v>2627</v>
      </c>
      <c r="D231" s="108" t="s">
        <v>2628</v>
      </c>
      <c r="E231" s="108" t="s">
        <v>631</v>
      </c>
      <c r="F231" s="108">
        <v>0.0</v>
      </c>
      <c r="G231" s="110">
        <v>5.20644E11</v>
      </c>
      <c r="H231" s="111" t="s">
        <v>1003</v>
      </c>
      <c r="I231" s="111" t="s">
        <v>1003</v>
      </c>
      <c r="J231" s="111" t="s">
        <v>1003</v>
      </c>
      <c r="K231" s="108" t="s">
        <v>1003</v>
      </c>
      <c r="L231" s="112" t="s">
        <v>1577</v>
      </c>
      <c r="M231" s="106">
        <v>19065.0</v>
      </c>
      <c r="N231" s="113">
        <v>0.0</v>
      </c>
      <c r="O231" s="114">
        <v>37388.0</v>
      </c>
      <c r="P231" s="106" t="s">
        <v>60</v>
      </c>
      <c r="Q231" s="45" t="s">
        <v>1006</v>
      </c>
      <c r="R231" s="45">
        <v>90.0</v>
      </c>
      <c r="S231" s="45">
        <v>2018.0</v>
      </c>
      <c r="T231" s="45">
        <v>85.0</v>
      </c>
      <c r="U231" s="45">
        <v>2020.0</v>
      </c>
      <c r="V231" s="45">
        <v>0.0</v>
      </c>
      <c r="W231" s="45">
        <v>-5.0</v>
      </c>
      <c r="X231" s="45">
        <v>2025.0</v>
      </c>
      <c r="Y231" s="45">
        <v>1.0</v>
      </c>
      <c r="Z231" s="45">
        <v>2.0</v>
      </c>
      <c r="AA231" s="45" t="s">
        <v>2629</v>
      </c>
      <c r="AB231" s="45" t="s">
        <v>2630</v>
      </c>
      <c r="AC231" s="45">
        <v>8.309105939E9</v>
      </c>
      <c r="AD231" s="45">
        <v>9.959362455E9</v>
      </c>
      <c r="AE231" s="45">
        <v>0.0</v>
      </c>
      <c r="AF231" s="45">
        <v>0.0</v>
      </c>
      <c r="AG231" s="45" t="s">
        <v>2631</v>
      </c>
      <c r="AH231" s="45" t="s">
        <v>2632</v>
      </c>
      <c r="AI231" s="45">
        <v>0.0</v>
      </c>
      <c r="AJ231" s="45">
        <v>0.0</v>
      </c>
      <c r="AK231" s="45">
        <v>0.0</v>
      </c>
      <c r="AL231" s="45">
        <v>0.0</v>
      </c>
      <c r="AM231" s="45">
        <v>5.83</v>
      </c>
      <c r="AN231" s="45">
        <v>0.0</v>
      </c>
      <c r="AO231" s="45" t="s">
        <v>28</v>
      </c>
      <c r="AQ231" s="45" t="s">
        <v>1011</v>
      </c>
      <c r="AT231" s="45" t="s">
        <v>1012</v>
      </c>
    </row>
    <row r="232">
      <c r="A232" s="107"/>
      <c r="B232" s="108" t="s">
        <v>632</v>
      </c>
      <c r="C232" s="109" t="s">
        <v>2633</v>
      </c>
      <c r="D232" s="108" t="s">
        <v>2634</v>
      </c>
      <c r="E232" s="108" t="s">
        <v>633</v>
      </c>
      <c r="F232" s="108">
        <v>0.0</v>
      </c>
      <c r="G232" s="110">
        <v>4.3756E11</v>
      </c>
      <c r="H232" s="111" t="s">
        <v>1003</v>
      </c>
      <c r="I232" s="111">
        <v>5160.0</v>
      </c>
      <c r="J232" s="111">
        <v>8917.0</v>
      </c>
      <c r="K232" s="108">
        <v>10057.0</v>
      </c>
      <c r="L232" s="112" t="s">
        <v>2191</v>
      </c>
      <c r="M232" s="106">
        <v>8303.0</v>
      </c>
      <c r="N232" s="113">
        <v>0.0</v>
      </c>
      <c r="O232" s="106" t="s">
        <v>2635</v>
      </c>
      <c r="P232" s="106" t="s">
        <v>60</v>
      </c>
      <c r="Q232" s="45" t="s">
        <v>1006</v>
      </c>
      <c r="R232" s="45">
        <v>100.0</v>
      </c>
      <c r="S232" s="45">
        <v>2019.0</v>
      </c>
      <c r="T232" s="45">
        <v>96.6</v>
      </c>
      <c r="U232" s="45">
        <v>2021.0</v>
      </c>
      <c r="V232" s="45">
        <v>9.04</v>
      </c>
      <c r="W232" s="45">
        <v>85.4</v>
      </c>
      <c r="X232" s="45">
        <v>2025.0</v>
      </c>
      <c r="Y232" s="45">
        <v>0.0</v>
      </c>
      <c r="Z232" s="45">
        <v>0.0</v>
      </c>
      <c r="AA232" s="45" t="s">
        <v>2636</v>
      </c>
      <c r="AB232" s="45" t="s">
        <v>2637</v>
      </c>
      <c r="AC232" s="45">
        <v>9.963422104E9</v>
      </c>
      <c r="AD232" s="45">
        <v>7.013826913E9</v>
      </c>
      <c r="AE232" s="45" t="s">
        <v>52</v>
      </c>
      <c r="AF232" s="45">
        <v>0.0</v>
      </c>
      <c r="AG232" s="45" t="s">
        <v>2638</v>
      </c>
      <c r="AH232" s="45" t="s">
        <v>2639</v>
      </c>
      <c r="AI232" s="45">
        <v>9.59</v>
      </c>
      <c r="AJ232" s="45">
        <v>8.93</v>
      </c>
      <c r="AK232" s="45">
        <v>8.55</v>
      </c>
      <c r="AL232" s="45">
        <v>0.0</v>
      </c>
      <c r="AM232" s="45">
        <v>9.02</v>
      </c>
      <c r="AN232" s="45">
        <v>9.04</v>
      </c>
      <c r="AO232" s="45" t="s">
        <v>28</v>
      </c>
      <c r="AQ232" s="45" t="s">
        <v>1011</v>
      </c>
      <c r="AT232" s="45" t="s">
        <v>1028</v>
      </c>
    </row>
    <row r="233">
      <c r="A233" s="107"/>
      <c r="B233" s="108" t="s">
        <v>634</v>
      </c>
      <c r="C233" s="109" t="s">
        <v>2640</v>
      </c>
      <c r="D233" s="108" t="s">
        <v>2641</v>
      </c>
      <c r="E233" s="108" t="s">
        <v>635</v>
      </c>
      <c r="F233" s="108">
        <v>0.0</v>
      </c>
      <c r="G233" s="110">
        <v>4.06102E11</v>
      </c>
      <c r="H233" s="111" t="s">
        <v>1003</v>
      </c>
      <c r="I233" s="111" t="s">
        <v>1003</v>
      </c>
      <c r="J233" s="111" t="s">
        <v>1003</v>
      </c>
      <c r="K233" s="108" t="s">
        <v>1003</v>
      </c>
      <c r="L233" s="112" t="s">
        <v>2642</v>
      </c>
      <c r="M233" s="106">
        <v>0.0</v>
      </c>
      <c r="N233" s="113">
        <v>0.0</v>
      </c>
      <c r="O233" s="106" t="s">
        <v>2476</v>
      </c>
      <c r="P233" s="106" t="s">
        <v>60</v>
      </c>
      <c r="Q233" s="45" t="s">
        <v>1006</v>
      </c>
      <c r="R233" s="45">
        <v>94.0</v>
      </c>
      <c r="S233" s="45">
        <v>2019.0</v>
      </c>
      <c r="T233" s="45">
        <v>81.0</v>
      </c>
      <c r="U233" s="45">
        <v>2021.0</v>
      </c>
      <c r="V233" s="45">
        <v>7.82</v>
      </c>
      <c r="W233" s="45">
        <v>73.2</v>
      </c>
      <c r="X233" s="45">
        <v>2025.0</v>
      </c>
      <c r="Y233" s="45">
        <v>0.0</v>
      </c>
      <c r="Z233" s="45">
        <v>0.0</v>
      </c>
      <c r="AA233" s="45" t="s">
        <v>2643</v>
      </c>
      <c r="AB233" s="45" t="s">
        <v>2644</v>
      </c>
      <c r="AC233" s="45">
        <v>8.790759334E9</v>
      </c>
      <c r="AD233" s="45">
        <v>8.790736311E9</v>
      </c>
      <c r="AE233" s="45">
        <v>0.0</v>
      </c>
      <c r="AF233" s="45">
        <v>0.0</v>
      </c>
      <c r="AG233" s="45" t="s">
        <v>2645</v>
      </c>
      <c r="AH233" s="45" t="s">
        <v>2646</v>
      </c>
      <c r="AI233" s="45">
        <v>8.7</v>
      </c>
      <c r="AJ233" s="45">
        <v>7.59</v>
      </c>
      <c r="AK233" s="45">
        <v>7.59</v>
      </c>
      <c r="AL233" s="45">
        <v>0.0</v>
      </c>
      <c r="AM233" s="45">
        <v>7.82</v>
      </c>
      <c r="AN233" s="45">
        <v>7.82</v>
      </c>
      <c r="AO233" s="45" t="s">
        <v>27</v>
      </c>
      <c r="AQ233" s="45" t="s">
        <v>1011</v>
      </c>
      <c r="AT233" s="45" t="s">
        <v>1012</v>
      </c>
    </row>
    <row r="234">
      <c r="A234" s="107"/>
      <c r="B234" s="108" t="s">
        <v>637</v>
      </c>
      <c r="C234" s="109" t="s">
        <v>2647</v>
      </c>
      <c r="D234" s="108" t="s">
        <v>1599</v>
      </c>
      <c r="E234" s="108" t="s">
        <v>638</v>
      </c>
      <c r="F234" s="108">
        <v>0.0</v>
      </c>
      <c r="G234" s="110">
        <v>3.81929E11</v>
      </c>
      <c r="H234" s="111" t="s">
        <v>1003</v>
      </c>
      <c r="I234" s="111" t="s">
        <v>1003</v>
      </c>
      <c r="J234" s="111" t="s">
        <v>1003</v>
      </c>
      <c r="K234" s="108" t="s">
        <v>1003</v>
      </c>
      <c r="L234" s="112" t="s">
        <v>1931</v>
      </c>
      <c r="M234" s="106">
        <v>0.0</v>
      </c>
      <c r="N234" s="113">
        <v>0.0</v>
      </c>
      <c r="O234" s="106" t="s">
        <v>2648</v>
      </c>
      <c r="P234" s="106" t="s">
        <v>60</v>
      </c>
      <c r="Q234" s="45" t="s">
        <v>1006</v>
      </c>
      <c r="R234" s="45">
        <v>97.0</v>
      </c>
      <c r="S234" s="45">
        <v>2019.0</v>
      </c>
      <c r="T234" s="45">
        <v>92.0</v>
      </c>
      <c r="U234" s="45">
        <v>2021.0</v>
      </c>
      <c r="V234" s="45">
        <v>8.25</v>
      </c>
      <c r="W234" s="45">
        <v>77.5</v>
      </c>
      <c r="X234" s="45">
        <v>2025.0</v>
      </c>
      <c r="Y234" s="45">
        <v>0.0</v>
      </c>
      <c r="Z234" s="45">
        <v>0.0</v>
      </c>
      <c r="AA234" s="45" t="s">
        <v>2649</v>
      </c>
      <c r="AB234" s="45" t="s">
        <v>2650</v>
      </c>
      <c r="AC234" s="45">
        <v>9.11053453E9</v>
      </c>
      <c r="AD234" s="45">
        <v>9.948126565E9</v>
      </c>
      <c r="AE234" s="45" t="s">
        <v>440</v>
      </c>
      <c r="AF234" s="45" t="s">
        <v>440</v>
      </c>
      <c r="AG234" s="45" t="s">
        <v>2651</v>
      </c>
      <c r="AH234" s="45" t="s">
        <v>2652</v>
      </c>
      <c r="AI234" s="45">
        <v>8.38</v>
      </c>
      <c r="AJ234" s="45">
        <v>7.88</v>
      </c>
      <c r="AK234" s="45">
        <v>7.45</v>
      </c>
      <c r="AL234" s="45">
        <v>0.0</v>
      </c>
      <c r="AM234" s="45">
        <v>8.16</v>
      </c>
      <c r="AN234" s="45">
        <v>8.25</v>
      </c>
      <c r="AO234" s="45" t="s">
        <v>27</v>
      </c>
      <c r="AQ234" s="45" t="s">
        <v>1011</v>
      </c>
      <c r="AT234" s="45" t="s">
        <v>1028</v>
      </c>
    </row>
    <row r="235">
      <c r="A235" s="107"/>
      <c r="B235" s="108" t="s">
        <v>640</v>
      </c>
      <c r="C235" s="109" t="s">
        <v>2653</v>
      </c>
      <c r="D235" s="108" t="s">
        <v>2654</v>
      </c>
      <c r="E235" s="108" t="s">
        <v>641</v>
      </c>
      <c r="F235" s="108">
        <v>0.0</v>
      </c>
      <c r="G235" s="110">
        <v>2.68645E11</v>
      </c>
      <c r="H235" s="111" t="s">
        <v>1003</v>
      </c>
      <c r="I235" s="111" t="s">
        <v>1003</v>
      </c>
      <c r="J235" s="111" t="s">
        <v>1003</v>
      </c>
      <c r="K235" s="108" t="s">
        <v>1003</v>
      </c>
      <c r="L235" s="112" t="s">
        <v>2655</v>
      </c>
      <c r="M235" s="106">
        <v>15000.0</v>
      </c>
      <c r="N235" s="113">
        <v>0.0</v>
      </c>
      <c r="O235" s="106" t="s">
        <v>2656</v>
      </c>
      <c r="P235" s="106" t="s">
        <v>46</v>
      </c>
      <c r="Q235" s="45" t="s">
        <v>1006</v>
      </c>
      <c r="R235" s="45">
        <v>98.0</v>
      </c>
      <c r="S235" s="45">
        <v>2019.0</v>
      </c>
      <c r="T235" s="45">
        <v>92.0</v>
      </c>
      <c r="U235" s="45">
        <v>2021.0</v>
      </c>
      <c r="V235" s="45">
        <v>8.02</v>
      </c>
      <c r="W235" s="45">
        <v>75.2</v>
      </c>
      <c r="X235" s="45">
        <v>2025.0</v>
      </c>
      <c r="Y235" s="45">
        <v>0.0</v>
      </c>
      <c r="Z235" s="45">
        <v>0.0</v>
      </c>
      <c r="AA235" s="45" t="s">
        <v>2657</v>
      </c>
      <c r="AB235" s="45" t="s">
        <v>2658</v>
      </c>
      <c r="AC235" s="45">
        <v>9.381649011E9</v>
      </c>
      <c r="AD235" s="45">
        <v>9.381649011E9</v>
      </c>
      <c r="AE235" s="45">
        <v>0.0</v>
      </c>
      <c r="AF235" s="45">
        <v>0.0</v>
      </c>
      <c r="AG235" s="45" t="s">
        <v>2659</v>
      </c>
      <c r="AH235" s="45" t="s">
        <v>2660</v>
      </c>
      <c r="AI235" s="45">
        <v>7.76</v>
      </c>
      <c r="AJ235" s="45">
        <v>7.51</v>
      </c>
      <c r="AK235" s="45">
        <v>7.66</v>
      </c>
      <c r="AL235" s="45">
        <v>0.0</v>
      </c>
      <c r="AM235" s="45">
        <v>7.94</v>
      </c>
      <c r="AN235" s="45">
        <v>8.02</v>
      </c>
      <c r="AO235" s="45" t="s">
        <v>28</v>
      </c>
      <c r="AQ235" s="45" t="s">
        <v>1011</v>
      </c>
      <c r="AT235" s="45" t="s">
        <v>1012</v>
      </c>
    </row>
    <row r="236">
      <c r="A236" s="107"/>
      <c r="B236" s="108" t="s">
        <v>642</v>
      </c>
      <c r="C236" s="109" t="s">
        <v>2661</v>
      </c>
      <c r="D236" s="108" t="s">
        <v>2144</v>
      </c>
      <c r="E236" s="108" t="s">
        <v>643</v>
      </c>
      <c r="F236" s="108">
        <v>0.0</v>
      </c>
      <c r="G236" s="110">
        <v>8.65173E11</v>
      </c>
      <c r="H236" s="111" t="s">
        <v>1003</v>
      </c>
      <c r="I236" s="111">
        <v>2749.0</v>
      </c>
      <c r="J236" s="111" t="s">
        <v>1003</v>
      </c>
      <c r="K236" s="108" t="s">
        <v>1003</v>
      </c>
      <c r="L236" s="112" t="s">
        <v>2662</v>
      </c>
      <c r="M236" s="106">
        <v>0.0</v>
      </c>
      <c r="N236" s="113">
        <v>0.0</v>
      </c>
      <c r="O236" s="114">
        <v>37865.0</v>
      </c>
      <c r="P236" s="106" t="s">
        <v>60</v>
      </c>
      <c r="Q236" s="45" t="s">
        <v>1006</v>
      </c>
      <c r="R236" s="45">
        <v>95.0</v>
      </c>
      <c r="S236" s="45">
        <v>2019.0</v>
      </c>
      <c r="T236" s="45">
        <v>70.0</v>
      </c>
      <c r="U236" s="45">
        <v>2021.0</v>
      </c>
      <c r="V236" s="45">
        <v>0.0</v>
      </c>
      <c r="W236" s="45">
        <v>-5.0</v>
      </c>
      <c r="X236" s="45">
        <v>2025.0</v>
      </c>
      <c r="Y236" s="45">
        <v>1.0</v>
      </c>
      <c r="Z236" s="45">
        <v>1.0</v>
      </c>
      <c r="AA236" s="45" t="s">
        <v>2663</v>
      </c>
      <c r="AB236" s="45" t="s">
        <v>2664</v>
      </c>
      <c r="AC236" s="45">
        <v>8.712143398E9</v>
      </c>
      <c r="AD236" s="45">
        <v>9.951158767E9</v>
      </c>
      <c r="AE236" s="45" t="s">
        <v>2665</v>
      </c>
      <c r="AF236" s="45" t="s">
        <v>644</v>
      </c>
      <c r="AG236" s="45" t="s">
        <v>2666</v>
      </c>
      <c r="AH236" s="45" t="s">
        <v>2667</v>
      </c>
      <c r="AI236" s="45">
        <v>7.57</v>
      </c>
      <c r="AJ236" s="45">
        <v>0.0</v>
      </c>
      <c r="AK236" s="45">
        <v>0.0</v>
      </c>
      <c r="AL236" s="45">
        <v>0.0</v>
      </c>
      <c r="AM236" s="45">
        <v>7.06</v>
      </c>
      <c r="AN236" s="45">
        <v>0.0</v>
      </c>
      <c r="AO236" s="45" t="s">
        <v>27</v>
      </c>
      <c r="AQ236" s="45" t="s">
        <v>1011</v>
      </c>
      <c r="AT236" s="45" t="s">
        <v>1012</v>
      </c>
    </row>
    <row r="237">
      <c r="A237" s="107"/>
      <c r="B237" s="108" t="s">
        <v>646</v>
      </c>
      <c r="C237" s="109" t="s">
        <v>2668</v>
      </c>
      <c r="D237" s="108" t="s">
        <v>2669</v>
      </c>
      <c r="E237" s="108" t="s">
        <v>647</v>
      </c>
      <c r="F237" s="108">
        <v>0.0</v>
      </c>
      <c r="G237" s="110">
        <v>6.65275E11</v>
      </c>
      <c r="H237" s="111" t="s">
        <v>1003</v>
      </c>
      <c r="I237" s="111" t="s">
        <v>1003</v>
      </c>
      <c r="J237" s="111" t="s">
        <v>1003</v>
      </c>
      <c r="K237" s="108" t="s">
        <v>1003</v>
      </c>
      <c r="L237" s="112" t="s">
        <v>2591</v>
      </c>
      <c r="M237" s="106">
        <v>9116.0</v>
      </c>
      <c r="N237" s="113">
        <v>0.0</v>
      </c>
      <c r="O237" s="106" t="s">
        <v>2670</v>
      </c>
      <c r="P237" s="106" t="s">
        <v>46</v>
      </c>
      <c r="Q237" s="45" t="s">
        <v>1006</v>
      </c>
      <c r="R237" s="45">
        <v>85.4</v>
      </c>
      <c r="S237" s="45">
        <v>2019.0</v>
      </c>
      <c r="T237" s="45">
        <v>96.6</v>
      </c>
      <c r="U237" s="45">
        <v>2021.0</v>
      </c>
      <c r="V237" s="45">
        <v>8.33</v>
      </c>
      <c r="W237" s="45">
        <v>78.3</v>
      </c>
      <c r="X237" s="45">
        <v>2025.0</v>
      </c>
      <c r="Y237" s="45">
        <v>0.0</v>
      </c>
      <c r="Z237" s="45">
        <v>0.0</v>
      </c>
      <c r="AA237" s="45" t="s">
        <v>2671</v>
      </c>
      <c r="AB237" s="45" t="s">
        <v>2672</v>
      </c>
      <c r="AC237" s="45">
        <v>8.143742881E9</v>
      </c>
      <c r="AD237" s="45">
        <v>9.701685185E9</v>
      </c>
      <c r="AE237" s="45" t="s">
        <v>52</v>
      </c>
      <c r="AF237" s="45">
        <v>0.0</v>
      </c>
      <c r="AG237" s="45" t="s">
        <v>2673</v>
      </c>
      <c r="AH237" s="45" t="s">
        <v>2674</v>
      </c>
      <c r="AI237" s="45">
        <v>8.35</v>
      </c>
      <c r="AJ237" s="45">
        <v>8.17</v>
      </c>
      <c r="AK237" s="45">
        <v>7.73</v>
      </c>
      <c r="AL237" s="45">
        <v>0.0</v>
      </c>
      <c r="AM237" s="45">
        <v>8.23</v>
      </c>
      <c r="AN237" s="45">
        <v>8.33</v>
      </c>
      <c r="AO237" s="45" t="s">
        <v>28</v>
      </c>
      <c r="AQ237" s="45" t="s">
        <v>1011</v>
      </c>
      <c r="AT237" s="45" t="s">
        <v>1012</v>
      </c>
    </row>
    <row r="238">
      <c r="A238" s="107"/>
      <c r="B238" s="108" t="s">
        <v>648</v>
      </c>
      <c r="C238" s="109" t="s">
        <v>2675</v>
      </c>
      <c r="D238" s="108" t="s">
        <v>1599</v>
      </c>
      <c r="E238" s="108" t="s">
        <v>649</v>
      </c>
      <c r="F238" s="108">
        <v>0.0</v>
      </c>
      <c r="G238" s="110">
        <v>8.31092E11</v>
      </c>
      <c r="H238" s="111" t="s">
        <v>1003</v>
      </c>
      <c r="I238" s="111" t="s">
        <v>1003</v>
      </c>
      <c r="J238" s="111" t="s">
        <v>1003</v>
      </c>
      <c r="K238" s="108" t="s">
        <v>1003</v>
      </c>
      <c r="L238" s="112" t="s">
        <v>2676</v>
      </c>
      <c r="M238" s="106">
        <v>0.0</v>
      </c>
      <c r="N238" s="113">
        <v>0.0</v>
      </c>
      <c r="O238" s="106" t="s">
        <v>2677</v>
      </c>
      <c r="P238" s="106" t="s">
        <v>46</v>
      </c>
      <c r="Q238" s="45" t="s">
        <v>1006</v>
      </c>
      <c r="R238" s="45">
        <v>80.0</v>
      </c>
      <c r="S238" s="45">
        <v>2019.0</v>
      </c>
      <c r="T238" s="45">
        <v>75.0</v>
      </c>
      <c r="U238" s="45">
        <v>2022.0</v>
      </c>
      <c r="V238" s="45">
        <v>0.0</v>
      </c>
      <c r="W238" s="45">
        <v>-5.0</v>
      </c>
      <c r="X238" s="45">
        <v>2025.0</v>
      </c>
      <c r="Y238" s="45">
        <v>3.0</v>
      </c>
      <c r="Z238" s="45">
        <v>4.0</v>
      </c>
      <c r="AA238" s="45" t="s">
        <v>2678</v>
      </c>
      <c r="AB238" s="45" t="s">
        <v>2679</v>
      </c>
      <c r="AC238" s="45">
        <v>9.704568306E9</v>
      </c>
      <c r="AD238" s="45">
        <v>9.912619971E9</v>
      </c>
      <c r="AE238" s="45">
        <v>0.0</v>
      </c>
      <c r="AF238" s="45">
        <v>0.0</v>
      </c>
      <c r="AG238" s="45" t="s">
        <v>2680</v>
      </c>
      <c r="AH238" s="45" t="s">
        <v>2681</v>
      </c>
      <c r="AI238" s="45">
        <v>6.24</v>
      </c>
      <c r="AJ238" s="45">
        <v>0.0</v>
      </c>
      <c r="AK238" s="45">
        <v>6.16</v>
      </c>
      <c r="AL238" s="45">
        <v>0.0</v>
      </c>
      <c r="AM238" s="45">
        <v>5.54</v>
      </c>
      <c r="AN238" s="45">
        <v>0.0</v>
      </c>
      <c r="AO238" s="45" t="s">
        <v>27</v>
      </c>
      <c r="AQ238" s="45" t="s">
        <v>1011</v>
      </c>
      <c r="AT238" s="45" t="s">
        <v>1012</v>
      </c>
    </row>
    <row r="239">
      <c r="A239" s="107"/>
      <c r="B239" s="108" t="s">
        <v>650</v>
      </c>
      <c r="C239" s="109" t="s">
        <v>2682</v>
      </c>
      <c r="D239" s="108" t="s">
        <v>1599</v>
      </c>
      <c r="E239" s="108" t="s">
        <v>651</v>
      </c>
      <c r="F239" s="108">
        <v>0.0</v>
      </c>
      <c r="G239" s="110">
        <v>4.10636E11</v>
      </c>
      <c r="H239" s="111" t="s">
        <v>1003</v>
      </c>
      <c r="I239" s="111" t="s">
        <v>1003</v>
      </c>
      <c r="J239" s="111" t="s">
        <v>1003</v>
      </c>
      <c r="K239" s="108" t="s">
        <v>1003</v>
      </c>
      <c r="L239" s="112" t="s">
        <v>2683</v>
      </c>
      <c r="M239" s="106">
        <v>0.0</v>
      </c>
      <c r="N239" s="113">
        <v>0.0</v>
      </c>
      <c r="O239" s="106" t="s">
        <v>2684</v>
      </c>
      <c r="P239" s="106" t="s">
        <v>60</v>
      </c>
      <c r="Q239" s="45" t="s">
        <v>1006</v>
      </c>
      <c r="R239" s="45">
        <v>88.0</v>
      </c>
      <c r="S239" s="45">
        <v>2019.0</v>
      </c>
      <c r="T239" s="45">
        <v>85.0</v>
      </c>
      <c r="U239" s="45">
        <v>2021.0</v>
      </c>
      <c r="V239" s="45">
        <v>7.51</v>
      </c>
      <c r="W239" s="45">
        <v>70.1</v>
      </c>
      <c r="X239" s="45">
        <v>2025.0</v>
      </c>
      <c r="Y239" s="45">
        <v>0.0</v>
      </c>
      <c r="Z239" s="45">
        <v>0.0</v>
      </c>
      <c r="AA239" s="45" t="s">
        <v>2685</v>
      </c>
      <c r="AB239" s="45" t="s">
        <v>2686</v>
      </c>
      <c r="AC239" s="45">
        <v>9.951252533E9</v>
      </c>
      <c r="AD239" s="45">
        <v>9.951252536E9</v>
      </c>
      <c r="AE239" s="45">
        <v>0.0</v>
      </c>
      <c r="AF239" s="45">
        <v>0.0</v>
      </c>
      <c r="AG239" s="45" t="s">
        <v>2687</v>
      </c>
      <c r="AH239" s="45" t="s">
        <v>2688</v>
      </c>
      <c r="AI239" s="45">
        <v>7.81</v>
      </c>
      <c r="AJ239" s="45">
        <v>7.0</v>
      </c>
      <c r="AK239" s="45">
        <v>7.18</v>
      </c>
      <c r="AL239" s="45">
        <v>0.0</v>
      </c>
      <c r="AM239" s="45">
        <v>7.47</v>
      </c>
      <c r="AN239" s="45">
        <v>7.51</v>
      </c>
      <c r="AO239" s="45" t="s">
        <v>28</v>
      </c>
      <c r="AQ239" s="45" t="s">
        <v>1011</v>
      </c>
      <c r="AT239" s="45" t="s">
        <v>1012</v>
      </c>
    </row>
    <row r="240">
      <c r="A240" s="107"/>
      <c r="B240" s="108" t="s">
        <v>652</v>
      </c>
      <c r="C240" s="109" t="s">
        <v>2689</v>
      </c>
      <c r="D240" s="108" t="s">
        <v>2690</v>
      </c>
      <c r="E240" s="108" t="s">
        <v>653</v>
      </c>
      <c r="F240" s="108">
        <v>0.0</v>
      </c>
      <c r="G240" s="110">
        <v>2.47197E11</v>
      </c>
      <c r="H240" s="111" t="s">
        <v>1003</v>
      </c>
      <c r="I240" s="111" t="s">
        <v>1003</v>
      </c>
      <c r="J240" s="111" t="s">
        <v>1003</v>
      </c>
      <c r="K240" s="108" t="s">
        <v>1003</v>
      </c>
      <c r="L240" s="112" t="s">
        <v>2691</v>
      </c>
      <c r="M240" s="106">
        <v>0.0</v>
      </c>
      <c r="N240" s="113">
        <v>0.0</v>
      </c>
      <c r="O240" s="114">
        <v>38019.0</v>
      </c>
      <c r="P240" s="106" t="s">
        <v>46</v>
      </c>
      <c r="Q240" s="45" t="s">
        <v>1006</v>
      </c>
      <c r="R240" s="45">
        <v>93.0</v>
      </c>
      <c r="S240" s="45">
        <v>2019.0</v>
      </c>
      <c r="T240" s="45">
        <v>90.0</v>
      </c>
      <c r="U240" s="45">
        <v>2021.0</v>
      </c>
      <c r="V240" s="45">
        <v>0.0</v>
      </c>
      <c r="W240" s="45">
        <v>-5.0</v>
      </c>
      <c r="X240" s="45">
        <v>2025.0</v>
      </c>
      <c r="Y240" s="45">
        <v>1.0</v>
      </c>
      <c r="Z240" s="45">
        <v>0.0</v>
      </c>
      <c r="AA240" s="45" t="s">
        <v>2692</v>
      </c>
      <c r="AB240" s="45" t="s">
        <v>2693</v>
      </c>
      <c r="AC240" s="45">
        <v>7.601068233E9</v>
      </c>
      <c r="AD240" s="45">
        <v>9.908558558E9</v>
      </c>
      <c r="AE240" s="45">
        <v>0.0</v>
      </c>
      <c r="AF240" s="45">
        <v>0.0</v>
      </c>
      <c r="AG240" s="45" t="s">
        <v>2694</v>
      </c>
      <c r="AH240" s="45" t="s">
        <v>2695</v>
      </c>
      <c r="AI240" s="45">
        <v>6.76</v>
      </c>
      <c r="AJ240" s="45">
        <v>6.46</v>
      </c>
      <c r="AK240" s="45">
        <v>6.11</v>
      </c>
      <c r="AL240" s="45">
        <v>0.0</v>
      </c>
      <c r="AM240" s="45">
        <v>6.51</v>
      </c>
      <c r="AN240" s="45">
        <v>0.0</v>
      </c>
      <c r="AO240" s="45" t="s">
        <v>27</v>
      </c>
      <c r="AQ240" s="45" t="s">
        <v>1011</v>
      </c>
      <c r="AT240" s="45" t="s">
        <v>1012</v>
      </c>
    </row>
    <row r="241">
      <c r="A241" s="107"/>
      <c r="B241" s="108" t="s">
        <v>654</v>
      </c>
      <c r="C241" s="109" t="s">
        <v>2696</v>
      </c>
      <c r="D241" s="108" t="s">
        <v>2697</v>
      </c>
      <c r="E241" s="108" t="s">
        <v>655</v>
      </c>
      <c r="F241" s="108">
        <v>0.0</v>
      </c>
      <c r="G241" s="110">
        <v>6.8909E11</v>
      </c>
      <c r="H241" s="111" t="s">
        <v>1003</v>
      </c>
      <c r="I241" s="111" t="s">
        <v>1003</v>
      </c>
      <c r="J241" s="111" t="s">
        <v>1003</v>
      </c>
      <c r="K241" s="108" t="s">
        <v>1003</v>
      </c>
      <c r="L241" s="112" t="s">
        <v>2698</v>
      </c>
      <c r="M241" s="106">
        <v>0.0</v>
      </c>
      <c r="N241" s="113">
        <v>0.0</v>
      </c>
      <c r="O241" s="106" t="s">
        <v>2699</v>
      </c>
      <c r="P241" s="106" t="s">
        <v>46</v>
      </c>
      <c r="Q241" s="45" t="s">
        <v>1006</v>
      </c>
      <c r="R241" s="45">
        <v>95.0</v>
      </c>
      <c r="S241" s="45">
        <v>2019.0</v>
      </c>
      <c r="T241" s="45">
        <v>87.2</v>
      </c>
      <c r="U241" s="45">
        <v>2021.0</v>
      </c>
      <c r="V241" s="45">
        <v>7.0</v>
      </c>
      <c r="W241" s="45">
        <v>65.0</v>
      </c>
      <c r="X241" s="45">
        <v>2025.0</v>
      </c>
      <c r="Y241" s="45">
        <v>0.0</v>
      </c>
      <c r="Z241" s="45">
        <v>0.0</v>
      </c>
      <c r="AA241" s="45" t="s">
        <v>2700</v>
      </c>
      <c r="AB241" s="45" t="s">
        <v>2701</v>
      </c>
      <c r="AC241" s="45">
        <v>6.304622538E9</v>
      </c>
      <c r="AD241" s="45">
        <v>9.502299994E9</v>
      </c>
      <c r="AE241" s="45">
        <v>0.0</v>
      </c>
      <c r="AF241" s="45">
        <v>0.0</v>
      </c>
      <c r="AG241" s="45" t="s">
        <v>2702</v>
      </c>
      <c r="AH241" s="45" t="s">
        <v>2703</v>
      </c>
      <c r="AI241" s="45">
        <v>6.86</v>
      </c>
      <c r="AJ241" s="45">
        <v>6.66</v>
      </c>
      <c r="AK241" s="45">
        <v>6.66</v>
      </c>
      <c r="AL241" s="45">
        <v>0.0</v>
      </c>
      <c r="AM241" s="45">
        <v>6.99</v>
      </c>
      <c r="AN241" s="45">
        <v>7.0</v>
      </c>
      <c r="AO241" s="45" t="s">
        <v>27</v>
      </c>
      <c r="AQ241" s="45" t="s">
        <v>1011</v>
      </c>
      <c r="AT241" s="45" t="s">
        <v>1028</v>
      </c>
    </row>
    <row r="242">
      <c r="A242" s="107"/>
      <c r="B242" s="108" t="s">
        <v>656</v>
      </c>
      <c r="C242" s="109" t="s">
        <v>2704</v>
      </c>
      <c r="D242" s="108" t="s">
        <v>2705</v>
      </c>
      <c r="E242" s="108" t="s">
        <v>657</v>
      </c>
      <c r="F242" s="108">
        <v>0.0</v>
      </c>
      <c r="G242" s="110">
        <v>3.24604E11</v>
      </c>
      <c r="H242" s="111" t="s">
        <v>1003</v>
      </c>
      <c r="I242" s="111">
        <v>24378.0</v>
      </c>
      <c r="J242" s="111">
        <v>25800.0</v>
      </c>
      <c r="K242" s="108">
        <v>26273.0</v>
      </c>
      <c r="L242" s="112" t="s">
        <v>2706</v>
      </c>
      <c r="M242" s="106">
        <v>8775.0</v>
      </c>
      <c r="N242" s="113">
        <v>0.0</v>
      </c>
      <c r="O242" s="114">
        <v>38082.0</v>
      </c>
      <c r="P242" s="106" t="s">
        <v>46</v>
      </c>
      <c r="Q242" s="45" t="s">
        <v>1006</v>
      </c>
      <c r="R242" s="45">
        <v>98.0</v>
      </c>
      <c r="S242" s="45">
        <v>2019.0</v>
      </c>
      <c r="T242" s="45">
        <v>96.8</v>
      </c>
      <c r="U242" s="45">
        <v>2021.0</v>
      </c>
      <c r="V242" s="45">
        <v>8.53</v>
      </c>
      <c r="W242" s="45">
        <v>80.3</v>
      </c>
      <c r="X242" s="45">
        <v>2025.0</v>
      </c>
      <c r="Y242" s="45">
        <v>0.0</v>
      </c>
      <c r="Z242" s="45">
        <v>0.0</v>
      </c>
      <c r="AA242" s="45" t="s">
        <v>2707</v>
      </c>
      <c r="AB242" s="45" t="s">
        <v>2708</v>
      </c>
      <c r="AC242" s="45">
        <v>9.94876355E9</v>
      </c>
      <c r="AD242" s="45">
        <v>9.000761345E9</v>
      </c>
      <c r="AE242" s="45" t="s">
        <v>659</v>
      </c>
      <c r="AF242" s="45" t="s">
        <v>658</v>
      </c>
      <c r="AG242" s="45" t="s">
        <v>2709</v>
      </c>
      <c r="AH242" s="45" t="s">
        <v>2710</v>
      </c>
      <c r="AI242" s="45">
        <v>8.7</v>
      </c>
      <c r="AJ242" s="45">
        <v>9.22</v>
      </c>
      <c r="AK242" s="45">
        <v>0.0</v>
      </c>
      <c r="AL242" s="45">
        <v>0.0</v>
      </c>
      <c r="AM242" s="45">
        <v>8.57</v>
      </c>
      <c r="AN242" s="45">
        <v>8.53</v>
      </c>
      <c r="AO242" s="45" t="s">
        <v>27</v>
      </c>
      <c r="AQ242" s="45" t="s">
        <v>1011</v>
      </c>
      <c r="AT242" s="45" t="s">
        <v>1012</v>
      </c>
    </row>
    <row r="243">
      <c r="A243" s="107"/>
      <c r="B243" s="108" t="s">
        <v>660</v>
      </c>
      <c r="C243" s="109" t="s">
        <v>2542</v>
      </c>
      <c r="D243" s="108" t="s">
        <v>2711</v>
      </c>
      <c r="E243" s="108" t="s">
        <v>661</v>
      </c>
      <c r="F243" s="108">
        <v>0.0</v>
      </c>
      <c r="G243" s="110">
        <v>8.76729E11</v>
      </c>
      <c r="H243" s="111" t="s">
        <v>1003</v>
      </c>
      <c r="I243" s="111">
        <v>3542.0</v>
      </c>
      <c r="J243" s="111" t="s">
        <v>1003</v>
      </c>
      <c r="K243" s="108" t="s">
        <v>1003</v>
      </c>
      <c r="L243" s="112" t="s">
        <v>1123</v>
      </c>
      <c r="M243" s="106">
        <v>0.0</v>
      </c>
      <c r="N243" s="113">
        <v>0.0</v>
      </c>
      <c r="O243" s="106" t="s">
        <v>2557</v>
      </c>
      <c r="P243" s="106" t="s">
        <v>46</v>
      </c>
      <c r="Q243" s="45" t="s">
        <v>1006</v>
      </c>
      <c r="R243" s="45">
        <v>100.0</v>
      </c>
      <c r="S243" s="45">
        <v>2019.0</v>
      </c>
      <c r="T243" s="45">
        <v>95.6</v>
      </c>
      <c r="U243" s="45">
        <v>2021.0</v>
      </c>
      <c r="V243" s="45">
        <v>7.83</v>
      </c>
      <c r="W243" s="45">
        <v>73.3</v>
      </c>
      <c r="X243" s="45">
        <v>2025.0</v>
      </c>
      <c r="Y243" s="45">
        <v>0.0</v>
      </c>
      <c r="Z243" s="45">
        <v>0.0</v>
      </c>
      <c r="AA243" s="45" t="s">
        <v>2712</v>
      </c>
      <c r="AB243" s="45" t="s">
        <v>2713</v>
      </c>
      <c r="AC243" s="45">
        <v>6.303228478E9</v>
      </c>
      <c r="AD243" s="45">
        <v>9.440201432E9</v>
      </c>
      <c r="AE243" s="45" t="s">
        <v>237</v>
      </c>
      <c r="AF243" s="45">
        <v>0.0</v>
      </c>
      <c r="AG243" s="45" t="s">
        <v>2714</v>
      </c>
      <c r="AH243" s="45" t="s">
        <v>2715</v>
      </c>
      <c r="AI243" s="45">
        <v>7.89</v>
      </c>
      <c r="AJ243" s="45">
        <v>7.1</v>
      </c>
      <c r="AK243" s="45">
        <v>7.05</v>
      </c>
      <c r="AL243" s="45">
        <v>0.0</v>
      </c>
      <c r="AM243" s="45">
        <v>7.72</v>
      </c>
      <c r="AN243" s="45">
        <v>7.83</v>
      </c>
      <c r="AO243" s="45" t="s">
        <v>27</v>
      </c>
      <c r="AQ243" s="45" t="s">
        <v>1011</v>
      </c>
      <c r="AT243" s="45" t="s">
        <v>1028</v>
      </c>
    </row>
    <row r="244">
      <c r="A244" s="107"/>
      <c r="B244" s="108" t="s">
        <v>662</v>
      </c>
      <c r="C244" s="109" t="s">
        <v>2716</v>
      </c>
      <c r="D244" s="108" t="s">
        <v>2717</v>
      </c>
      <c r="E244" s="108" t="s">
        <v>663</v>
      </c>
      <c r="F244" s="108">
        <v>0.0</v>
      </c>
      <c r="G244" s="110">
        <v>2.96419E11</v>
      </c>
      <c r="H244" s="111" t="s">
        <v>1003</v>
      </c>
      <c r="I244" s="111">
        <v>3366.0</v>
      </c>
      <c r="J244" s="111" t="s">
        <v>1003</v>
      </c>
      <c r="K244" s="108" t="s">
        <v>1003</v>
      </c>
      <c r="L244" s="112" t="s">
        <v>2718</v>
      </c>
      <c r="M244" s="106">
        <v>11795.0</v>
      </c>
      <c r="N244" s="113">
        <v>0.0</v>
      </c>
      <c r="O244" s="114">
        <v>37962.0</v>
      </c>
      <c r="P244" s="106" t="s">
        <v>60</v>
      </c>
      <c r="Q244" s="45" t="s">
        <v>1006</v>
      </c>
      <c r="R244" s="45">
        <v>95.0</v>
      </c>
      <c r="S244" s="45">
        <v>2019.0</v>
      </c>
      <c r="T244" s="45">
        <v>98.0</v>
      </c>
      <c r="U244" s="45">
        <v>2021.0</v>
      </c>
      <c r="V244" s="45">
        <v>8.65</v>
      </c>
      <c r="W244" s="45">
        <v>81.5</v>
      </c>
      <c r="X244" s="45">
        <v>2025.0</v>
      </c>
      <c r="Y244" s="45">
        <v>0.0</v>
      </c>
      <c r="Z244" s="45">
        <v>0.0</v>
      </c>
      <c r="AA244" s="45" t="s">
        <v>2719</v>
      </c>
      <c r="AB244" s="45" t="s">
        <v>2720</v>
      </c>
      <c r="AC244" s="45">
        <v>8.096797649E9</v>
      </c>
      <c r="AD244" s="45">
        <v>9.703805041E9</v>
      </c>
      <c r="AE244" s="45" t="s">
        <v>664</v>
      </c>
      <c r="AF244" s="45" t="s">
        <v>75</v>
      </c>
      <c r="AG244" s="45" t="s">
        <v>2721</v>
      </c>
      <c r="AH244" s="45" t="s">
        <v>2722</v>
      </c>
      <c r="AI244" s="45">
        <v>8.84</v>
      </c>
      <c r="AJ244" s="45">
        <v>8.63</v>
      </c>
      <c r="AK244" s="45">
        <v>7.7</v>
      </c>
      <c r="AL244" s="45">
        <v>0.0</v>
      </c>
      <c r="AM244" s="45">
        <v>8.63</v>
      </c>
      <c r="AN244" s="45">
        <v>8.65</v>
      </c>
      <c r="AO244" s="45" t="s">
        <v>27</v>
      </c>
      <c r="AQ244" s="45" t="s">
        <v>1011</v>
      </c>
      <c r="AT244" s="45" t="s">
        <v>1012</v>
      </c>
    </row>
    <row r="245">
      <c r="A245" s="107"/>
      <c r="B245" s="108" t="s">
        <v>665</v>
      </c>
      <c r="C245" s="109" t="s">
        <v>2723</v>
      </c>
      <c r="D245" s="108" t="s">
        <v>2724</v>
      </c>
      <c r="E245" s="108" t="s">
        <v>666</v>
      </c>
      <c r="F245" s="108">
        <v>0.0</v>
      </c>
      <c r="G245" s="110">
        <v>5.80809E11</v>
      </c>
      <c r="H245" s="111" t="s">
        <v>1003</v>
      </c>
      <c r="I245" s="111" t="s">
        <v>1003</v>
      </c>
      <c r="J245" s="111" t="s">
        <v>1003</v>
      </c>
      <c r="K245" s="108" t="s">
        <v>1003</v>
      </c>
      <c r="L245" s="112" t="s">
        <v>2725</v>
      </c>
      <c r="M245" s="106">
        <v>16061.0</v>
      </c>
      <c r="N245" s="113">
        <v>0.0</v>
      </c>
      <c r="O245" s="114">
        <v>37899.0</v>
      </c>
      <c r="P245" s="106" t="s">
        <v>46</v>
      </c>
      <c r="Q245" s="45" t="s">
        <v>1006</v>
      </c>
      <c r="R245" s="45">
        <v>78.0</v>
      </c>
      <c r="S245" s="45">
        <v>2019.0</v>
      </c>
      <c r="T245" s="45">
        <v>61.0</v>
      </c>
      <c r="U245" s="45">
        <v>2021.0</v>
      </c>
      <c r="V245" s="45">
        <v>0.0</v>
      </c>
      <c r="W245" s="45">
        <v>-5.0</v>
      </c>
      <c r="X245" s="45">
        <v>2025.0</v>
      </c>
      <c r="Y245" s="45">
        <v>8.0</v>
      </c>
      <c r="Z245" s="45">
        <v>10.0</v>
      </c>
      <c r="AA245" s="45" t="s">
        <v>2726</v>
      </c>
      <c r="AB245" s="45" t="s">
        <v>2727</v>
      </c>
      <c r="AC245" s="45">
        <v>9.059671722E9</v>
      </c>
      <c r="AD245" s="45">
        <v>9.44066422E9</v>
      </c>
      <c r="AE245" s="45">
        <v>0.0</v>
      </c>
      <c r="AF245" s="45">
        <v>0.0</v>
      </c>
      <c r="AG245" s="45" t="s">
        <v>2728</v>
      </c>
      <c r="AH245" s="45" t="s">
        <v>2729</v>
      </c>
      <c r="AI245" s="45">
        <v>0.0</v>
      </c>
      <c r="AJ245" s="45">
        <v>0.0</v>
      </c>
      <c r="AK245" s="45">
        <v>0.0</v>
      </c>
      <c r="AL245" s="45">
        <v>0.0</v>
      </c>
      <c r="AM245" s="45">
        <v>4.9</v>
      </c>
      <c r="AN245" s="45">
        <v>0.0</v>
      </c>
      <c r="AO245" s="45" t="s">
        <v>27</v>
      </c>
      <c r="AQ245" s="45" t="s">
        <v>1011</v>
      </c>
      <c r="AT245" s="45" t="s">
        <v>1012</v>
      </c>
    </row>
    <row r="246">
      <c r="A246" s="107"/>
      <c r="B246" s="108" t="s">
        <v>667</v>
      </c>
      <c r="C246" s="109" t="s">
        <v>2730</v>
      </c>
      <c r="D246" s="108" t="s">
        <v>2731</v>
      </c>
      <c r="E246" s="108" t="s">
        <v>668</v>
      </c>
      <c r="F246" s="108">
        <v>0.0</v>
      </c>
      <c r="G246" s="110">
        <v>9.87542E11</v>
      </c>
      <c r="H246" s="111" t="s">
        <v>1003</v>
      </c>
      <c r="I246" s="111" t="s">
        <v>1003</v>
      </c>
      <c r="J246" s="111" t="s">
        <v>1003</v>
      </c>
      <c r="K246" s="108" t="s">
        <v>1003</v>
      </c>
      <c r="L246" s="112" t="s">
        <v>2732</v>
      </c>
      <c r="M246" s="106">
        <v>9253.0</v>
      </c>
      <c r="N246" s="113">
        <v>0.0</v>
      </c>
      <c r="O246" s="114">
        <v>37961.0</v>
      </c>
      <c r="P246" s="106" t="s">
        <v>60</v>
      </c>
      <c r="Q246" s="45" t="s">
        <v>1006</v>
      </c>
      <c r="R246" s="45">
        <v>95.0</v>
      </c>
      <c r="S246" s="45">
        <v>2019.0</v>
      </c>
      <c r="T246" s="45">
        <v>99.2</v>
      </c>
      <c r="U246" s="45">
        <v>2021.0</v>
      </c>
      <c r="V246" s="45">
        <v>8.44</v>
      </c>
      <c r="W246" s="45">
        <v>79.4</v>
      </c>
      <c r="X246" s="45">
        <v>2025.0</v>
      </c>
      <c r="Y246" s="45">
        <v>0.0</v>
      </c>
      <c r="Z246" s="45">
        <v>0.0</v>
      </c>
      <c r="AA246" s="45" t="s">
        <v>2733</v>
      </c>
      <c r="AB246" s="45" t="s">
        <v>2734</v>
      </c>
      <c r="AC246" s="45">
        <v>8.00832965E9</v>
      </c>
      <c r="AD246" s="45">
        <v>9.17766005E9</v>
      </c>
      <c r="AE246" s="45" t="s">
        <v>670</v>
      </c>
      <c r="AF246" s="45" t="s">
        <v>2735</v>
      </c>
      <c r="AG246" s="45" t="s">
        <v>2736</v>
      </c>
      <c r="AH246" s="45" t="s">
        <v>2737</v>
      </c>
      <c r="AI246" s="45">
        <v>8.11</v>
      </c>
      <c r="AJ246" s="45">
        <v>8.41</v>
      </c>
      <c r="AK246" s="45">
        <v>7.89</v>
      </c>
      <c r="AL246" s="45">
        <v>0.0</v>
      </c>
      <c r="AM246" s="45">
        <v>8.29</v>
      </c>
      <c r="AN246" s="45">
        <v>8.44</v>
      </c>
      <c r="AO246" s="45" t="s">
        <v>27</v>
      </c>
      <c r="AQ246" s="45" t="s">
        <v>1011</v>
      </c>
      <c r="AT246" s="45" t="s">
        <v>1012</v>
      </c>
    </row>
    <row r="247">
      <c r="A247" s="107"/>
      <c r="B247" s="108" t="s">
        <v>671</v>
      </c>
      <c r="C247" s="109" t="s">
        <v>2738</v>
      </c>
      <c r="D247" s="108" t="s">
        <v>2739</v>
      </c>
      <c r="E247" s="108" t="s">
        <v>672</v>
      </c>
      <c r="F247" s="108">
        <v>0.0</v>
      </c>
      <c r="G247" s="110">
        <v>9.1468E11</v>
      </c>
      <c r="H247" s="111" t="s">
        <v>1003</v>
      </c>
      <c r="I247" s="111" t="s">
        <v>1003</v>
      </c>
      <c r="J247" s="111" t="s">
        <v>1003</v>
      </c>
      <c r="K247" s="108" t="s">
        <v>1003</v>
      </c>
      <c r="L247" s="112" t="s">
        <v>2740</v>
      </c>
      <c r="M247" s="106">
        <v>17645.0</v>
      </c>
      <c r="N247" s="113">
        <v>0.0</v>
      </c>
      <c r="O247" s="106" t="s">
        <v>2741</v>
      </c>
      <c r="P247" s="106" t="s">
        <v>46</v>
      </c>
      <c r="Q247" s="45" t="s">
        <v>1006</v>
      </c>
      <c r="R247" s="45">
        <v>92.0</v>
      </c>
      <c r="S247" s="45">
        <v>2019.0</v>
      </c>
      <c r="T247" s="45">
        <v>96.0</v>
      </c>
      <c r="U247" s="45">
        <v>2021.0</v>
      </c>
      <c r="V247" s="45">
        <v>7.46</v>
      </c>
      <c r="W247" s="45">
        <v>69.6</v>
      </c>
      <c r="X247" s="45">
        <v>2025.0</v>
      </c>
      <c r="Y247" s="45">
        <v>0.0</v>
      </c>
      <c r="Z247" s="45">
        <v>0.0</v>
      </c>
      <c r="AA247" s="45" t="s">
        <v>2742</v>
      </c>
      <c r="AB247" s="45" t="s">
        <v>2743</v>
      </c>
      <c r="AC247" s="45">
        <v>8.309359937E9</v>
      </c>
      <c r="AD247" s="45">
        <v>9.010454788E9</v>
      </c>
      <c r="AE247" s="45">
        <v>0.0</v>
      </c>
      <c r="AF247" s="45">
        <v>0.0</v>
      </c>
      <c r="AG247" s="45" t="s">
        <v>2744</v>
      </c>
      <c r="AH247" s="45" t="s">
        <v>2745</v>
      </c>
      <c r="AI247" s="45">
        <v>7.49</v>
      </c>
      <c r="AJ247" s="45">
        <v>7.61</v>
      </c>
      <c r="AK247" s="45">
        <v>6.64</v>
      </c>
      <c r="AL247" s="45">
        <v>0.0</v>
      </c>
      <c r="AM247" s="45">
        <v>7.43</v>
      </c>
      <c r="AN247" s="45">
        <v>7.46</v>
      </c>
      <c r="AO247" s="45" t="s">
        <v>27</v>
      </c>
      <c r="AQ247" s="45" t="s">
        <v>1011</v>
      </c>
      <c r="AT247" s="45" t="s">
        <v>1028</v>
      </c>
    </row>
    <row r="248">
      <c r="A248" s="107"/>
      <c r="B248" s="108" t="s">
        <v>673</v>
      </c>
      <c r="C248" s="109" t="s">
        <v>2746</v>
      </c>
      <c r="D248" s="108" t="s">
        <v>2747</v>
      </c>
      <c r="E248" s="108" t="s">
        <v>674</v>
      </c>
      <c r="F248" s="108">
        <v>0.0</v>
      </c>
      <c r="G248" s="110">
        <v>7.50226E11</v>
      </c>
      <c r="H248" s="111" t="s">
        <v>1003</v>
      </c>
      <c r="I248" s="111">
        <v>13711.0</v>
      </c>
      <c r="J248" s="111">
        <v>14309.0</v>
      </c>
      <c r="K248" s="108">
        <v>14732.0</v>
      </c>
      <c r="L248" s="112" t="s">
        <v>1123</v>
      </c>
      <c r="M248" s="106">
        <v>12323.0</v>
      </c>
      <c r="N248" s="113">
        <v>0.0</v>
      </c>
      <c r="O248" s="114">
        <v>38117.0</v>
      </c>
      <c r="P248" s="106" t="s">
        <v>46</v>
      </c>
      <c r="Q248" s="45" t="s">
        <v>1006</v>
      </c>
      <c r="R248" s="45">
        <v>98.0</v>
      </c>
      <c r="S248" s="45">
        <v>2019.0</v>
      </c>
      <c r="T248" s="45">
        <v>94.6</v>
      </c>
      <c r="U248" s="45">
        <v>2021.0</v>
      </c>
      <c r="V248" s="45">
        <v>8.4</v>
      </c>
      <c r="W248" s="45">
        <v>79.0</v>
      </c>
      <c r="X248" s="45">
        <v>2025.0</v>
      </c>
      <c r="Y248" s="45">
        <v>0.0</v>
      </c>
      <c r="Z248" s="45">
        <v>0.0</v>
      </c>
      <c r="AA248" s="45" t="s">
        <v>2748</v>
      </c>
      <c r="AB248" s="45" t="s">
        <v>2749</v>
      </c>
      <c r="AC248" s="45">
        <v>7.995639636E9</v>
      </c>
      <c r="AD248" s="45">
        <v>9.441512359E9</v>
      </c>
      <c r="AE248" s="45" t="s">
        <v>125</v>
      </c>
      <c r="AF248" s="45" t="s">
        <v>349</v>
      </c>
      <c r="AG248" s="45" t="s">
        <v>2750</v>
      </c>
      <c r="AH248" s="45" t="s">
        <v>2751</v>
      </c>
      <c r="AI248" s="45">
        <v>8.38</v>
      </c>
      <c r="AJ248" s="45">
        <v>8.9</v>
      </c>
      <c r="AK248" s="45">
        <v>8.0</v>
      </c>
      <c r="AL248" s="45">
        <v>0.0</v>
      </c>
      <c r="AM248" s="45">
        <v>8.37</v>
      </c>
      <c r="AN248" s="45">
        <v>8.4</v>
      </c>
      <c r="AO248" s="45" t="s">
        <v>27</v>
      </c>
      <c r="AQ248" s="45" t="s">
        <v>1011</v>
      </c>
      <c r="AT248" s="45" t="s">
        <v>1012</v>
      </c>
    </row>
    <row r="249">
      <c r="A249" s="107"/>
      <c r="B249" s="108" t="s">
        <v>676</v>
      </c>
      <c r="C249" s="109" t="s">
        <v>2752</v>
      </c>
      <c r="D249" s="108" t="s">
        <v>2753</v>
      </c>
      <c r="E249" s="108" t="s">
        <v>677</v>
      </c>
      <c r="F249" s="108">
        <v>0.0</v>
      </c>
      <c r="G249" s="110">
        <v>2.59656E11</v>
      </c>
      <c r="H249" s="111" t="s">
        <v>1003</v>
      </c>
      <c r="I249" s="111">
        <v>4996.0</v>
      </c>
      <c r="J249" s="111" t="s">
        <v>1003</v>
      </c>
      <c r="K249" s="108" t="s">
        <v>1003</v>
      </c>
      <c r="L249" s="112" t="s">
        <v>1047</v>
      </c>
      <c r="M249" s="106">
        <v>7819.0</v>
      </c>
      <c r="N249" s="113">
        <v>0.0</v>
      </c>
      <c r="O249" s="106" t="s">
        <v>2754</v>
      </c>
      <c r="P249" s="106" t="s">
        <v>60</v>
      </c>
      <c r="Q249" s="45" t="s">
        <v>1006</v>
      </c>
      <c r="R249" s="45">
        <v>98.0</v>
      </c>
      <c r="S249" s="45">
        <v>2019.0</v>
      </c>
      <c r="T249" s="45">
        <v>98.8</v>
      </c>
      <c r="U249" s="45">
        <v>2021.0</v>
      </c>
      <c r="V249" s="45">
        <v>9.0</v>
      </c>
      <c r="W249" s="45">
        <v>85.0</v>
      </c>
      <c r="X249" s="45">
        <v>2025.0</v>
      </c>
      <c r="Y249" s="45">
        <v>0.0</v>
      </c>
      <c r="Z249" s="45">
        <v>0.0</v>
      </c>
      <c r="AA249" s="45" t="s">
        <v>2755</v>
      </c>
      <c r="AB249" s="45" t="s">
        <v>2756</v>
      </c>
      <c r="AC249" s="45">
        <v>9.676293067E9</v>
      </c>
      <c r="AD249" s="45">
        <v>9.948383067E9</v>
      </c>
      <c r="AE249" s="45" t="s">
        <v>678</v>
      </c>
      <c r="AF249" s="45">
        <v>0.0</v>
      </c>
      <c r="AG249" s="45" t="s">
        <v>2757</v>
      </c>
      <c r="AH249" s="45" t="s">
        <v>2758</v>
      </c>
      <c r="AI249" s="45">
        <v>9.43</v>
      </c>
      <c r="AJ249" s="45">
        <v>9.17</v>
      </c>
      <c r="AK249" s="45">
        <v>8.68</v>
      </c>
      <c r="AL249" s="45">
        <v>0.0</v>
      </c>
      <c r="AM249" s="45">
        <v>9.04</v>
      </c>
      <c r="AN249" s="45">
        <v>9.0</v>
      </c>
      <c r="AO249" s="45" t="s">
        <v>28</v>
      </c>
      <c r="AQ249" s="45" t="s">
        <v>1011</v>
      </c>
      <c r="AT249" s="45" t="s">
        <v>1028</v>
      </c>
    </row>
    <row r="250">
      <c r="A250" s="107"/>
      <c r="B250" s="108" t="s">
        <v>679</v>
      </c>
      <c r="C250" s="109" t="s">
        <v>2759</v>
      </c>
      <c r="D250" s="108" t="s">
        <v>2760</v>
      </c>
      <c r="E250" s="108" t="s">
        <v>680</v>
      </c>
      <c r="F250" s="108">
        <v>0.0</v>
      </c>
      <c r="G250" s="110">
        <v>2.7974E11</v>
      </c>
      <c r="H250" s="111" t="s">
        <v>1003</v>
      </c>
      <c r="I250" s="111" t="s">
        <v>1003</v>
      </c>
      <c r="J250" s="111" t="s">
        <v>1003</v>
      </c>
      <c r="K250" s="108" t="s">
        <v>1003</v>
      </c>
      <c r="L250" s="112" t="s">
        <v>2761</v>
      </c>
      <c r="M250" s="106">
        <v>8948.0</v>
      </c>
      <c r="N250" s="113">
        <v>0.0</v>
      </c>
      <c r="O250" s="114">
        <v>38176.0</v>
      </c>
      <c r="P250" s="106" t="s">
        <v>46</v>
      </c>
      <c r="Q250" s="45" t="s">
        <v>1006</v>
      </c>
      <c r="R250" s="45">
        <v>98.0</v>
      </c>
      <c r="S250" s="45">
        <v>2019.0</v>
      </c>
      <c r="T250" s="45">
        <v>97.0</v>
      </c>
      <c r="U250" s="45">
        <v>2021.0</v>
      </c>
      <c r="V250" s="45">
        <v>8.25</v>
      </c>
      <c r="W250" s="45">
        <v>77.5</v>
      </c>
      <c r="X250" s="45">
        <v>2025.0</v>
      </c>
      <c r="Y250" s="45">
        <v>0.0</v>
      </c>
      <c r="Z250" s="45">
        <v>0.0</v>
      </c>
      <c r="AA250" s="45" t="s">
        <v>2762</v>
      </c>
      <c r="AB250" s="45" t="s">
        <v>2763</v>
      </c>
      <c r="AC250" s="45">
        <v>9.553002435E9</v>
      </c>
      <c r="AD250" s="45">
        <v>9.848008055E9</v>
      </c>
      <c r="AE250" s="45" t="s">
        <v>681</v>
      </c>
      <c r="AF250" s="45" t="s">
        <v>75</v>
      </c>
      <c r="AG250" s="45" t="s">
        <v>2764</v>
      </c>
      <c r="AH250" s="45" t="s">
        <v>2765</v>
      </c>
      <c r="AI250" s="45">
        <v>9.08</v>
      </c>
      <c r="AJ250" s="45">
        <v>8.54</v>
      </c>
      <c r="AK250" s="45">
        <v>8.05</v>
      </c>
      <c r="AL250" s="45">
        <v>0.0</v>
      </c>
      <c r="AM250" s="45">
        <v>8.29</v>
      </c>
      <c r="AN250" s="45">
        <v>8.25</v>
      </c>
      <c r="AO250" s="45" t="s">
        <v>28</v>
      </c>
      <c r="AQ250" s="45" t="s">
        <v>1011</v>
      </c>
      <c r="AT250" s="45" t="s">
        <v>1028</v>
      </c>
    </row>
    <row r="251">
      <c r="A251" s="107"/>
      <c r="B251" s="108" t="s">
        <v>682</v>
      </c>
      <c r="C251" s="109" t="s">
        <v>737</v>
      </c>
      <c r="D251" s="108" t="s">
        <v>2766</v>
      </c>
      <c r="E251" s="108" t="s">
        <v>683</v>
      </c>
      <c r="F251" s="108">
        <v>0.0</v>
      </c>
      <c r="G251" s="110">
        <v>2.91847E11</v>
      </c>
      <c r="H251" s="111" t="s">
        <v>1003</v>
      </c>
      <c r="I251" s="111" t="s">
        <v>1003</v>
      </c>
      <c r="J251" s="111" t="s">
        <v>1003</v>
      </c>
      <c r="K251" s="108" t="s">
        <v>1003</v>
      </c>
      <c r="L251" s="112" t="s">
        <v>2767</v>
      </c>
      <c r="M251" s="106">
        <v>4553.0</v>
      </c>
      <c r="N251" s="113">
        <v>0.0</v>
      </c>
      <c r="O251" s="106" t="s">
        <v>2768</v>
      </c>
      <c r="P251" s="106" t="s">
        <v>60</v>
      </c>
      <c r="Q251" s="45" t="s">
        <v>1006</v>
      </c>
      <c r="R251" s="45">
        <v>100.0</v>
      </c>
      <c r="S251" s="45">
        <v>2019.0</v>
      </c>
      <c r="T251" s="45">
        <v>97.7</v>
      </c>
      <c r="U251" s="45">
        <v>2021.0</v>
      </c>
      <c r="V251" s="45">
        <v>8.83</v>
      </c>
      <c r="W251" s="45">
        <v>83.3</v>
      </c>
      <c r="X251" s="45">
        <v>2025.0</v>
      </c>
      <c r="Y251" s="45">
        <v>0.0</v>
      </c>
      <c r="Z251" s="45">
        <v>0.0</v>
      </c>
      <c r="AA251" s="45" t="s">
        <v>2769</v>
      </c>
      <c r="AB251" s="45" t="s">
        <v>2770</v>
      </c>
      <c r="AC251" s="45">
        <v>9.550898731E9</v>
      </c>
      <c r="AD251" s="45">
        <v>9.44101328E9</v>
      </c>
      <c r="AE251" s="45" t="s">
        <v>684</v>
      </c>
      <c r="AF251" s="45">
        <v>0.0</v>
      </c>
      <c r="AG251" s="45" t="s">
        <v>2771</v>
      </c>
      <c r="AH251" s="45" t="s">
        <v>2772</v>
      </c>
      <c r="AI251" s="45">
        <v>9.05</v>
      </c>
      <c r="AJ251" s="45">
        <v>8.9</v>
      </c>
      <c r="AK251" s="45">
        <v>8.61</v>
      </c>
      <c r="AL251" s="45">
        <v>0.0</v>
      </c>
      <c r="AM251" s="45">
        <v>8.83</v>
      </c>
      <c r="AN251" s="45">
        <v>8.83</v>
      </c>
      <c r="AO251" s="45" t="s">
        <v>27</v>
      </c>
      <c r="AQ251" s="45" t="s">
        <v>1011</v>
      </c>
      <c r="AT251" s="45" t="s">
        <v>1028</v>
      </c>
    </row>
    <row r="252">
      <c r="A252" s="107"/>
      <c r="B252" s="108" t="s">
        <v>685</v>
      </c>
      <c r="C252" s="109" t="s">
        <v>2773</v>
      </c>
      <c r="D252" s="108" t="s">
        <v>2774</v>
      </c>
      <c r="E252" s="108" t="s">
        <v>686</v>
      </c>
      <c r="F252" s="108">
        <v>0.0</v>
      </c>
      <c r="G252" s="110">
        <v>4.49828E11</v>
      </c>
      <c r="H252" s="111" t="s">
        <v>1003</v>
      </c>
      <c r="I252" s="111">
        <v>10280.0</v>
      </c>
      <c r="J252" s="111">
        <v>11240.0</v>
      </c>
      <c r="K252" s="108">
        <v>11590.0</v>
      </c>
      <c r="L252" s="112" t="s">
        <v>2775</v>
      </c>
      <c r="M252" s="106">
        <v>0.0</v>
      </c>
      <c r="N252" s="113">
        <v>0.0</v>
      </c>
      <c r="O252" s="114">
        <v>38203.0</v>
      </c>
      <c r="P252" s="106" t="s">
        <v>46</v>
      </c>
      <c r="Q252" s="45" t="s">
        <v>1006</v>
      </c>
      <c r="R252" s="45">
        <v>93.1</v>
      </c>
      <c r="S252" s="45">
        <v>2019.0</v>
      </c>
      <c r="T252" s="45">
        <v>93.6</v>
      </c>
      <c r="U252" s="45">
        <v>2021.0</v>
      </c>
      <c r="V252" s="45">
        <v>8.0</v>
      </c>
      <c r="W252" s="45">
        <v>75.0</v>
      </c>
      <c r="X252" s="45">
        <v>2025.0</v>
      </c>
      <c r="Y252" s="45">
        <v>0.0</v>
      </c>
      <c r="Z252" s="45">
        <v>0.0</v>
      </c>
      <c r="AA252" s="45" t="s">
        <v>2776</v>
      </c>
      <c r="AB252" s="45" t="s">
        <v>2777</v>
      </c>
      <c r="AC252" s="45">
        <v>7.673921065E9</v>
      </c>
      <c r="AD252" s="45">
        <v>9.849181065E9</v>
      </c>
      <c r="AE252" s="45" t="s">
        <v>210</v>
      </c>
      <c r="AF252" s="45">
        <v>0.0</v>
      </c>
      <c r="AG252" s="45" t="s">
        <v>2778</v>
      </c>
      <c r="AH252" s="45" t="s">
        <v>2779</v>
      </c>
      <c r="AI252" s="45">
        <v>8.62</v>
      </c>
      <c r="AJ252" s="45">
        <v>8.34</v>
      </c>
      <c r="AK252" s="45">
        <v>7.86</v>
      </c>
      <c r="AL252" s="45">
        <v>0.0</v>
      </c>
      <c r="AM252" s="45">
        <v>8.0</v>
      </c>
      <c r="AN252" s="45">
        <v>8.0</v>
      </c>
      <c r="AO252" s="45" t="s">
        <v>27</v>
      </c>
      <c r="AQ252" s="45" t="s">
        <v>1011</v>
      </c>
      <c r="AT252" s="45" t="s">
        <v>1012</v>
      </c>
    </row>
    <row r="253">
      <c r="A253" s="107"/>
      <c r="B253" s="108" t="s">
        <v>688</v>
      </c>
      <c r="C253" s="109" t="s">
        <v>2780</v>
      </c>
      <c r="D253" s="108" t="s">
        <v>2781</v>
      </c>
      <c r="E253" s="108" t="s">
        <v>689</v>
      </c>
      <c r="F253" s="108">
        <v>0.0</v>
      </c>
      <c r="G253" s="110">
        <v>5.01017E11</v>
      </c>
      <c r="H253" s="111" t="s">
        <v>1003</v>
      </c>
      <c r="I253" s="111" t="s">
        <v>1003</v>
      </c>
      <c r="J253" s="111" t="s">
        <v>1003</v>
      </c>
      <c r="K253" s="108" t="s">
        <v>1003</v>
      </c>
      <c r="L253" s="112" t="s">
        <v>2782</v>
      </c>
      <c r="M253" s="106">
        <v>0.0</v>
      </c>
      <c r="N253" s="113">
        <v>0.0</v>
      </c>
      <c r="O253" s="106" t="s">
        <v>2783</v>
      </c>
      <c r="P253" s="106" t="s">
        <v>46</v>
      </c>
      <c r="Q253" s="45" t="s">
        <v>1006</v>
      </c>
      <c r="R253" s="45">
        <v>95.0</v>
      </c>
      <c r="S253" s="45">
        <v>2018.0</v>
      </c>
      <c r="T253" s="45">
        <v>77.0</v>
      </c>
      <c r="U253" s="45">
        <v>2020.0</v>
      </c>
      <c r="V253" s="45">
        <v>7.42</v>
      </c>
      <c r="W253" s="45">
        <v>69.2</v>
      </c>
      <c r="X253" s="45">
        <v>2025.0</v>
      </c>
      <c r="Y253" s="45">
        <v>0.0</v>
      </c>
      <c r="Z253" s="45">
        <v>0.0</v>
      </c>
      <c r="AA253" s="45" t="s">
        <v>2784</v>
      </c>
      <c r="AB253" s="45" t="s">
        <v>2785</v>
      </c>
      <c r="AC253" s="45">
        <v>9.491337071E9</v>
      </c>
      <c r="AD253" s="45">
        <v>7.396223344E9</v>
      </c>
      <c r="AE253" s="45" t="s">
        <v>48</v>
      </c>
      <c r="AF253" s="45">
        <v>0.0</v>
      </c>
      <c r="AG253" s="45" t="s">
        <v>2786</v>
      </c>
      <c r="AH253" s="45" t="s">
        <v>2787</v>
      </c>
      <c r="AI253" s="45">
        <v>7.57</v>
      </c>
      <c r="AJ253" s="45">
        <v>7.12</v>
      </c>
      <c r="AK253" s="45">
        <v>7.32</v>
      </c>
      <c r="AL253" s="45">
        <v>0.0</v>
      </c>
      <c r="AM253" s="45">
        <v>7.35</v>
      </c>
      <c r="AN253" s="45">
        <v>7.42</v>
      </c>
      <c r="AO253" s="45" t="s">
        <v>27</v>
      </c>
      <c r="AQ253" s="45" t="s">
        <v>1011</v>
      </c>
      <c r="AT253" s="45" t="s">
        <v>1028</v>
      </c>
    </row>
    <row r="254">
      <c r="A254" s="107"/>
      <c r="B254" s="108" t="s">
        <v>691</v>
      </c>
      <c r="C254" s="109" t="s">
        <v>2788</v>
      </c>
      <c r="D254" s="108" t="s">
        <v>2789</v>
      </c>
      <c r="E254" s="108" t="s">
        <v>692</v>
      </c>
      <c r="F254" s="108">
        <v>0.0</v>
      </c>
      <c r="G254" s="110">
        <v>3.56178E11</v>
      </c>
      <c r="H254" s="111" t="s">
        <v>1003</v>
      </c>
      <c r="I254" s="111" t="s">
        <v>1003</v>
      </c>
      <c r="J254" s="111" t="s">
        <v>1003</v>
      </c>
      <c r="K254" s="108" t="s">
        <v>1003</v>
      </c>
      <c r="L254" s="112" t="s">
        <v>2790</v>
      </c>
      <c r="M254" s="106">
        <v>25204.0</v>
      </c>
      <c r="N254" s="113">
        <v>0.0</v>
      </c>
      <c r="O254" s="114">
        <v>37629.0</v>
      </c>
      <c r="P254" s="106" t="s">
        <v>46</v>
      </c>
      <c r="Q254" s="45" t="s">
        <v>1006</v>
      </c>
      <c r="R254" s="45">
        <v>95.0</v>
      </c>
      <c r="S254" s="45">
        <v>2019.0</v>
      </c>
      <c r="T254" s="45">
        <v>52.6</v>
      </c>
      <c r="U254" s="45">
        <v>2021.0</v>
      </c>
      <c r="V254" s="45">
        <v>7.03</v>
      </c>
      <c r="W254" s="45">
        <v>65.3</v>
      </c>
      <c r="X254" s="45">
        <v>2025.0</v>
      </c>
      <c r="Y254" s="45">
        <v>0.0</v>
      </c>
      <c r="Z254" s="45">
        <v>1.0</v>
      </c>
      <c r="AA254" s="45" t="s">
        <v>2791</v>
      </c>
      <c r="AB254" s="45" t="s">
        <v>2792</v>
      </c>
      <c r="AC254" s="45">
        <v>9.398053269E9</v>
      </c>
      <c r="AD254" s="45">
        <v>9.493899374E9</v>
      </c>
      <c r="AE254" s="45">
        <v>0.0</v>
      </c>
      <c r="AF254" s="45">
        <v>0.0</v>
      </c>
      <c r="AG254" s="45" t="s">
        <v>2793</v>
      </c>
      <c r="AH254" s="45" t="s">
        <v>2794</v>
      </c>
      <c r="AI254" s="45">
        <v>7.32</v>
      </c>
      <c r="AJ254" s="45">
        <v>0.0</v>
      </c>
      <c r="AK254" s="45">
        <v>6.95</v>
      </c>
      <c r="AL254" s="45">
        <v>6.97</v>
      </c>
      <c r="AM254" s="45">
        <v>6.72</v>
      </c>
      <c r="AN254" s="45">
        <v>7.03</v>
      </c>
      <c r="AO254" s="45" t="s">
        <v>27</v>
      </c>
      <c r="AQ254" s="45" t="s">
        <v>1011</v>
      </c>
      <c r="AT254" s="45" t="s">
        <v>1012</v>
      </c>
    </row>
    <row r="255">
      <c r="A255" s="107"/>
      <c r="B255" s="108" t="s">
        <v>693</v>
      </c>
      <c r="C255" s="109" t="s">
        <v>2795</v>
      </c>
      <c r="D255" s="108" t="s">
        <v>2796</v>
      </c>
      <c r="E255" s="108" t="s">
        <v>694</v>
      </c>
      <c r="F255" s="108">
        <v>0.0</v>
      </c>
      <c r="G255" s="110">
        <v>7.44347E11</v>
      </c>
      <c r="H255" s="111" t="s">
        <v>1003</v>
      </c>
      <c r="I255" s="111">
        <v>6096.0</v>
      </c>
      <c r="J255" s="111">
        <v>10218.0</v>
      </c>
      <c r="K255" s="108">
        <v>12236.0</v>
      </c>
      <c r="L255" s="112" t="s">
        <v>1774</v>
      </c>
      <c r="M255" s="106">
        <v>14680.0</v>
      </c>
      <c r="N255" s="113">
        <v>0.0</v>
      </c>
      <c r="O255" s="106" t="s">
        <v>1551</v>
      </c>
      <c r="P255" s="106" t="s">
        <v>60</v>
      </c>
      <c r="Q255" s="45" t="s">
        <v>1006</v>
      </c>
      <c r="R255" s="45">
        <v>93.0</v>
      </c>
      <c r="S255" s="45">
        <v>2019.0</v>
      </c>
      <c r="T255" s="45">
        <v>94.6</v>
      </c>
      <c r="U255" s="45">
        <v>2021.0</v>
      </c>
      <c r="V255" s="45">
        <v>8.47</v>
      </c>
      <c r="W255" s="45">
        <v>79.7</v>
      </c>
      <c r="X255" s="45">
        <v>2025.0</v>
      </c>
      <c r="Y255" s="45">
        <v>0.0</v>
      </c>
      <c r="Z255" s="45">
        <v>0.0</v>
      </c>
      <c r="AA255" s="45" t="s">
        <v>2797</v>
      </c>
      <c r="AB255" s="45" t="s">
        <v>2798</v>
      </c>
      <c r="AC255" s="45">
        <v>8.688670209E9</v>
      </c>
      <c r="AD255" s="45">
        <v>9.182840554E9</v>
      </c>
      <c r="AE255" s="45" t="s">
        <v>278</v>
      </c>
      <c r="AF255" s="45">
        <v>0.0</v>
      </c>
      <c r="AG255" s="45" t="s">
        <v>2799</v>
      </c>
      <c r="AH255" s="45" t="s">
        <v>2800</v>
      </c>
      <c r="AI255" s="45">
        <v>8.65</v>
      </c>
      <c r="AJ255" s="45">
        <v>7.98</v>
      </c>
      <c r="AK255" s="45">
        <v>7.91</v>
      </c>
      <c r="AL255" s="45">
        <v>0.0</v>
      </c>
      <c r="AM255" s="45">
        <v>8.38</v>
      </c>
      <c r="AN255" s="45">
        <v>8.47</v>
      </c>
      <c r="AO255" s="45" t="s">
        <v>27</v>
      </c>
      <c r="AQ255" s="45" t="s">
        <v>1011</v>
      </c>
      <c r="AT255" s="45" t="s">
        <v>1012</v>
      </c>
    </row>
    <row r="256">
      <c r="A256" s="107"/>
      <c r="B256" s="108" t="s">
        <v>695</v>
      </c>
      <c r="C256" s="109" t="s">
        <v>2801</v>
      </c>
      <c r="D256" s="108" t="s">
        <v>2802</v>
      </c>
      <c r="E256" s="108" t="s">
        <v>696</v>
      </c>
      <c r="F256" s="108">
        <v>0.0</v>
      </c>
      <c r="G256" s="110">
        <v>6.25433E11</v>
      </c>
      <c r="H256" s="111" t="s">
        <v>1003</v>
      </c>
      <c r="I256" s="111" t="s">
        <v>1003</v>
      </c>
      <c r="J256" s="111" t="s">
        <v>1003</v>
      </c>
      <c r="K256" s="108" t="s">
        <v>1003</v>
      </c>
      <c r="L256" s="112" t="s">
        <v>2803</v>
      </c>
      <c r="M256" s="106">
        <v>0.0</v>
      </c>
      <c r="N256" s="113">
        <v>0.0</v>
      </c>
      <c r="O256" s="114">
        <v>38058.0</v>
      </c>
      <c r="P256" s="106" t="s">
        <v>60</v>
      </c>
      <c r="Q256" s="45" t="s">
        <v>1006</v>
      </c>
      <c r="R256" s="45">
        <v>93.0</v>
      </c>
      <c r="S256" s="45">
        <v>2019.0</v>
      </c>
      <c r="T256" s="45">
        <v>79.4</v>
      </c>
      <c r="U256" s="45">
        <v>2021.0</v>
      </c>
      <c r="V256" s="45">
        <v>7.76</v>
      </c>
      <c r="W256" s="45">
        <v>72.6</v>
      </c>
      <c r="X256" s="45">
        <v>2025.0</v>
      </c>
      <c r="Y256" s="45">
        <v>0.0</v>
      </c>
      <c r="Z256" s="45">
        <v>0.0</v>
      </c>
      <c r="AA256" s="45" t="s">
        <v>2804</v>
      </c>
      <c r="AB256" s="45" t="s">
        <v>2805</v>
      </c>
      <c r="AC256" s="45">
        <v>6.300120089E9</v>
      </c>
      <c r="AD256" s="45">
        <v>9.000144498E9</v>
      </c>
      <c r="AE256" s="45">
        <v>0.0</v>
      </c>
      <c r="AF256" s="45">
        <v>0.0</v>
      </c>
      <c r="AG256" s="45" t="s">
        <v>2806</v>
      </c>
      <c r="AH256" s="45" t="s">
        <v>2807</v>
      </c>
      <c r="AI256" s="45">
        <v>7.89</v>
      </c>
      <c r="AJ256" s="45">
        <v>7.59</v>
      </c>
      <c r="AK256" s="45">
        <v>7.7</v>
      </c>
      <c r="AL256" s="45">
        <v>0.0</v>
      </c>
      <c r="AM256" s="45">
        <v>7.68</v>
      </c>
      <c r="AN256" s="45">
        <v>7.76</v>
      </c>
      <c r="AO256" s="45" t="s">
        <v>27</v>
      </c>
      <c r="AQ256" s="45" t="s">
        <v>1011</v>
      </c>
      <c r="AT256" s="45" t="s">
        <v>1012</v>
      </c>
    </row>
    <row r="257">
      <c r="A257" s="107"/>
      <c r="B257" s="108" t="s">
        <v>697</v>
      </c>
      <c r="C257" s="109" t="s">
        <v>1598</v>
      </c>
      <c r="D257" s="108" t="s">
        <v>2808</v>
      </c>
      <c r="E257" s="108" t="s">
        <v>698</v>
      </c>
      <c r="F257" s="108">
        <v>0.0</v>
      </c>
      <c r="G257" s="110">
        <v>4.59452E11</v>
      </c>
      <c r="H257" s="111" t="s">
        <v>1003</v>
      </c>
      <c r="I257" s="111">
        <v>2673.0</v>
      </c>
      <c r="J257" s="111" t="s">
        <v>1003</v>
      </c>
      <c r="K257" s="108" t="s">
        <v>1003</v>
      </c>
      <c r="L257" s="112" t="s">
        <v>2061</v>
      </c>
      <c r="M257" s="106">
        <v>17775.0</v>
      </c>
      <c r="N257" s="113">
        <v>0.0</v>
      </c>
      <c r="O257" s="114">
        <v>38026.0</v>
      </c>
      <c r="P257" s="106" t="s">
        <v>60</v>
      </c>
      <c r="Q257" s="45" t="s">
        <v>1006</v>
      </c>
      <c r="R257" s="45">
        <v>95.0</v>
      </c>
      <c r="S257" s="45">
        <v>2019.0</v>
      </c>
      <c r="T257" s="45">
        <v>96.2</v>
      </c>
      <c r="U257" s="45">
        <v>2021.0</v>
      </c>
      <c r="V257" s="45">
        <v>8.88</v>
      </c>
      <c r="W257" s="45">
        <v>83.8</v>
      </c>
      <c r="X257" s="45">
        <v>2025.0</v>
      </c>
      <c r="Y257" s="45">
        <v>0.0</v>
      </c>
      <c r="Z257" s="45">
        <v>0.0</v>
      </c>
      <c r="AA257" s="45" t="s">
        <v>2809</v>
      </c>
      <c r="AB257" s="45" t="s">
        <v>2810</v>
      </c>
      <c r="AC257" s="45">
        <v>8.500833483E9</v>
      </c>
      <c r="AD257" s="45">
        <v>9.440793993E9</v>
      </c>
      <c r="AE257" s="45" t="s">
        <v>684</v>
      </c>
      <c r="AF257" s="45">
        <v>0.0</v>
      </c>
      <c r="AG257" s="45" t="s">
        <v>2811</v>
      </c>
      <c r="AH257" s="45" t="s">
        <v>2812</v>
      </c>
      <c r="AI257" s="45">
        <v>9.59</v>
      </c>
      <c r="AJ257" s="45">
        <v>8.56</v>
      </c>
      <c r="AK257" s="45">
        <v>8.39</v>
      </c>
      <c r="AL257" s="45">
        <v>0.0</v>
      </c>
      <c r="AM257" s="45">
        <v>8.83</v>
      </c>
      <c r="AN257" s="45">
        <v>8.88</v>
      </c>
      <c r="AO257" s="45" t="s">
        <v>27</v>
      </c>
      <c r="AQ257" s="45" t="s">
        <v>1011</v>
      </c>
      <c r="AT257" s="45" t="s">
        <v>1012</v>
      </c>
    </row>
    <row r="258">
      <c r="A258" s="107"/>
      <c r="B258" s="108" t="s">
        <v>699</v>
      </c>
      <c r="C258" s="109" t="s">
        <v>2813</v>
      </c>
      <c r="D258" s="108" t="s">
        <v>2814</v>
      </c>
      <c r="E258" s="108" t="s">
        <v>700</v>
      </c>
      <c r="F258" s="108">
        <v>0.0</v>
      </c>
      <c r="G258" s="110">
        <v>5.36946E11</v>
      </c>
      <c r="H258" s="111" t="s">
        <v>1003</v>
      </c>
      <c r="I258" s="111">
        <v>3594.0</v>
      </c>
      <c r="J258" s="111" t="s">
        <v>1003</v>
      </c>
      <c r="K258" s="108" t="s">
        <v>1003</v>
      </c>
      <c r="L258" s="112" t="s">
        <v>1774</v>
      </c>
      <c r="M258" s="106">
        <v>0.0</v>
      </c>
      <c r="N258" s="113">
        <v>0.0</v>
      </c>
      <c r="O258" s="114">
        <v>37781.0</v>
      </c>
      <c r="P258" s="106" t="s">
        <v>60</v>
      </c>
      <c r="Q258" s="45" t="s">
        <v>1006</v>
      </c>
      <c r="R258" s="45">
        <v>92.6</v>
      </c>
      <c r="S258" s="45">
        <v>2019.0</v>
      </c>
      <c r="T258" s="45">
        <v>88.0</v>
      </c>
      <c r="U258" s="45">
        <v>2021.0</v>
      </c>
      <c r="V258" s="45">
        <v>8.89</v>
      </c>
      <c r="W258" s="45">
        <v>83.9</v>
      </c>
      <c r="X258" s="45">
        <v>2025.0</v>
      </c>
      <c r="Y258" s="45">
        <v>0.0</v>
      </c>
      <c r="Z258" s="45">
        <v>0.0</v>
      </c>
      <c r="AA258" s="45" t="s">
        <v>2815</v>
      </c>
      <c r="AB258" s="45" t="s">
        <v>2816</v>
      </c>
      <c r="AC258" s="45">
        <v>9.494216012E9</v>
      </c>
      <c r="AD258" s="45">
        <v>9.440263654E9</v>
      </c>
      <c r="AE258" s="45" t="s">
        <v>701</v>
      </c>
      <c r="AF258" s="45">
        <v>0.0</v>
      </c>
      <c r="AG258" s="45" t="s">
        <v>2817</v>
      </c>
      <c r="AH258" s="45" t="s">
        <v>2818</v>
      </c>
      <c r="AI258" s="45">
        <v>8.95</v>
      </c>
      <c r="AJ258" s="45">
        <v>8.68</v>
      </c>
      <c r="AK258" s="45">
        <v>8.32</v>
      </c>
      <c r="AL258" s="45">
        <v>0.0</v>
      </c>
      <c r="AM258" s="45">
        <v>8.81</v>
      </c>
      <c r="AN258" s="45">
        <v>8.89</v>
      </c>
      <c r="AO258" s="45" t="s">
        <v>28</v>
      </c>
      <c r="AQ258" s="45" t="s">
        <v>1011</v>
      </c>
      <c r="AT258" s="45" t="s">
        <v>1012</v>
      </c>
    </row>
    <row r="259">
      <c r="A259" s="107"/>
      <c r="B259" s="108" t="s">
        <v>702</v>
      </c>
      <c r="C259" s="109" t="s">
        <v>2819</v>
      </c>
      <c r="D259" s="108" t="s">
        <v>2820</v>
      </c>
      <c r="E259" s="108" t="s">
        <v>703</v>
      </c>
      <c r="F259" s="108">
        <v>0.0</v>
      </c>
      <c r="G259" s="110">
        <v>2.51393E11</v>
      </c>
      <c r="H259" s="111" t="s">
        <v>1003</v>
      </c>
      <c r="I259" s="111">
        <v>15905.0</v>
      </c>
      <c r="J259" s="111">
        <v>18299.0</v>
      </c>
      <c r="K259" s="108">
        <v>22346.0</v>
      </c>
      <c r="L259" s="112" t="s">
        <v>1236</v>
      </c>
      <c r="M259" s="106">
        <v>12092.0</v>
      </c>
      <c r="N259" s="113">
        <v>0.0</v>
      </c>
      <c r="O259" s="106" t="s">
        <v>2821</v>
      </c>
      <c r="P259" s="106" t="s">
        <v>46</v>
      </c>
      <c r="Q259" s="45" t="s">
        <v>1006</v>
      </c>
      <c r="R259" s="45">
        <v>98.0</v>
      </c>
      <c r="S259" s="45">
        <v>2019.0</v>
      </c>
      <c r="T259" s="45">
        <v>98.0</v>
      </c>
      <c r="U259" s="45">
        <v>2021.0</v>
      </c>
      <c r="V259" s="45">
        <v>8.82</v>
      </c>
      <c r="W259" s="45">
        <v>83.2</v>
      </c>
      <c r="X259" s="45">
        <v>2025.0</v>
      </c>
      <c r="Y259" s="45">
        <v>0.0</v>
      </c>
      <c r="Z259" s="45">
        <v>0.0</v>
      </c>
      <c r="AA259" s="45" t="s">
        <v>2822</v>
      </c>
      <c r="AB259" s="45" t="s">
        <v>2823</v>
      </c>
      <c r="AC259" s="45">
        <v>9.05916946E9</v>
      </c>
      <c r="AD259" s="45">
        <v>9.701520319E9</v>
      </c>
      <c r="AE259" s="45">
        <v>0.0</v>
      </c>
      <c r="AF259" s="45">
        <v>0.0</v>
      </c>
      <c r="AG259" s="45" t="s">
        <v>2824</v>
      </c>
      <c r="AH259" s="45" t="s">
        <v>2825</v>
      </c>
      <c r="AI259" s="45">
        <v>9.19</v>
      </c>
      <c r="AJ259" s="45">
        <v>8.68</v>
      </c>
      <c r="AK259" s="45">
        <v>8.45</v>
      </c>
      <c r="AL259" s="45">
        <v>0.0</v>
      </c>
      <c r="AM259" s="45">
        <v>8.8</v>
      </c>
      <c r="AN259" s="45">
        <v>8.82</v>
      </c>
      <c r="AO259" s="45" t="s">
        <v>27</v>
      </c>
      <c r="AQ259" s="45" t="s">
        <v>1011</v>
      </c>
      <c r="AT259" s="45" t="s">
        <v>1028</v>
      </c>
    </row>
    <row r="260">
      <c r="A260" s="107"/>
      <c r="B260" s="108" t="s">
        <v>705</v>
      </c>
      <c r="C260" s="109" t="s">
        <v>2826</v>
      </c>
      <c r="D260" s="108" t="s">
        <v>2827</v>
      </c>
      <c r="E260" s="108" t="s">
        <v>706</v>
      </c>
      <c r="F260" s="108">
        <v>0.0</v>
      </c>
      <c r="G260" s="110">
        <v>3.69121E11</v>
      </c>
      <c r="H260" s="111" t="s">
        <v>1003</v>
      </c>
      <c r="I260" s="111" t="s">
        <v>1003</v>
      </c>
      <c r="J260" s="111" t="s">
        <v>1003</v>
      </c>
      <c r="K260" s="108" t="s">
        <v>1003</v>
      </c>
      <c r="L260" s="112" t="s">
        <v>2236</v>
      </c>
      <c r="M260" s="106">
        <v>0.0</v>
      </c>
      <c r="N260" s="113">
        <v>0.0</v>
      </c>
      <c r="O260" s="114">
        <v>38170.0</v>
      </c>
      <c r="P260" s="106" t="s">
        <v>46</v>
      </c>
      <c r="Q260" s="45" t="s">
        <v>1006</v>
      </c>
      <c r="R260" s="45">
        <v>93.0</v>
      </c>
      <c r="S260" s="45">
        <v>2019.0</v>
      </c>
      <c r="T260" s="45">
        <v>95.0</v>
      </c>
      <c r="U260" s="45">
        <v>2021.0</v>
      </c>
      <c r="V260" s="45">
        <v>8.0</v>
      </c>
      <c r="W260" s="45">
        <v>75.0</v>
      </c>
      <c r="X260" s="45">
        <v>2025.0</v>
      </c>
      <c r="Y260" s="45">
        <v>0.0</v>
      </c>
      <c r="Z260" s="45">
        <v>0.0</v>
      </c>
      <c r="AA260" s="45" t="s">
        <v>2828</v>
      </c>
      <c r="AB260" s="45" t="s">
        <v>2829</v>
      </c>
      <c r="AC260" s="45">
        <v>8.688642637E9</v>
      </c>
      <c r="AD260" s="45">
        <v>9.848784397E9</v>
      </c>
      <c r="AE260" s="45" t="s">
        <v>255</v>
      </c>
      <c r="AF260" s="45">
        <v>0.0</v>
      </c>
      <c r="AG260" s="45" t="s">
        <v>2830</v>
      </c>
      <c r="AH260" s="45" t="s">
        <v>2831</v>
      </c>
      <c r="AI260" s="45">
        <v>7.59</v>
      </c>
      <c r="AJ260" s="45">
        <v>7.63</v>
      </c>
      <c r="AK260" s="45">
        <v>7.36</v>
      </c>
      <c r="AL260" s="45">
        <v>0.0</v>
      </c>
      <c r="AM260" s="45">
        <v>7.92</v>
      </c>
      <c r="AN260" s="45">
        <v>8.0</v>
      </c>
      <c r="AO260" s="45" t="s">
        <v>27</v>
      </c>
      <c r="AQ260" s="45" t="s">
        <v>1011</v>
      </c>
      <c r="AT260" s="45" t="s">
        <v>1028</v>
      </c>
    </row>
    <row r="261">
      <c r="A261" s="107"/>
      <c r="B261" s="108" t="s">
        <v>707</v>
      </c>
      <c r="C261" s="109" t="s">
        <v>2690</v>
      </c>
      <c r="D261" s="108" t="s">
        <v>2832</v>
      </c>
      <c r="E261" s="108" t="s">
        <v>708</v>
      </c>
      <c r="F261" s="108">
        <v>0.0</v>
      </c>
      <c r="G261" s="110">
        <v>4.37976E11</v>
      </c>
      <c r="H261" s="111" t="s">
        <v>1003</v>
      </c>
      <c r="I261" s="111">
        <v>11631.0</v>
      </c>
      <c r="J261" s="111">
        <v>11187.0</v>
      </c>
      <c r="K261" s="108" t="s">
        <v>1003</v>
      </c>
      <c r="L261" s="112" t="s">
        <v>2833</v>
      </c>
      <c r="M261" s="106">
        <v>8934.0</v>
      </c>
      <c r="N261" s="113">
        <v>0.0</v>
      </c>
      <c r="O261" s="114">
        <v>37749.0</v>
      </c>
      <c r="P261" s="106" t="s">
        <v>46</v>
      </c>
      <c r="Q261" s="45" t="s">
        <v>1006</v>
      </c>
      <c r="R261" s="45">
        <v>93.0</v>
      </c>
      <c r="S261" s="45">
        <v>2019.0</v>
      </c>
      <c r="T261" s="45">
        <v>76.0</v>
      </c>
      <c r="U261" s="45">
        <v>2021.0</v>
      </c>
      <c r="V261" s="45">
        <v>7.56</v>
      </c>
      <c r="W261" s="45">
        <v>70.6</v>
      </c>
      <c r="X261" s="45">
        <v>2025.0</v>
      </c>
      <c r="Y261" s="45">
        <v>0.0</v>
      </c>
      <c r="Z261" s="45">
        <v>0.0</v>
      </c>
      <c r="AA261" s="45" t="s">
        <v>2834</v>
      </c>
      <c r="AB261" s="45" t="s">
        <v>2835</v>
      </c>
      <c r="AC261" s="45">
        <v>6.303861748E9</v>
      </c>
      <c r="AD261" s="45">
        <v>9.885959076E9</v>
      </c>
      <c r="AE261" s="45" t="s">
        <v>210</v>
      </c>
      <c r="AF261" s="45" t="s">
        <v>621</v>
      </c>
      <c r="AG261" s="45" t="s">
        <v>2836</v>
      </c>
      <c r="AH261" s="45" t="s">
        <v>2837</v>
      </c>
      <c r="AI261" s="45">
        <v>7.57</v>
      </c>
      <c r="AJ261" s="45">
        <v>6.93</v>
      </c>
      <c r="AK261" s="45">
        <v>7.09</v>
      </c>
      <c r="AL261" s="45">
        <v>0.0</v>
      </c>
      <c r="AM261" s="45">
        <v>7.46</v>
      </c>
      <c r="AN261" s="45">
        <v>7.6</v>
      </c>
      <c r="AO261" s="45" t="s">
        <v>27</v>
      </c>
      <c r="AQ261" s="45" t="s">
        <v>1011</v>
      </c>
      <c r="AT261" s="45" t="s">
        <v>1012</v>
      </c>
    </row>
    <row r="262">
      <c r="A262" s="107"/>
      <c r="B262" s="108" t="s">
        <v>710</v>
      </c>
      <c r="C262" s="109" t="s">
        <v>2838</v>
      </c>
      <c r="D262" s="108" t="s">
        <v>2839</v>
      </c>
      <c r="E262" s="108" t="s">
        <v>711</v>
      </c>
      <c r="F262" s="108">
        <v>0.0</v>
      </c>
      <c r="G262" s="110">
        <v>6.12127E11</v>
      </c>
      <c r="H262" s="111" t="s">
        <v>1003</v>
      </c>
      <c r="I262" s="111">
        <v>5131.0</v>
      </c>
      <c r="J262" s="111" t="s">
        <v>1003</v>
      </c>
      <c r="K262" s="108" t="s">
        <v>1003</v>
      </c>
      <c r="L262" s="112" t="s">
        <v>2840</v>
      </c>
      <c r="M262" s="106">
        <v>7378.0</v>
      </c>
      <c r="N262" s="113">
        <v>0.0</v>
      </c>
      <c r="O262" s="106" t="s">
        <v>2841</v>
      </c>
      <c r="P262" s="106" t="s">
        <v>60</v>
      </c>
      <c r="Q262" s="45" t="s">
        <v>1006</v>
      </c>
      <c r="R262" s="45">
        <v>92.8</v>
      </c>
      <c r="S262" s="45">
        <v>2019.0</v>
      </c>
      <c r="T262" s="45">
        <v>97.2</v>
      </c>
      <c r="U262" s="45">
        <v>2021.0</v>
      </c>
      <c r="V262" s="45">
        <v>8.69</v>
      </c>
      <c r="W262" s="45">
        <v>81.9</v>
      </c>
      <c r="X262" s="45">
        <v>2025.0</v>
      </c>
      <c r="Y262" s="45">
        <v>0.0</v>
      </c>
      <c r="Z262" s="45">
        <v>0.0</v>
      </c>
      <c r="AA262" s="45" t="s">
        <v>2842</v>
      </c>
      <c r="AB262" s="45" t="s">
        <v>2843</v>
      </c>
      <c r="AC262" s="45">
        <v>8.106499194E9</v>
      </c>
      <c r="AD262" s="45">
        <v>9.246553553E9</v>
      </c>
      <c r="AE262" s="45" t="s">
        <v>712</v>
      </c>
      <c r="AF262" s="45" t="s">
        <v>61</v>
      </c>
      <c r="AG262" s="45" t="s">
        <v>2844</v>
      </c>
      <c r="AH262" s="45" t="s">
        <v>2845</v>
      </c>
      <c r="AI262" s="45">
        <v>8.59</v>
      </c>
      <c r="AJ262" s="45">
        <v>8.9</v>
      </c>
      <c r="AK262" s="45">
        <v>7.91</v>
      </c>
      <c r="AL262" s="45">
        <v>0.0</v>
      </c>
      <c r="AM262" s="45">
        <v>8.64</v>
      </c>
      <c r="AN262" s="45">
        <v>8.69</v>
      </c>
      <c r="AO262" s="45" t="s">
        <v>27</v>
      </c>
      <c r="AQ262" s="45" t="s">
        <v>1011</v>
      </c>
      <c r="AT262" s="45" t="s">
        <v>1012</v>
      </c>
    </row>
    <row r="263">
      <c r="A263" s="107"/>
      <c r="B263" s="108" t="s">
        <v>713</v>
      </c>
      <c r="C263" s="109" t="s">
        <v>2820</v>
      </c>
      <c r="D263" s="108" t="s">
        <v>2846</v>
      </c>
      <c r="E263" s="108" t="s">
        <v>714</v>
      </c>
      <c r="F263" s="108">
        <v>0.0</v>
      </c>
      <c r="G263" s="110">
        <v>6.82233E11</v>
      </c>
      <c r="H263" s="111" t="s">
        <v>1003</v>
      </c>
      <c r="I263" s="111" t="s">
        <v>1003</v>
      </c>
      <c r="J263" s="111" t="s">
        <v>1003</v>
      </c>
      <c r="K263" s="108" t="s">
        <v>1003</v>
      </c>
      <c r="L263" s="112" t="s">
        <v>1479</v>
      </c>
      <c r="M263" s="106">
        <v>8541.0</v>
      </c>
      <c r="N263" s="113">
        <v>0.0</v>
      </c>
      <c r="O263" s="106" t="s">
        <v>2847</v>
      </c>
      <c r="P263" s="106" t="s">
        <v>46</v>
      </c>
      <c r="Q263" s="45" t="s">
        <v>1006</v>
      </c>
      <c r="R263" s="45">
        <v>98.0</v>
      </c>
      <c r="S263" s="45">
        <v>2019.0</v>
      </c>
      <c r="T263" s="45">
        <v>96.0</v>
      </c>
      <c r="U263" s="45">
        <v>2021.0</v>
      </c>
      <c r="V263" s="45">
        <v>8.42</v>
      </c>
      <c r="W263" s="45">
        <v>79.2</v>
      </c>
      <c r="X263" s="45">
        <v>2025.0</v>
      </c>
      <c r="Y263" s="45">
        <v>0.0</v>
      </c>
      <c r="Z263" s="45">
        <v>0.0</v>
      </c>
      <c r="AA263" s="45" t="s">
        <v>2848</v>
      </c>
      <c r="AB263" s="45" t="s">
        <v>2849</v>
      </c>
      <c r="AC263" s="45">
        <v>7.38681445E9</v>
      </c>
      <c r="AD263" s="45">
        <v>9.705524977E9</v>
      </c>
      <c r="AE263" s="45" t="s">
        <v>715</v>
      </c>
      <c r="AF263" s="45">
        <v>0.0</v>
      </c>
      <c r="AG263" s="45" t="s">
        <v>2850</v>
      </c>
      <c r="AH263" s="45" t="s">
        <v>2851</v>
      </c>
      <c r="AI263" s="45">
        <v>8.86</v>
      </c>
      <c r="AJ263" s="45">
        <v>8.05</v>
      </c>
      <c r="AK263" s="45">
        <v>8.34</v>
      </c>
      <c r="AL263" s="45">
        <v>0.0</v>
      </c>
      <c r="AM263" s="45">
        <v>8.39</v>
      </c>
      <c r="AN263" s="45">
        <v>8.42</v>
      </c>
      <c r="AO263" s="45" t="s">
        <v>27</v>
      </c>
      <c r="AQ263" s="45" t="s">
        <v>1011</v>
      </c>
      <c r="AT263" s="45" t="s">
        <v>1012</v>
      </c>
    </row>
    <row r="264">
      <c r="A264" s="107"/>
      <c r="B264" s="108" t="s">
        <v>716</v>
      </c>
      <c r="C264" s="109" t="s">
        <v>2852</v>
      </c>
      <c r="D264" s="108" t="s">
        <v>2853</v>
      </c>
      <c r="E264" s="108" t="s">
        <v>717</v>
      </c>
      <c r="F264" s="108">
        <v>0.0</v>
      </c>
      <c r="G264" s="110">
        <v>7.56888E11</v>
      </c>
      <c r="H264" s="111" t="s">
        <v>1003</v>
      </c>
      <c r="I264" s="111" t="s">
        <v>1003</v>
      </c>
      <c r="J264" s="111">
        <v>25377.0</v>
      </c>
      <c r="K264" s="108">
        <v>38793.0</v>
      </c>
      <c r="L264" s="112" t="s">
        <v>1774</v>
      </c>
      <c r="M264" s="106">
        <v>5793.0</v>
      </c>
      <c r="N264" s="113">
        <v>0.0</v>
      </c>
      <c r="O264" s="106" t="s">
        <v>2854</v>
      </c>
      <c r="P264" s="106" t="s">
        <v>60</v>
      </c>
      <c r="Q264" s="45" t="s">
        <v>1006</v>
      </c>
      <c r="R264" s="45">
        <v>95.6</v>
      </c>
      <c r="S264" s="45">
        <v>2019.0</v>
      </c>
      <c r="T264" s="45">
        <v>98.8</v>
      </c>
      <c r="U264" s="45">
        <v>2021.0</v>
      </c>
      <c r="V264" s="45">
        <v>9.23</v>
      </c>
      <c r="W264" s="45">
        <v>87.3</v>
      </c>
      <c r="X264" s="45">
        <v>2025.0</v>
      </c>
      <c r="Y264" s="45">
        <v>0.0</v>
      </c>
      <c r="Z264" s="45">
        <v>0.0</v>
      </c>
      <c r="AA264" s="45" t="s">
        <v>2855</v>
      </c>
      <c r="AB264" s="45" t="s">
        <v>2856</v>
      </c>
      <c r="AC264" s="45">
        <v>7.56907906E9</v>
      </c>
      <c r="AD264" s="45">
        <v>8.985706446E9</v>
      </c>
      <c r="AE264" s="45" t="s">
        <v>2857</v>
      </c>
      <c r="AF264" s="45" t="s">
        <v>954</v>
      </c>
      <c r="AG264" s="45" t="s">
        <v>2858</v>
      </c>
      <c r="AH264" s="45" t="s">
        <v>2859</v>
      </c>
      <c r="AI264" s="45">
        <v>9.51</v>
      </c>
      <c r="AJ264" s="45">
        <v>9.24</v>
      </c>
      <c r="AK264" s="45">
        <v>8.61</v>
      </c>
      <c r="AL264" s="45">
        <v>0.0</v>
      </c>
      <c r="AM264" s="45">
        <v>9.22</v>
      </c>
      <c r="AN264" s="45">
        <v>9.23</v>
      </c>
      <c r="AO264" s="45" t="s">
        <v>27</v>
      </c>
      <c r="AQ264" s="45" t="s">
        <v>1011</v>
      </c>
      <c r="AT264" s="45" t="s">
        <v>1012</v>
      </c>
    </row>
    <row r="265">
      <c r="A265" s="107"/>
      <c r="B265" s="108" t="s">
        <v>719</v>
      </c>
      <c r="C265" s="109" t="s">
        <v>1789</v>
      </c>
      <c r="D265" s="108" t="s">
        <v>2860</v>
      </c>
      <c r="E265" s="108" t="s">
        <v>720</v>
      </c>
      <c r="F265" s="108">
        <v>0.0</v>
      </c>
      <c r="G265" s="110">
        <v>8.66193E11</v>
      </c>
      <c r="H265" s="111" t="s">
        <v>1003</v>
      </c>
      <c r="I265" s="111" t="s">
        <v>1003</v>
      </c>
      <c r="J265" s="111" t="s">
        <v>1003</v>
      </c>
      <c r="K265" s="108" t="s">
        <v>1003</v>
      </c>
      <c r="L265" s="112" t="s">
        <v>2861</v>
      </c>
      <c r="M265" s="106">
        <v>6420.0</v>
      </c>
      <c r="N265" s="113">
        <v>0.0</v>
      </c>
      <c r="O265" s="114">
        <v>37988.0</v>
      </c>
      <c r="P265" s="106" t="s">
        <v>46</v>
      </c>
      <c r="Q265" s="45" t="s">
        <v>1006</v>
      </c>
      <c r="R265" s="45">
        <v>91.4</v>
      </c>
      <c r="S265" s="45">
        <v>2019.0</v>
      </c>
      <c r="T265" s="45">
        <v>90.2</v>
      </c>
      <c r="U265" s="45">
        <v>2021.0</v>
      </c>
      <c r="V265" s="45">
        <v>8.73</v>
      </c>
      <c r="W265" s="45">
        <v>82.3</v>
      </c>
      <c r="X265" s="45">
        <v>2025.0</v>
      </c>
      <c r="Y265" s="45">
        <v>0.0</v>
      </c>
      <c r="Z265" s="45">
        <v>0.0</v>
      </c>
      <c r="AA265" s="45" t="s">
        <v>2862</v>
      </c>
      <c r="AB265" s="45" t="s">
        <v>2863</v>
      </c>
      <c r="AC265" s="45">
        <v>9.347599764E9</v>
      </c>
      <c r="AD265" s="45">
        <v>9.34735068E9</v>
      </c>
      <c r="AE265" s="45" t="s">
        <v>237</v>
      </c>
      <c r="AF265" s="45">
        <v>0.0</v>
      </c>
      <c r="AG265" s="45" t="s">
        <v>2864</v>
      </c>
      <c r="AH265" s="45" t="s">
        <v>2865</v>
      </c>
      <c r="AI265" s="45">
        <v>8.78</v>
      </c>
      <c r="AJ265" s="45">
        <v>8.34</v>
      </c>
      <c r="AK265" s="45">
        <v>8.86</v>
      </c>
      <c r="AL265" s="45">
        <v>0.0</v>
      </c>
      <c r="AM265" s="45">
        <v>8.72</v>
      </c>
      <c r="AN265" s="45">
        <v>8.73</v>
      </c>
      <c r="AO265" s="45" t="s">
        <v>27</v>
      </c>
      <c r="AQ265" s="45" t="s">
        <v>1011</v>
      </c>
      <c r="AT265" s="45" t="s">
        <v>1012</v>
      </c>
    </row>
    <row r="266">
      <c r="A266" s="107"/>
      <c r="B266" s="108" t="s">
        <v>721</v>
      </c>
      <c r="C266" s="109" t="s">
        <v>2866</v>
      </c>
      <c r="D266" s="108" t="s">
        <v>1945</v>
      </c>
      <c r="E266" s="108" t="s">
        <v>722</v>
      </c>
      <c r="F266" s="108">
        <v>0.0</v>
      </c>
      <c r="G266" s="110">
        <v>9.67723E11</v>
      </c>
      <c r="H266" s="111" t="s">
        <v>1003</v>
      </c>
      <c r="I266" s="111" t="s">
        <v>1003</v>
      </c>
      <c r="J266" s="111" t="s">
        <v>1003</v>
      </c>
      <c r="K266" s="108" t="s">
        <v>1003</v>
      </c>
      <c r="L266" s="112" t="s">
        <v>1404</v>
      </c>
      <c r="M266" s="106">
        <v>25000.0</v>
      </c>
      <c r="N266" s="113">
        <v>0.0</v>
      </c>
      <c r="O266" s="106" t="s">
        <v>2867</v>
      </c>
      <c r="P266" s="106" t="s">
        <v>46</v>
      </c>
      <c r="Q266" s="45" t="s">
        <v>1006</v>
      </c>
      <c r="R266" s="45">
        <v>83.0</v>
      </c>
      <c r="S266" s="45">
        <v>2019.0</v>
      </c>
      <c r="T266" s="45">
        <v>80.0</v>
      </c>
      <c r="U266" s="45">
        <v>2021.0</v>
      </c>
      <c r="V266" s="45">
        <v>0.0</v>
      </c>
      <c r="W266" s="45">
        <v>-5.0</v>
      </c>
      <c r="X266" s="45">
        <v>2025.0</v>
      </c>
      <c r="Y266" s="45">
        <v>1.0</v>
      </c>
      <c r="Z266" s="45">
        <v>1.0</v>
      </c>
      <c r="AA266" s="45" t="s">
        <v>2868</v>
      </c>
      <c r="AB266" s="45" t="s">
        <v>2869</v>
      </c>
      <c r="AC266" s="45">
        <v>9.39841385E9</v>
      </c>
      <c r="AD266" s="45">
        <v>9.502484556E9</v>
      </c>
      <c r="AE266" s="45" t="s">
        <v>440</v>
      </c>
      <c r="AF266" s="45" t="s">
        <v>440</v>
      </c>
      <c r="AG266" s="45" t="s">
        <v>1299</v>
      </c>
      <c r="AH266" s="45" t="s">
        <v>2870</v>
      </c>
      <c r="AI266" s="45">
        <v>6.54</v>
      </c>
      <c r="AJ266" s="45">
        <v>0.0</v>
      </c>
      <c r="AK266" s="45">
        <v>0.0</v>
      </c>
      <c r="AL266" s="45">
        <v>0.0</v>
      </c>
      <c r="AM266" s="45">
        <v>6.53</v>
      </c>
      <c r="AN266" s="45">
        <v>0.0</v>
      </c>
      <c r="AO266" s="45" t="s">
        <v>27</v>
      </c>
      <c r="AQ266" s="45" t="s">
        <v>1011</v>
      </c>
      <c r="AT266" s="45" t="s">
        <v>1012</v>
      </c>
    </row>
    <row r="267">
      <c r="A267" s="107"/>
      <c r="B267" s="108" t="s">
        <v>723</v>
      </c>
      <c r="C267" s="109" t="s">
        <v>2037</v>
      </c>
      <c r="D267" s="108" t="s">
        <v>2871</v>
      </c>
      <c r="E267" s="108" t="s">
        <v>724</v>
      </c>
      <c r="F267" s="108">
        <v>0.0</v>
      </c>
      <c r="G267" s="110">
        <v>4.45652E11</v>
      </c>
      <c r="H267" s="111" t="s">
        <v>1003</v>
      </c>
      <c r="I267" s="111" t="s">
        <v>1003</v>
      </c>
      <c r="J267" s="111" t="s">
        <v>1003</v>
      </c>
      <c r="K267" s="108" t="s">
        <v>1003</v>
      </c>
      <c r="L267" s="112" t="s">
        <v>2833</v>
      </c>
      <c r="M267" s="106">
        <v>20180.0</v>
      </c>
      <c r="N267" s="113">
        <v>0.0</v>
      </c>
      <c r="O267" s="114">
        <v>37812.0</v>
      </c>
      <c r="P267" s="106" t="s">
        <v>46</v>
      </c>
      <c r="Q267" s="45" t="s">
        <v>1006</v>
      </c>
      <c r="R267" s="45">
        <v>80.2</v>
      </c>
      <c r="S267" s="45">
        <v>2019.0</v>
      </c>
      <c r="T267" s="45">
        <v>94.0</v>
      </c>
      <c r="U267" s="45">
        <v>2021.0</v>
      </c>
      <c r="V267" s="45">
        <v>7.6</v>
      </c>
      <c r="W267" s="45">
        <v>71.0</v>
      </c>
      <c r="X267" s="45">
        <v>2025.0</v>
      </c>
      <c r="Y267" s="45">
        <v>0.0</v>
      </c>
      <c r="Z267" s="45">
        <v>1.0</v>
      </c>
      <c r="AA267" s="45" t="s">
        <v>2872</v>
      </c>
      <c r="AB267" s="45" t="s">
        <v>2873</v>
      </c>
      <c r="AC267" s="45">
        <v>8.019476769E9</v>
      </c>
      <c r="AD267" s="45">
        <v>9.666116155E9</v>
      </c>
      <c r="AE267" s="45">
        <v>0.0</v>
      </c>
      <c r="AF267" s="45">
        <v>0.0</v>
      </c>
      <c r="AG267" s="45" t="s">
        <v>2874</v>
      </c>
      <c r="AH267" s="45" t="s">
        <v>2875</v>
      </c>
      <c r="AI267" s="45">
        <v>7.62</v>
      </c>
      <c r="AJ267" s="45">
        <v>7.93</v>
      </c>
      <c r="AK267" s="45">
        <v>0.0</v>
      </c>
      <c r="AL267" s="45">
        <v>0.0</v>
      </c>
      <c r="AM267" s="45">
        <v>7.69</v>
      </c>
      <c r="AN267" s="45">
        <v>7.6</v>
      </c>
      <c r="AO267" s="45" t="s">
        <v>27</v>
      </c>
      <c r="AQ267" s="45" t="s">
        <v>1011</v>
      </c>
      <c r="AT267" s="45" t="s">
        <v>1012</v>
      </c>
    </row>
    <row r="268">
      <c r="A268" s="107"/>
      <c r="B268" s="108" t="s">
        <v>725</v>
      </c>
      <c r="C268" s="109" t="s">
        <v>2037</v>
      </c>
      <c r="D268" s="108" t="s">
        <v>2876</v>
      </c>
      <c r="E268" s="108" t="s">
        <v>726</v>
      </c>
      <c r="F268" s="108">
        <v>0.0</v>
      </c>
      <c r="G268" s="110">
        <v>8.32285E11</v>
      </c>
      <c r="H268" s="111" t="s">
        <v>1003</v>
      </c>
      <c r="I268" s="111" t="s">
        <v>1003</v>
      </c>
      <c r="J268" s="111" t="s">
        <v>1003</v>
      </c>
      <c r="K268" s="108" t="s">
        <v>1003</v>
      </c>
      <c r="L268" s="112" t="s">
        <v>1123</v>
      </c>
      <c r="M268" s="106">
        <v>21004.0</v>
      </c>
      <c r="N268" s="113">
        <v>0.0</v>
      </c>
      <c r="O268" s="114">
        <v>37752.0</v>
      </c>
      <c r="P268" s="106" t="s">
        <v>46</v>
      </c>
      <c r="Q268" s="45" t="s">
        <v>1006</v>
      </c>
      <c r="R268" s="45">
        <v>95.0</v>
      </c>
      <c r="S268" s="45">
        <v>2019.0</v>
      </c>
      <c r="T268" s="45">
        <v>98.0</v>
      </c>
      <c r="U268" s="45">
        <v>2021.0</v>
      </c>
      <c r="V268" s="45">
        <v>8.86</v>
      </c>
      <c r="W268" s="45">
        <v>83.6</v>
      </c>
      <c r="X268" s="45">
        <v>2025.0</v>
      </c>
      <c r="Y268" s="45">
        <v>0.0</v>
      </c>
      <c r="Z268" s="45">
        <v>0.0</v>
      </c>
      <c r="AA268" s="45" t="s">
        <v>2877</v>
      </c>
      <c r="AB268" s="45" t="s">
        <v>2878</v>
      </c>
      <c r="AC268" s="45">
        <v>6.304620239E9</v>
      </c>
      <c r="AD268" s="45">
        <v>6.302652964E9</v>
      </c>
      <c r="AE268" s="45">
        <v>0.0</v>
      </c>
      <c r="AF268" s="45">
        <v>0.0</v>
      </c>
      <c r="AG268" s="45" t="s">
        <v>2879</v>
      </c>
      <c r="AH268" s="45" t="s">
        <v>2880</v>
      </c>
      <c r="AI268" s="45">
        <v>9.24</v>
      </c>
      <c r="AJ268" s="45">
        <v>8.93</v>
      </c>
      <c r="AK268" s="45">
        <v>8.25</v>
      </c>
      <c r="AL268" s="45">
        <v>0.0</v>
      </c>
      <c r="AM268" s="45">
        <v>8.9</v>
      </c>
      <c r="AN268" s="45">
        <v>8.86</v>
      </c>
      <c r="AO268" s="45" t="s">
        <v>27</v>
      </c>
      <c r="AQ268" s="45" t="s">
        <v>1011</v>
      </c>
      <c r="AT268" s="45" t="s">
        <v>1028</v>
      </c>
    </row>
    <row r="269">
      <c r="A269" s="107"/>
      <c r="B269" s="108" t="s">
        <v>727</v>
      </c>
      <c r="C269" s="109" t="s">
        <v>2881</v>
      </c>
      <c r="D269" s="108" t="s">
        <v>2882</v>
      </c>
      <c r="E269" s="108" t="s">
        <v>728</v>
      </c>
      <c r="F269" s="108">
        <v>0.0</v>
      </c>
      <c r="G269" s="110">
        <v>2.96414E11</v>
      </c>
      <c r="H269" s="111" t="s">
        <v>1003</v>
      </c>
      <c r="I269" s="111" t="s">
        <v>1003</v>
      </c>
      <c r="J269" s="111" t="s">
        <v>1003</v>
      </c>
      <c r="K269" s="108" t="s">
        <v>1003</v>
      </c>
      <c r="L269" s="112" t="s">
        <v>2883</v>
      </c>
      <c r="M269" s="106">
        <v>19382.0</v>
      </c>
      <c r="N269" s="113">
        <v>0.0</v>
      </c>
      <c r="O269" s="114">
        <v>38268.0</v>
      </c>
      <c r="P269" s="106" t="s">
        <v>46</v>
      </c>
      <c r="Q269" s="45" t="s">
        <v>1006</v>
      </c>
      <c r="R269" s="45">
        <v>98.0</v>
      </c>
      <c r="S269" s="45">
        <v>2019.0</v>
      </c>
      <c r="T269" s="45">
        <v>93.2</v>
      </c>
      <c r="U269" s="45">
        <v>2022.0</v>
      </c>
      <c r="V269" s="45">
        <v>7.98</v>
      </c>
      <c r="W269" s="45">
        <v>74.8</v>
      </c>
      <c r="X269" s="45">
        <v>2025.0</v>
      </c>
      <c r="Y269" s="45">
        <v>0.0</v>
      </c>
      <c r="Z269" s="45">
        <v>0.0</v>
      </c>
      <c r="AA269" s="45" t="s">
        <v>2884</v>
      </c>
      <c r="AB269" s="45" t="s">
        <v>2885</v>
      </c>
      <c r="AC269" s="45">
        <v>9.55099282E9</v>
      </c>
      <c r="AD269" s="45">
        <v>8.897216666E9</v>
      </c>
      <c r="AE269" s="45" t="s">
        <v>52</v>
      </c>
      <c r="AF269" s="45">
        <v>0.0</v>
      </c>
      <c r="AG269" s="45" t="s">
        <v>2886</v>
      </c>
      <c r="AH269" s="45" t="s">
        <v>2887</v>
      </c>
      <c r="AI269" s="45">
        <v>8.0</v>
      </c>
      <c r="AJ269" s="45">
        <v>8.44</v>
      </c>
      <c r="AK269" s="45">
        <v>7.52</v>
      </c>
      <c r="AL269" s="45">
        <v>0.0</v>
      </c>
      <c r="AM269" s="45">
        <v>7.99</v>
      </c>
      <c r="AN269" s="45">
        <v>7.98</v>
      </c>
      <c r="AO269" s="45" t="s">
        <v>28</v>
      </c>
      <c r="AQ269" s="45" t="s">
        <v>1011</v>
      </c>
      <c r="AT269" s="45" t="s">
        <v>1028</v>
      </c>
    </row>
    <row r="270">
      <c r="A270" s="107"/>
      <c r="B270" s="108" t="s">
        <v>729</v>
      </c>
      <c r="C270" s="109" t="s">
        <v>2888</v>
      </c>
      <c r="D270" s="108" t="s">
        <v>2889</v>
      </c>
      <c r="E270" s="108" t="s">
        <v>730</v>
      </c>
      <c r="F270" s="108">
        <v>0.0</v>
      </c>
      <c r="G270" s="110">
        <v>8.94365E11</v>
      </c>
      <c r="H270" s="111" t="s">
        <v>1003</v>
      </c>
      <c r="I270" s="111">
        <v>6470.0</v>
      </c>
      <c r="J270" s="111">
        <v>8897.0</v>
      </c>
      <c r="K270" s="108" t="s">
        <v>1003</v>
      </c>
      <c r="L270" s="112" t="s">
        <v>2890</v>
      </c>
      <c r="M270" s="106">
        <v>0.0</v>
      </c>
      <c r="N270" s="113">
        <v>0.0</v>
      </c>
      <c r="O270" s="114">
        <v>37626.0</v>
      </c>
      <c r="P270" s="106" t="s">
        <v>60</v>
      </c>
      <c r="Q270" s="45" t="s">
        <v>1006</v>
      </c>
      <c r="R270" s="45">
        <v>95.0</v>
      </c>
      <c r="S270" s="45">
        <v>2019.0</v>
      </c>
      <c r="T270" s="45">
        <v>93.2</v>
      </c>
      <c r="U270" s="45">
        <v>2021.0</v>
      </c>
      <c r="V270" s="45">
        <v>8.24</v>
      </c>
      <c r="W270" s="45">
        <v>77.4</v>
      </c>
      <c r="X270" s="45">
        <v>2025.0</v>
      </c>
      <c r="Y270" s="45">
        <v>0.0</v>
      </c>
      <c r="Z270" s="45">
        <v>0.0</v>
      </c>
      <c r="AA270" s="45" t="s">
        <v>2891</v>
      </c>
      <c r="AB270" s="45" t="s">
        <v>2892</v>
      </c>
      <c r="AC270" s="45">
        <v>8.464935464E9</v>
      </c>
      <c r="AD270" s="45">
        <v>9.490449064E9</v>
      </c>
      <c r="AE270" s="45" t="s">
        <v>48</v>
      </c>
      <c r="AF270" s="45">
        <v>0.0</v>
      </c>
      <c r="AG270" s="45" t="s">
        <v>2893</v>
      </c>
      <c r="AH270" s="45" t="s">
        <v>2894</v>
      </c>
      <c r="AI270" s="45">
        <v>8.35</v>
      </c>
      <c r="AJ270" s="45">
        <v>7.93</v>
      </c>
      <c r="AK270" s="45">
        <v>7.8</v>
      </c>
      <c r="AL270" s="45">
        <v>0.0</v>
      </c>
      <c r="AM270" s="45">
        <v>8.21</v>
      </c>
      <c r="AN270" s="45">
        <v>8.24</v>
      </c>
      <c r="AO270" s="45" t="s">
        <v>27</v>
      </c>
      <c r="AQ270" s="45" t="s">
        <v>1011</v>
      </c>
      <c r="AT270" s="45" t="s">
        <v>1012</v>
      </c>
    </row>
    <row r="271">
      <c r="A271" s="107"/>
      <c r="B271" s="108" t="s">
        <v>731</v>
      </c>
      <c r="C271" s="109" t="s">
        <v>1599</v>
      </c>
      <c r="D271" s="108" t="s">
        <v>2895</v>
      </c>
      <c r="E271" s="108" t="s">
        <v>732</v>
      </c>
      <c r="F271" s="108">
        <v>0.0</v>
      </c>
      <c r="G271" s="110">
        <v>2.55195E11</v>
      </c>
      <c r="H271" s="111" t="s">
        <v>1003</v>
      </c>
      <c r="I271" s="111">
        <v>6606.0</v>
      </c>
      <c r="J271" s="111">
        <v>9929.0</v>
      </c>
      <c r="K271" s="108">
        <v>14463.0</v>
      </c>
      <c r="L271" s="112" t="s">
        <v>2018</v>
      </c>
      <c r="M271" s="106">
        <v>0.0</v>
      </c>
      <c r="N271" s="113">
        <v>0.0</v>
      </c>
      <c r="O271" s="106" t="s">
        <v>2046</v>
      </c>
      <c r="P271" s="106" t="s">
        <v>60</v>
      </c>
      <c r="Q271" s="45" t="s">
        <v>1006</v>
      </c>
      <c r="R271" s="45">
        <v>89.5</v>
      </c>
      <c r="S271" s="45">
        <v>2019.0</v>
      </c>
      <c r="T271" s="45">
        <v>96.6</v>
      </c>
      <c r="U271" s="45">
        <v>2021.0</v>
      </c>
      <c r="V271" s="45">
        <v>8.82</v>
      </c>
      <c r="W271" s="45">
        <v>83.2</v>
      </c>
      <c r="X271" s="45">
        <v>2025.0</v>
      </c>
      <c r="Y271" s="45">
        <v>0.0</v>
      </c>
      <c r="Z271" s="45">
        <v>0.0</v>
      </c>
      <c r="AA271" s="45" t="s">
        <v>2896</v>
      </c>
      <c r="AB271" s="45" t="s">
        <v>2897</v>
      </c>
      <c r="AC271" s="45">
        <v>9.703896666E9</v>
      </c>
      <c r="AD271" s="45">
        <v>9.000783316E9</v>
      </c>
      <c r="AE271" s="45" t="s">
        <v>733</v>
      </c>
      <c r="AF271" s="45">
        <v>0.0</v>
      </c>
      <c r="AG271" s="45" t="s">
        <v>2898</v>
      </c>
      <c r="AH271" s="45" t="s">
        <v>2899</v>
      </c>
      <c r="AI271" s="45">
        <v>9.03</v>
      </c>
      <c r="AJ271" s="45">
        <v>8.63</v>
      </c>
      <c r="AK271" s="45">
        <v>8.14</v>
      </c>
      <c r="AL271" s="45">
        <v>0.0</v>
      </c>
      <c r="AM271" s="45">
        <v>8.79</v>
      </c>
      <c r="AN271" s="45">
        <v>8.82</v>
      </c>
      <c r="AO271" s="45" t="s">
        <v>27</v>
      </c>
      <c r="AQ271" s="45" t="s">
        <v>1011</v>
      </c>
      <c r="AT271" s="45" t="s">
        <v>1012</v>
      </c>
    </row>
    <row r="272">
      <c r="A272" s="107"/>
      <c r="B272" s="108" t="s">
        <v>734</v>
      </c>
      <c r="C272" s="109" t="s">
        <v>735</v>
      </c>
      <c r="D272" s="108" t="s">
        <v>2415</v>
      </c>
      <c r="E272" s="108" t="s">
        <v>735</v>
      </c>
      <c r="F272" s="108">
        <v>0.0</v>
      </c>
      <c r="G272" s="110">
        <v>4.18372E11</v>
      </c>
      <c r="H272" s="111" t="s">
        <v>1003</v>
      </c>
      <c r="I272" s="111">
        <v>2567.0</v>
      </c>
      <c r="J272" s="111" t="s">
        <v>1003</v>
      </c>
      <c r="K272" s="108" t="s">
        <v>1003</v>
      </c>
      <c r="L272" s="112" t="s">
        <v>2900</v>
      </c>
      <c r="M272" s="106">
        <v>23274.0</v>
      </c>
      <c r="N272" s="113">
        <v>0.0</v>
      </c>
      <c r="O272" s="106" t="s">
        <v>1194</v>
      </c>
      <c r="P272" s="106" t="s">
        <v>60</v>
      </c>
      <c r="Q272" s="45" t="s">
        <v>1006</v>
      </c>
      <c r="R272" s="45">
        <v>92.0</v>
      </c>
      <c r="S272" s="45">
        <v>2019.0</v>
      </c>
      <c r="T272" s="45">
        <v>82.0</v>
      </c>
      <c r="U272" s="45">
        <v>2021.0</v>
      </c>
      <c r="V272" s="45">
        <v>8.58</v>
      </c>
      <c r="W272" s="45">
        <v>80.8</v>
      </c>
      <c r="X272" s="45">
        <v>2025.0</v>
      </c>
      <c r="Y272" s="45">
        <v>0.0</v>
      </c>
      <c r="Z272" s="45">
        <v>0.0</v>
      </c>
      <c r="AA272" s="45" t="s">
        <v>2901</v>
      </c>
      <c r="AB272" s="45" t="s">
        <v>2902</v>
      </c>
      <c r="AC272" s="45">
        <v>8.106935048E9</v>
      </c>
      <c r="AD272" s="45">
        <v>9.063256141E9</v>
      </c>
      <c r="AE272" s="45" t="s">
        <v>79</v>
      </c>
      <c r="AF272" s="45">
        <v>0.0</v>
      </c>
      <c r="AG272" s="45" t="s">
        <v>2903</v>
      </c>
      <c r="AH272" s="45" t="s">
        <v>2904</v>
      </c>
      <c r="AI272" s="45">
        <v>7.59</v>
      </c>
      <c r="AJ272" s="45">
        <v>8.34</v>
      </c>
      <c r="AK272" s="45">
        <v>8.25</v>
      </c>
      <c r="AL272" s="45">
        <v>0.0</v>
      </c>
      <c r="AM272" s="45">
        <v>8.51</v>
      </c>
      <c r="AN272" s="45">
        <v>8.58</v>
      </c>
      <c r="AO272" s="45" t="s">
        <v>28</v>
      </c>
      <c r="AQ272" s="45" t="s">
        <v>1011</v>
      </c>
      <c r="AT272" s="45" t="s">
        <v>1012</v>
      </c>
    </row>
    <row r="273">
      <c r="A273" s="107"/>
      <c r="B273" s="108" t="s">
        <v>736</v>
      </c>
      <c r="C273" s="109" t="s">
        <v>2905</v>
      </c>
      <c r="D273" s="108" t="s">
        <v>1599</v>
      </c>
      <c r="E273" s="108" t="s">
        <v>737</v>
      </c>
      <c r="F273" s="108">
        <v>0.0</v>
      </c>
      <c r="G273" s="110">
        <v>5.26368E11</v>
      </c>
      <c r="H273" s="111" t="s">
        <v>1003</v>
      </c>
      <c r="I273" s="111" t="s">
        <v>1003</v>
      </c>
      <c r="J273" s="111" t="s">
        <v>1003</v>
      </c>
      <c r="K273" s="108" t="s">
        <v>1003</v>
      </c>
      <c r="L273" s="112" t="s">
        <v>2236</v>
      </c>
      <c r="M273" s="106">
        <v>8395.0</v>
      </c>
      <c r="N273" s="113">
        <v>0.0</v>
      </c>
      <c r="O273" s="114">
        <v>37806.0</v>
      </c>
      <c r="P273" s="106" t="s">
        <v>60</v>
      </c>
      <c r="Q273" s="45" t="s">
        <v>1006</v>
      </c>
      <c r="R273" s="45">
        <v>97.0</v>
      </c>
      <c r="S273" s="45">
        <v>2019.0</v>
      </c>
      <c r="T273" s="45">
        <v>95.8</v>
      </c>
      <c r="U273" s="45">
        <v>2021.0</v>
      </c>
      <c r="V273" s="45">
        <v>8.59</v>
      </c>
      <c r="W273" s="45">
        <v>80.9</v>
      </c>
      <c r="X273" s="45">
        <v>2025.0</v>
      </c>
      <c r="Y273" s="45">
        <v>0.0</v>
      </c>
      <c r="Z273" s="45">
        <v>0.0</v>
      </c>
      <c r="AA273" s="45" t="s">
        <v>2906</v>
      </c>
      <c r="AB273" s="45" t="s">
        <v>2907</v>
      </c>
      <c r="AC273" s="45">
        <v>9.652075426E9</v>
      </c>
      <c r="AD273" s="45">
        <v>9.652075426E9</v>
      </c>
      <c r="AE273" s="45">
        <v>0.0</v>
      </c>
      <c r="AF273" s="45">
        <v>0.0</v>
      </c>
      <c r="AG273" s="45" t="s">
        <v>2908</v>
      </c>
      <c r="AH273" s="45" t="s">
        <v>2909</v>
      </c>
      <c r="AI273" s="45">
        <v>8.95</v>
      </c>
      <c r="AJ273" s="45">
        <v>8.56</v>
      </c>
      <c r="AK273" s="45">
        <v>8.14</v>
      </c>
      <c r="AL273" s="45">
        <v>0.0</v>
      </c>
      <c r="AM273" s="45">
        <v>8.58</v>
      </c>
      <c r="AN273" s="45">
        <v>8.59</v>
      </c>
      <c r="AO273" s="45" t="s">
        <v>27</v>
      </c>
      <c r="AQ273" s="45" t="s">
        <v>1011</v>
      </c>
      <c r="AT273" s="45" t="s">
        <v>1012</v>
      </c>
    </row>
    <row r="274">
      <c r="A274" s="107"/>
      <c r="B274" s="108" t="s">
        <v>738</v>
      </c>
      <c r="C274" s="109" t="s">
        <v>2910</v>
      </c>
      <c r="D274" s="108" t="s">
        <v>2911</v>
      </c>
      <c r="E274" s="108" t="s">
        <v>739</v>
      </c>
      <c r="F274" s="108">
        <v>0.0</v>
      </c>
      <c r="G274" s="110">
        <v>5.25333E11</v>
      </c>
      <c r="H274" s="111" t="s">
        <v>1003</v>
      </c>
      <c r="I274" s="111">
        <v>10644.0</v>
      </c>
      <c r="J274" s="111">
        <v>13229.0</v>
      </c>
      <c r="K274" s="108">
        <v>14780.0</v>
      </c>
      <c r="L274" s="112" t="s">
        <v>2912</v>
      </c>
      <c r="M274" s="106">
        <v>7778.0</v>
      </c>
      <c r="N274" s="113">
        <v>0.0</v>
      </c>
      <c r="O274" s="114">
        <v>37779.0</v>
      </c>
      <c r="P274" s="106" t="s">
        <v>60</v>
      </c>
      <c r="Q274" s="45" t="s">
        <v>1006</v>
      </c>
      <c r="R274" s="45">
        <v>100.0</v>
      </c>
      <c r="S274" s="45">
        <v>2019.0</v>
      </c>
      <c r="T274" s="45">
        <v>98.0</v>
      </c>
      <c r="U274" s="45">
        <v>2021.0</v>
      </c>
      <c r="V274" s="45">
        <v>8.93</v>
      </c>
      <c r="W274" s="45">
        <v>84.3</v>
      </c>
      <c r="X274" s="45">
        <v>2025.0</v>
      </c>
      <c r="Y274" s="45">
        <v>0.0</v>
      </c>
      <c r="Z274" s="45">
        <v>0.0</v>
      </c>
      <c r="AA274" s="45" t="s">
        <v>2913</v>
      </c>
      <c r="AB274" s="45" t="s">
        <v>2914</v>
      </c>
      <c r="AC274" s="45">
        <v>7.842420639E9</v>
      </c>
      <c r="AD274" s="45">
        <v>7.036098899E9</v>
      </c>
      <c r="AE274" s="45" t="s">
        <v>740</v>
      </c>
      <c r="AF274" s="45">
        <v>0.0</v>
      </c>
      <c r="AG274" s="45" t="s">
        <v>2915</v>
      </c>
      <c r="AH274" s="45" t="s">
        <v>2916</v>
      </c>
      <c r="AI274" s="45">
        <v>8.86</v>
      </c>
      <c r="AJ274" s="45">
        <v>9.02</v>
      </c>
      <c r="AK274" s="45">
        <v>8.55</v>
      </c>
      <c r="AL274" s="45">
        <v>0.0</v>
      </c>
      <c r="AM274" s="45">
        <v>8.95</v>
      </c>
      <c r="AN274" s="45">
        <v>8.93</v>
      </c>
      <c r="AO274" s="45" t="s">
        <v>27</v>
      </c>
      <c r="AQ274" s="45" t="s">
        <v>1011</v>
      </c>
      <c r="AT274" s="45" t="s">
        <v>1012</v>
      </c>
    </row>
    <row r="275">
      <c r="A275" s="107"/>
      <c r="B275" s="108" t="s">
        <v>741</v>
      </c>
      <c r="C275" s="109" t="s">
        <v>2917</v>
      </c>
      <c r="D275" s="108" t="s">
        <v>2918</v>
      </c>
      <c r="E275" s="108" t="s">
        <v>742</v>
      </c>
      <c r="F275" s="108">
        <v>0.0</v>
      </c>
      <c r="G275" s="110">
        <v>6.14482E11</v>
      </c>
      <c r="H275" s="111" t="s">
        <v>1003</v>
      </c>
      <c r="I275" s="111" t="s">
        <v>1003</v>
      </c>
      <c r="J275" s="111" t="s">
        <v>1003</v>
      </c>
      <c r="K275" s="108" t="s">
        <v>1003</v>
      </c>
      <c r="L275" s="112" t="s">
        <v>2919</v>
      </c>
      <c r="M275" s="106">
        <v>7101.0</v>
      </c>
      <c r="N275" s="113">
        <v>0.0</v>
      </c>
      <c r="O275" s="106" t="s">
        <v>2920</v>
      </c>
      <c r="P275" s="106" t="s">
        <v>60</v>
      </c>
      <c r="Q275" s="45" t="s">
        <v>1006</v>
      </c>
      <c r="R275" s="45">
        <v>98.0</v>
      </c>
      <c r="S275" s="45">
        <v>2019.0</v>
      </c>
      <c r="T275" s="45">
        <v>97.0</v>
      </c>
      <c r="U275" s="45">
        <v>2021.0</v>
      </c>
      <c r="V275" s="45">
        <v>8.97</v>
      </c>
      <c r="W275" s="45">
        <v>84.7</v>
      </c>
      <c r="X275" s="45">
        <v>2025.0</v>
      </c>
      <c r="Y275" s="45">
        <v>0.0</v>
      </c>
      <c r="Z275" s="45">
        <v>0.0</v>
      </c>
      <c r="AA275" s="45" t="s">
        <v>2921</v>
      </c>
      <c r="AB275" s="45" t="s">
        <v>2922</v>
      </c>
      <c r="AC275" s="45">
        <v>9.392551949E9</v>
      </c>
      <c r="AD275" s="45">
        <v>8.099675027E9</v>
      </c>
      <c r="AE275" s="45" t="s">
        <v>237</v>
      </c>
      <c r="AF275" s="45">
        <v>0.0</v>
      </c>
      <c r="AG275" s="45" t="s">
        <v>2923</v>
      </c>
      <c r="AH275" s="45" t="s">
        <v>2924</v>
      </c>
      <c r="AI275" s="45">
        <v>9.11</v>
      </c>
      <c r="AJ275" s="45">
        <v>9.1</v>
      </c>
      <c r="AK275" s="45">
        <v>8.68</v>
      </c>
      <c r="AL275" s="45">
        <v>0.0</v>
      </c>
      <c r="AM275" s="45">
        <v>9.0</v>
      </c>
      <c r="AN275" s="45">
        <v>8.97</v>
      </c>
      <c r="AO275" s="45" t="s">
        <v>27</v>
      </c>
      <c r="AQ275" s="45" t="s">
        <v>1011</v>
      </c>
      <c r="AT275" s="45" t="s">
        <v>1012</v>
      </c>
    </row>
    <row r="276">
      <c r="A276" s="107"/>
      <c r="B276" s="108" t="s">
        <v>743</v>
      </c>
      <c r="C276" s="109" t="s">
        <v>2925</v>
      </c>
      <c r="D276" s="108" t="s">
        <v>2926</v>
      </c>
      <c r="E276" s="108" t="s">
        <v>744</v>
      </c>
      <c r="F276" s="108">
        <v>0.0</v>
      </c>
      <c r="G276" s="110">
        <v>5.60478E11</v>
      </c>
      <c r="H276" s="111" t="s">
        <v>1003</v>
      </c>
      <c r="I276" s="111">
        <v>3143.0</v>
      </c>
      <c r="J276" s="111" t="s">
        <v>1003</v>
      </c>
      <c r="K276" s="108" t="s">
        <v>1003</v>
      </c>
      <c r="L276" s="112" t="s">
        <v>2912</v>
      </c>
      <c r="M276" s="106">
        <v>7611.0</v>
      </c>
      <c r="N276" s="113">
        <v>0.0</v>
      </c>
      <c r="O276" s="106" t="s">
        <v>2927</v>
      </c>
      <c r="P276" s="106" t="s">
        <v>60</v>
      </c>
      <c r="Q276" s="45" t="s">
        <v>1006</v>
      </c>
      <c r="R276" s="45">
        <v>98.0</v>
      </c>
      <c r="S276" s="45">
        <v>2019.0</v>
      </c>
      <c r="T276" s="45">
        <v>98.2</v>
      </c>
      <c r="U276" s="45">
        <v>2021.0</v>
      </c>
      <c r="V276" s="45">
        <v>9.48</v>
      </c>
      <c r="W276" s="45">
        <v>89.8</v>
      </c>
      <c r="X276" s="45">
        <v>2025.0</v>
      </c>
      <c r="Y276" s="45">
        <v>0.0</v>
      </c>
      <c r="Z276" s="45">
        <v>0.0</v>
      </c>
      <c r="AA276" s="45" t="s">
        <v>2928</v>
      </c>
      <c r="AB276" s="45" t="s">
        <v>2929</v>
      </c>
      <c r="AC276" s="45">
        <v>9.182181037E9</v>
      </c>
      <c r="AD276" s="45">
        <v>7.780573793E9</v>
      </c>
      <c r="AE276" s="45" t="s">
        <v>406</v>
      </c>
      <c r="AF276" s="45" t="s">
        <v>61</v>
      </c>
      <c r="AG276" s="45" t="s">
        <v>2930</v>
      </c>
      <c r="AH276" s="45" t="s">
        <v>2931</v>
      </c>
      <c r="AI276" s="45">
        <v>9.68</v>
      </c>
      <c r="AJ276" s="45">
        <v>9.61</v>
      </c>
      <c r="AK276" s="45">
        <v>9.14</v>
      </c>
      <c r="AL276" s="45">
        <v>0.0</v>
      </c>
      <c r="AM276" s="45">
        <v>9.46</v>
      </c>
      <c r="AN276" s="45">
        <v>9.48</v>
      </c>
      <c r="AO276" s="45" t="s">
        <v>27</v>
      </c>
      <c r="AQ276" s="45" t="s">
        <v>1011</v>
      </c>
      <c r="AT276" s="45" t="s">
        <v>1012</v>
      </c>
    </row>
    <row r="277">
      <c r="A277" s="107"/>
      <c r="B277" s="108" t="s">
        <v>745</v>
      </c>
      <c r="C277" s="109" t="s">
        <v>2932</v>
      </c>
      <c r="D277" s="108" t="s">
        <v>2933</v>
      </c>
      <c r="E277" s="108" t="s">
        <v>746</v>
      </c>
      <c r="F277" s="108">
        <v>0.0</v>
      </c>
      <c r="G277" s="110">
        <v>9.21794E11</v>
      </c>
      <c r="H277" s="111" t="s">
        <v>1003</v>
      </c>
      <c r="I277" s="111" t="s">
        <v>1003</v>
      </c>
      <c r="J277" s="111" t="s">
        <v>1003</v>
      </c>
      <c r="K277" s="108" t="s">
        <v>1003</v>
      </c>
      <c r="L277" s="112" t="s">
        <v>1084</v>
      </c>
      <c r="M277" s="106">
        <v>8224.0</v>
      </c>
      <c r="N277" s="113">
        <v>0.0</v>
      </c>
      <c r="O277" s="114">
        <v>37683.0</v>
      </c>
      <c r="P277" s="106" t="s">
        <v>46</v>
      </c>
      <c r="Q277" s="45" t="s">
        <v>1006</v>
      </c>
      <c r="R277" s="45">
        <v>91.83</v>
      </c>
      <c r="S277" s="45">
        <v>2019.0</v>
      </c>
      <c r="T277" s="45">
        <v>94.6</v>
      </c>
      <c r="U277" s="45">
        <v>2021.0</v>
      </c>
      <c r="V277" s="45">
        <v>8.56</v>
      </c>
      <c r="W277" s="45">
        <v>80.6</v>
      </c>
      <c r="X277" s="45">
        <v>2025.0</v>
      </c>
      <c r="Y277" s="45">
        <v>0.0</v>
      </c>
      <c r="Z277" s="45">
        <v>0.0</v>
      </c>
      <c r="AA277" s="45" t="s">
        <v>2934</v>
      </c>
      <c r="AB277" s="45" t="s">
        <v>2935</v>
      </c>
      <c r="AC277" s="45">
        <v>9.848070224E9</v>
      </c>
      <c r="AD277" s="45">
        <v>9.848881769E9</v>
      </c>
      <c r="AE277" s="45" t="s">
        <v>748</v>
      </c>
      <c r="AF277" s="45" t="s">
        <v>747</v>
      </c>
      <c r="AG277" s="45" t="s">
        <v>2936</v>
      </c>
      <c r="AH277" s="45" t="s">
        <v>2937</v>
      </c>
      <c r="AI277" s="45">
        <v>9.03</v>
      </c>
      <c r="AJ277" s="45">
        <v>8.76</v>
      </c>
      <c r="AK277" s="45">
        <v>8.11</v>
      </c>
      <c r="AL277" s="45">
        <v>0.0</v>
      </c>
      <c r="AM277" s="45">
        <v>8.48</v>
      </c>
      <c r="AN277" s="45">
        <v>8.56</v>
      </c>
      <c r="AO277" s="45" t="s">
        <v>27</v>
      </c>
      <c r="AQ277" s="45" t="s">
        <v>1011</v>
      </c>
      <c r="AT277" s="45" t="s">
        <v>1012</v>
      </c>
    </row>
    <row r="278">
      <c r="A278" s="107"/>
      <c r="B278" s="108" t="s">
        <v>749</v>
      </c>
      <c r="C278" s="109" t="s">
        <v>1250</v>
      </c>
      <c r="D278" s="108" t="s">
        <v>2938</v>
      </c>
      <c r="E278" s="108" t="s">
        <v>750</v>
      </c>
      <c r="F278" s="108">
        <v>0.0</v>
      </c>
      <c r="G278" s="110">
        <v>5.00702E11</v>
      </c>
      <c r="H278" s="111" t="s">
        <v>1003</v>
      </c>
      <c r="I278" s="111" t="s">
        <v>1003</v>
      </c>
      <c r="J278" s="111" t="s">
        <v>1003</v>
      </c>
      <c r="K278" s="108" t="s">
        <v>1003</v>
      </c>
      <c r="L278" s="112" t="s">
        <v>2939</v>
      </c>
      <c r="M278" s="106">
        <v>0.0</v>
      </c>
      <c r="N278" s="113">
        <v>0.0</v>
      </c>
      <c r="O278" s="114">
        <v>37811.0</v>
      </c>
      <c r="P278" s="106" t="s">
        <v>46</v>
      </c>
      <c r="Q278" s="45" t="s">
        <v>1006</v>
      </c>
      <c r="R278" s="45">
        <v>82.0</v>
      </c>
      <c r="S278" s="45">
        <v>2019.0</v>
      </c>
      <c r="T278" s="45">
        <v>68.0</v>
      </c>
      <c r="U278" s="45">
        <v>2021.0</v>
      </c>
      <c r="V278" s="45">
        <v>6.94</v>
      </c>
      <c r="W278" s="45">
        <v>64.4</v>
      </c>
      <c r="X278" s="45">
        <v>2025.0</v>
      </c>
      <c r="Y278" s="45">
        <v>0.0</v>
      </c>
      <c r="Z278" s="45">
        <v>0.0</v>
      </c>
      <c r="AA278" s="45" t="s">
        <v>2940</v>
      </c>
      <c r="AB278" s="45" t="s">
        <v>2941</v>
      </c>
      <c r="AC278" s="45">
        <v>8.523821442E9</v>
      </c>
      <c r="AD278" s="45">
        <v>8.019860086E9</v>
      </c>
      <c r="AE278" s="45">
        <v>0.0</v>
      </c>
      <c r="AF278" s="45">
        <v>0.0</v>
      </c>
      <c r="AG278" s="45" t="s">
        <v>2942</v>
      </c>
      <c r="AH278" s="45" t="s">
        <v>2943</v>
      </c>
      <c r="AI278" s="45">
        <v>6.89</v>
      </c>
      <c r="AJ278" s="45">
        <v>6.66</v>
      </c>
      <c r="AK278" s="45">
        <v>6.66</v>
      </c>
      <c r="AL278" s="45">
        <v>0.0</v>
      </c>
      <c r="AM278" s="45">
        <v>6.91</v>
      </c>
      <c r="AN278" s="45">
        <v>6.94</v>
      </c>
      <c r="AO278" s="45" t="s">
        <v>27</v>
      </c>
      <c r="AQ278" s="45" t="s">
        <v>1011</v>
      </c>
      <c r="AT278" s="45" t="s">
        <v>1012</v>
      </c>
    </row>
    <row r="279">
      <c r="A279" s="107"/>
      <c r="B279" s="108" t="s">
        <v>751</v>
      </c>
      <c r="C279" s="109" t="s">
        <v>2944</v>
      </c>
      <c r="D279" s="108" t="s">
        <v>1046</v>
      </c>
      <c r="E279" s="108" t="s">
        <v>752</v>
      </c>
      <c r="F279" s="108">
        <v>0.0</v>
      </c>
      <c r="G279" s="110">
        <v>4.67181E11</v>
      </c>
      <c r="H279" s="111" t="s">
        <v>1003</v>
      </c>
      <c r="I279" s="111" t="s">
        <v>1003</v>
      </c>
      <c r="J279" s="111" t="s">
        <v>1003</v>
      </c>
      <c r="K279" s="108" t="s">
        <v>1003</v>
      </c>
      <c r="L279" s="112" t="s">
        <v>2945</v>
      </c>
      <c r="M279" s="106">
        <v>10438.0</v>
      </c>
      <c r="N279" s="113">
        <v>0.0</v>
      </c>
      <c r="O279" s="106" t="s">
        <v>2946</v>
      </c>
      <c r="P279" s="106" t="s">
        <v>46</v>
      </c>
      <c r="Q279" s="45" t="s">
        <v>1006</v>
      </c>
      <c r="R279" s="45">
        <v>95.0</v>
      </c>
      <c r="S279" s="45">
        <v>2019.0</v>
      </c>
      <c r="T279" s="45">
        <v>93.8</v>
      </c>
      <c r="U279" s="45">
        <v>2021.0</v>
      </c>
      <c r="V279" s="45">
        <v>8.31</v>
      </c>
      <c r="W279" s="45">
        <v>78.1</v>
      </c>
      <c r="X279" s="45">
        <v>2025.0</v>
      </c>
      <c r="Y279" s="45">
        <v>0.0</v>
      </c>
      <c r="Z279" s="45">
        <v>0.0</v>
      </c>
      <c r="AA279" s="45" t="s">
        <v>2947</v>
      </c>
      <c r="AB279" s="45" t="s">
        <v>2948</v>
      </c>
      <c r="AC279" s="45">
        <v>6.28161486E9</v>
      </c>
      <c r="AD279" s="45">
        <v>9.908153792E9</v>
      </c>
      <c r="AE279" s="45">
        <v>0.0</v>
      </c>
      <c r="AF279" s="45">
        <v>0.0</v>
      </c>
      <c r="AG279" s="45" t="s">
        <v>2949</v>
      </c>
      <c r="AH279" s="45" t="s">
        <v>2950</v>
      </c>
      <c r="AI279" s="45">
        <v>8.3</v>
      </c>
      <c r="AJ279" s="45">
        <v>8.56</v>
      </c>
      <c r="AK279" s="45">
        <v>7.93</v>
      </c>
      <c r="AL279" s="45">
        <v>0.0</v>
      </c>
      <c r="AM279" s="45">
        <v>8.36</v>
      </c>
      <c r="AN279" s="45">
        <v>8.31</v>
      </c>
      <c r="AO279" s="45" t="s">
        <v>28</v>
      </c>
      <c r="AQ279" s="45" t="s">
        <v>1011</v>
      </c>
      <c r="AT279" s="45" t="s">
        <v>1012</v>
      </c>
    </row>
    <row r="280">
      <c r="A280" s="107"/>
      <c r="B280" s="108" t="s">
        <v>753</v>
      </c>
      <c r="C280" s="109" t="s">
        <v>2951</v>
      </c>
      <c r="D280" s="108" t="s">
        <v>2952</v>
      </c>
      <c r="E280" s="108" t="s">
        <v>754</v>
      </c>
      <c r="F280" s="108">
        <v>0.0</v>
      </c>
      <c r="G280" s="110">
        <v>2.05281E11</v>
      </c>
      <c r="H280" s="111" t="s">
        <v>1003</v>
      </c>
      <c r="I280" s="111">
        <v>12847.0</v>
      </c>
      <c r="J280" s="111">
        <v>15235.0</v>
      </c>
      <c r="K280" s="108">
        <v>16505.0</v>
      </c>
      <c r="L280" s="112" t="s">
        <v>2945</v>
      </c>
      <c r="M280" s="106">
        <v>16042.0</v>
      </c>
      <c r="N280" s="113">
        <v>0.0</v>
      </c>
      <c r="O280" s="118">
        <v>37905.0</v>
      </c>
      <c r="P280" s="106" t="s">
        <v>46</v>
      </c>
      <c r="Q280" s="45" t="s">
        <v>1006</v>
      </c>
      <c r="R280" s="45">
        <v>91.2</v>
      </c>
      <c r="S280" s="45">
        <v>2019.0</v>
      </c>
      <c r="T280" s="45">
        <v>97.2</v>
      </c>
      <c r="U280" s="45">
        <v>2021.0</v>
      </c>
      <c r="V280" s="45">
        <v>8.77</v>
      </c>
      <c r="W280" s="45">
        <v>82.7</v>
      </c>
      <c r="X280" s="45">
        <v>2025.0</v>
      </c>
      <c r="Y280" s="45">
        <v>0.0</v>
      </c>
      <c r="Z280" s="45">
        <v>0.0</v>
      </c>
      <c r="AA280" s="45" t="s">
        <v>2953</v>
      </c>
      <c r="AB280" s="45" t="s">
        <v>2954</v>
      </c>
      <c r="AC280" s="45">
        <v>9.014549574E9</v>
      </c>
      <c r="AD280" s="45">
        <v>9.246203075E9</v>
      </c>
      <c r="AE280" s="45" t="s">
        <v>755</v>
      </c>
      <c r="AF280" s="45">
        <v>0.0</v>
      </c>
      <c r="AG280" s="45" t="s">
        <v>2955</v>
      </c>
      <c r="AH280" s="45" t="s">
        <v>2956</v>
      </c>
      <c r="AI280" s="45">
        <v>8.86</v>
      </c>
      <c r="AJ280" s="45">
        <v>8.61</v>
      </c>
      <c r="AK280" s="45">
        <v>8.34</v>
      </c>
      <c r="AL280" s="45">
        <v>0.0</v>
      </c>
      <c r="AM280" s="45">
        <v>8.73</v>
      </c>
      <c r="AN280" s="45">
        <v>8.77</v>
      </c>
      <c r="AO280" s="45" t="s">
        <v>27</v>
      </c>
      <c r="AQ280" s="45" t="s">
        <v>1011</v>
      </c>
      <c r="AT280" s="45" t="s">
        <v>1012</v>
      </c>
    </row>
    <row r="281">
      <c r="A281" s="107"/>
      <c r="B281" s="108" t="s">
        <v>756</v>
      </c>
      <c r="C281" s="109" t="s">
        <v>2957</v>
      </c>
      <c r="D281" s="108" t="s">
        <v>2958</v>
      </c>
      <c r="E281" s="108" t="s">
        <v>757</v>
      </c>
      <c r="F281" s="108">
        <v>0.0</v>
      </c>
      <c r="G281" s="110">
        <v>7.31404E11</v>
      </c>
      <c r="H281" s="111" t="s">
        <v>1003</v>
      </c>
      <c r="I281" s="111" t="s">
        <v>1003</v>
      </c>
      <c r="J281" s="111" t="s">
        <v>1003</v>
      </c>
      <c r="K281" s="108" t="s">
        <v>1003</v>
      </c>
      <c r="L281" s="112" t="s">
        <v>2959</v>
      </c>
      <c r="M281" s="106">
        <v>0.0</v>
      </c>
      <c r="N281" s="113">
        <v>955.0</v>
      </c>
      <c r="O281" s="114">
        <v>38018.0</v>
      </c>
      <c r="P281" s="106" t="s">
        <v>60</v>
      </c>
      <c r="Q281" s="45" t="s">
        <v>1006</v>
      </c>
      <c r="R281" s="45">
        <v>88.0</v>
      </c>
      <c r="S281" s="45">
        <v>2019.0</v>
      </c>
      <c r="T281" s="45">
        <v>73.1</v>
      </c>
      <c r="U281" s="45">
        <v>2022.0</v>
      </c>
      <c r="V281" s="45">
        <v>7.88</v>
      </c>
      <c r="W281" s="45">
        <v>73.8</v>
      </c>
      <c r="X281" s="45">
        <v>2025.0</v>
      </c>
      <c r="Y281" s="45">
        <v>0.0</v>
      </c>
      <c r="Z281" s="45">
        <v>0.0</v>
      </c>
      <c r="AA281" s="45" t="s">
        <v>2960</v>
      </c>
      <c r="AB281" s="45" t="s">
        <v>2961</v>
      </c>
      <c r="AC281" s="45">
        <v>7.569100268E9</v>
      </c>
      <c r="AD281" s="45">
        <v>9.848950949E9</v>
      </c>
      <c r="AE281" s="45">
        <v>0.0</v>
      </c>
      <c r="AF281" s="45">
        <v>0.0</v>
      </c>
      <c r="AG281" s="45" t="s">
        <v>2962</v>
      </c>
      <c r="AH281" s="45" t="s">
        <v>2963</v>
      </c>
      <c r="AI281" s="45">
        <v>0.0</v>
      </c>
      <c r="AJ281" s="45">
        <v>0.0</v>
      </c>
      <c r="AK281" s="45">
        <v>8.07</v>
      </c>
      <c r="AL281" s="45">
        <v>0.0</v>
      </c>
      <c r="AM281" s="45">
        <v>7.9</v>
      </c>
      <c r="AN281" s="45">
        <v>7.88</v>
      </c>
      <c r="AO281" s="45" t="s">
        <v>27</v>
      </c>
      <c r="AQ281" s="45" t="s">
        <v>1011</v>
      </c>
      <c r="AT281" s="45" t="s">
        <v>1028</v>
      </c>
    </row>
    <row r="282">
      <c r="A282" s="107"/>
      <c r="B282" s="108" t="s">
        <v>758</v>
      </c>
      <c r="C282" s="109" t="s">
        <v>2964</v>
      </c>
      <c r="D282" s="108" t="s">
        <v>2965</v>
      </c>
      <c r="E282" s="108" t="s">
        <v>759</v>
      </c>
      <c r="F282" s="108">
        <v>0.0</v>
      </c>
      <c r="G282" s="110">
        <v>4.66449E11</v>
      </c>
      <c r="H282" s="111" t="s">
        <v>1003</v>
      </c>
      <c r="I282" s="111" t="s">
        <v>1003</v>
      </c>
      <c r="J282" s="111" t="s">
        <v>1003</v>
      </c>
      <c r="K282" s="108" t="s">
        <v>1003</v>
      </c>
      <c r="L282" s="112" t="s">
        <v>1822</v>
      </c>
      <c r="M282" s="106">
        <v>0.0</v>
      </c>
      <c r="N282" s="113">
        <v>874.0</v>
      </c>
      <c r="O282" s="114">
        <v>38174.0</v>
      </c>
      <c r="P282" s="106" t="s">
        <v>46</v>
      </c>
      <c r="Q282" s="45" t="s">
        <v>1006</v>
      </c>
      <c r="R282" s="45">
        <v>90.0</v>
      </c>
      <c r="S282" s="45">
        <v>2019.0</v>
      </c>
      <c r="T282" s="45">
        <v>51.3</v>
      </c>
      <c r="U282" s="45">
        <v>2022.0</v>
      </c>
      <c r="V282" s="45">
        <v>0.0</v>
      </c>
      <c r="W282" s="45">
        <v>-5.0</v>
      </c>
      <c r="X282" s="45">
        <v>2025.0</v>
      </c>
      <c r="Y282" s="45">
        <v>2.0</v>
      </c>
      <c r="Z282" s="45">
        <v>5.0</v>
      </c>
      <c r="AA282" s="45" t="s">
        <v>2966</v>
      </c>
      <c r="AB282" s="45" t="s">
        <v>2967</v>
      </c>
      <c r="AC282" s="45">
        <v>7.337320825E9</v>
      </c>
      <c r="AD282" s="45">
        <v>9.849833295E9</v>
      </c>
      <c r="AE282" s="45">
        <v>0.0</v>
      </c>
      <c r="AF282" s="45">
        <v>0.0</v>
      </c>
      <c r="AG282" s="45" t="s">
        <v>2968</v>
      </c>
      <c r="AH282" s="45" t="s">
        <v>2969</v>
      </c>
      <c r="AI282" s="45">
        <v>0.0</v>
      </c>
      <c r="AJ282" s="45">
        <v>0.0</v>
      </c>
      <c r="AK282" s="45">
        <v>6.59</v>
      </c>
      <c r="AL282" s="45">
        <v>0.0</v>
      </c>
      <c r="AM282" s="45">
        <v>6.02</v>
      </c>
      <c r="AN282" s="45">
        <v>0.0</v>
      </c>
      <c r="AO282" s="45" t="s">
        <v>27</v>
      </c>
      <c r="AQ282" s="45" t="s">
        <v>1011</v>
      </c>
      <c r="AT282" s="45" t="s">
        <v>1012</v>
      </c>
    </row>
    <row r="283">
      <c r="A283" s="107"/>
      <c r="B283" s="108" t="s">
        <v>760</v>
      </c>
      <c r="C283" s="109" t="s">
        <v>2970</v>
      </c>
      <c r="D283" s="108" t="s">
        <v>2971</v>
      </c>
      <c r="E283" s="108" t="s">
        <v>761</v>
      </c>
      <c r="F283" s="108">
        <v>0.0</v>
      </c>
      <c r="G283" s="110">
        <v>6.24224E11</v>
      </c>
      <c r="H283" s="111" t="s">
        <v>1003</v>
      </c>
      <c r="I283" s="111" t="s">
        <v>1003</v>
      </c>
      <c r="J283" s="111" t="s">
        <v>1003</v>
      </c>
      <c r="K283" s="108" t="s">
        <v>1003</v>
      </c>
      <c r="L283" s="112" t="s">
        <v>2018</v>
      </c>
      <c r="M283" s="106">
        <v>0.0</v>
      </c>
      <c r="N283" s="113">
        <v>1839.0</v>
      </c>
      <c r="O283" s="114">
        <v>37631.0</v>
      </c>
      <c r="P283" s="106" t="s">
        <v>60</v>
      </c>
      <c r="Q283" s="45" t="s">
        <v>1006</v>
      </c>
      <c r="R283" s="45">
        <v>90.0</v>
      </c>
      <c r="S283" s="45">
        <v>2019.0</v>
      </c>
      <c r="T283" s="45">
        <v>69.0</v>
      </c>
      <c r="U283" s="45">
        <v>2022.0</v>
      </c>
      <c r="V283" s="45">
        <v>7.18</v>
      </c>
      <c r="W283" s="45">
        <v>66.8</v>
      </c>
      <c r="X283" s="45">
        <v>2025.0</v>
      </c>
      <c r="Y283" s="45">
        <v>0.0</v>
      </c>
      <c r="Z283" s="45">
        <v>0.0</v>
      </c>
      <c r="AA283" s="45" t="s">
        <v>2972</v>
      </c>
      <c r="AB283" s="45" t="s">
        <v>2973</v>
      </c>
      <c r="AC283" s="45">
        <v>9.705065266E9</v>
      </c>
      <c r="AD283" s="45">
        <v>9.701096937E9</v>
      </c>
      <c r="AE283" s="45">
        <v>0.0</v>
      </c>
      <c r="AF283" s="45">
        <v>0.0</v>
      </c>
      <c r="AG283" s="45" t="s">
        <v>2974</v>
      </c>
      <c r="AH283" s="45" t="s">
        <v>2975</v>
      </c>
      <c r="AI283" s="45">
        <v>0.0</v>
      </c>
      <c r="AJ283" s="45">
        <v>0.0</v>
      </c>
      <c r="AK283" s="45">
        <v>7.32</v>
      </c>
      <c r="AL283" s="45">
        <v>0.0</v>
      </c>
      <c r="AM283" s="45">
        <v>7.07</v>
      </c>
      <c r="AN283" s="45">
        <v>7.18</v>
      </c>
      <c r="AO283" s="45" t="s">
        <v>28</v>
      </c>
      <c r="AQ283" s="45" t="s">
        <v>1011</v>
      </c>
      <c r="AT283" s="45" t="s">
        <v>1012</v>
      </c>
    </row>
    <row r="284">
      <c r="A284" s="107"/>
      <c r="B284" s="108" t="s">
        <v>762</v>
      </c>
      <c r="C284" s="109" t="s">
        <v>2976</v>
      </c>
      <c r="D284" s="108" t="s">
        <v>2977</v>
      </c>
      <c r="E284" s="108" t="s">
        <v>763</v>
      </c>
      <c r="F284" s="108">
        <v>0.0</v>
      </c>
      <c r="G284" s="110">
        <v>3.77037E11</v>
      </c>
      <c r="H284" s="111" t="s">
        <v>1003</v>
      </c>
      <c r="I284" s="111" t="s">
        <v>1003</v>
      </c>
      <c r="J284" s="111" t="s">
        <v>1003</v>
      </c>
      <c r="K284" s="108" t="s">
        <v>1003</v>
      </c>
      <c r="L284" s="112" t="s">
        <v>2978</v>
      </c>
      <c r="M284" s="106">
        <v>0.0</v>
      </c>
      <c r="N284" s="113">
        <v>1715.0</v>
      </c>
      <c r="O284" s="106" t="s">
        <v>1179</v>
      </c>
      <c r="P284" s="106" t="s">
        <v>60</v>
      </c>
      <c r="Q284" s="45" t="s">
        <v>1006</v>
      </c>
      <c r="R284" s="45">
        <v>93.0</v>
      </c>
      <c r="S284" s="45">
        <v>2019.0</v>
      </c>
      <c r="T284" s="45">
        <v>87.3</v>
      </c>
      <c r="U284" s="45">
        <v>2022.0</v>
      </c>
      <c r="V284" s="45">
        <v>8.54</v>
      </c>
      <c r="W284" s="45">
        <v>80.4</v>
      </c>
      <c r="X284" s="45">
        <v>2025.0</v>
      </c>
      <c r="Y284" s="45">
        <v>0.0</v>
      </c>
      <c r="Z284" s="45">
        <v>0.0</v>
      </c>
      <c r="AA284" s="45" t="s">
        <v>2979</v>
      </c>
      <c r="AB284" s="45" t="s">
        <v>2980</v>
      </c>
      <c r="AC284" s="45">
        <v>9.014300679E9</v>
      </c>
      <c r="AD284" s="45">
        <v>9.493229728E9</v>
      </c>
      <c r="AE284" s="45" t="s">
        <v>210</v>
      </c>
      <c r="AF284" s="45">
        <v>0.0</v>
      </c>
      <c r="AG284" s="45" t="s">
        <v>2981</v>
      </c>
      <c r="AH284" s="45" t="s">
        <v>2982</v>
      </c>
      <c r="AI284" s="45">
        <v>0.0</v>
      </c>
      <c r="AJ284" s="45">
        <v>0.0</v>
      </c>
      <c r="AK284" s="45">
        <v>8.2</v>
      </c>
      <c r="AL284" s="45">
        <v>0.0</v>
      </c>
      <c r="AM284" s="45">
        <v>8.44</v>
      </c>
      <c r="AN284" s="45">
        <v>8.54</v>
      </c>
      <c r="AO284" s="45" t="s">
        <v>28</v>
      </c>
      <c r="AQ284" s="45" t="s">
        <v>1011</v>
      </c>
      <c r="AT284" s="45" t="s">
        <v>1028</v>
      </c>
    </row>
    <row r="285">
      <c r="A285" s="107"/>
      <c r="B285" s="108" t="s">
        <v>764</v>
      </c>
      <c r="C285" s="109" t="s">
        <v>2983</v>
      </c>
      <c r="D285" s="108" t="s">
        <v>2984</v>
      </c>
      <c r="E285" s="108" t="s">
        <v>765</v>
      </c>
      <c r="F285" s="108">
        <v>0.0</v>
      </c>
      <c r="G285" s="110">
        <v>4.24189E11</v>
      </c>
      <c r="H285" s="111" t="s">
        <v>1003</v>
      </c>
      <c r="I285" s="111" t="s">
        <v>1003</v>
      </c>
      <c r="J285" s="111" t="s">
        <v>1003</v>
      </c>
      <c r="K285" s="108" t="s">
        <v>1003</v>
      </c>
      <c r="L285" s="112" t="s">
        <v>2985</v>
      </c>
      <c r="M285" s="106">
        <v>0.0</v>
      </c>
      <c r="N285" s="113">
        <v>710.0</v>
      </c>
      <c r="O285" s="106" t="s">
        <v>2986</v>
      </c>
      <c r="P285" s="106" t="s">
        <v>60</v>
      </c>
      <c r="Q285" s="45" t="s">
        <v>1006</v>
      </c>
      <c r="R285" s="45">
        <v>88.0</v>
      </c>
      <c r="S285" s="45">
        <v>2019.0</v>
      </c>
      <c r="T285" s="45">
        <v>90.0</v>
      </c>
      <c r="U285" s="45">
        <v>2022.0</v>
      </c>
      <c r="V285" s="45">
        <v>8.56</v>
      </c>
      <c r="W285" s="45">
        <v>80.6</v>
      </c>
      <c r="X285" s="45">
        <v>2025.0</v>
      </c>
      <c r="Y285" s="45">
        <v>0.0</v>
      </c>
      <c r="Z285" s="45">
        <v>0.0</v>
      </c>
      <c r="AA285" s="45" t="s">
        <v>2987</v>
      </c>
      <c r="AB285" s="45" t="s">
        <v>2988</v>
      </c>
      <c r="AC285" s="45">
        <v>9.492414266E9</v>
      </c>
      <c r="AD285" s="45">
        <v>8.330909579E9</v>
      </c>
      <c r="AE285" s="45" t="s">
        <v>766</v>
      </c>
      <c r="AF285" s="45">
        <v>0.0</v>
      </c>
      <c r="AG285" s="45" t="s">
        <v>2989</v>
      </c>
      <c r="AH285" s="45" t="s">
        <v>2990</v>
      </c>
      <c r="AI285" s="45">
        <v>0.0</v>
      </c>
      <c r="AJ285" s="45">
        <v>0.0</v>
      </c>
      <c r="AK285" s="45">
        <v>8.39</v>
      </c>
      <c r="AL285" s="45">
        <v>0.0</v>
      </c>
      <c r="AM285" s="45">
        <v>8.47</v>
      </c>
      <c r="AN285" s="45">
        <v>8.56</v>
      </c>
      <c r="AO285" s="45" t="s">
        <v>27</v>
      </c>
      <c r="AQ285" s="45" t="s">
        <v>1011</v>
      </c>
      <c r="AT285" s="45" t="s">
        <v>1012</v>
      </c>
    </row>
    <row r="286">
      <c r="A286" s="107"/>
      <c r="B286" s="108" t="s">
        <v>767</v>
      </c>
      <c r="C286" s="109" t="s">
        <v>2991</v>
      </c>
      <c r="D286" s="108" t="s">
        <v>1945</v>
      </c>
      <c r="E286" s="108" t="s">
        <v>768</v>
      </c>
      <c r="F286" s="108">
        <v>0.0</v>
      </c>
      <c r="G286" s="110">
        <v>8.61272E11</v>
      </c>
      <c r="H286" s="111" t="s">
        <v>1003</v>
      </c>
      <c r="I286" s="111">
        <v>6894.0</v>
      </c>
      <c r="J286" s="111">
        <v>6371.0</v>
      </c>
      <c r="K286" s="108" t="s">
        <v>1003</v>
      </c>
      <c r="L286" s="112" t="s">
        <v>1236</v>
      </c>
      <c r="M286" s="106">
        <v>0.0</v>
      </c>
      <c r="N286" s="113">
        <v>458.0</v>
      </c>
      <c r="O286" s="106" t="s">
        <v>2992</v>
      </c>
      <c r="P286" s="106" t="s">
        <v>46</v>
      </c>
      <c r="Q286" s="45" t="s">
        <v>1006</v>
      </c>
      <c r="R286" s="45">
        <v>93.0</v>
      </c>
      <c r="S286" s="45">
        <v>2019.0</v>
      </c>
      <c r="T286" s="45">
        <v>86.7</v>
      </c>
      <c r="U286" s="45">
        <v>2022.0</v>
      </c>
      <c r="V286" s="45">
        <v>7.95</v>
      </c>
      <c r="W286" s="45">
        <v>74.5</v>
      </c>
      <c r="X286" s="45">
        <v>2025.0</v>
      </c>
      <c r="Y286" s="45">
        <v>0.0</v>
      </c>
      <c r="Z286" s="45">
        <v>0.0</v>
      </c>
      <c r="AA286" s="45" t="s">
        <v>2993</v>
      </c>
      <c r="AB286" s="45" t="s">
        <v>2994</v>
      </c>
      <c r="AC286" s="45">
        <v>9.059101837E9</v>
      </c>
      <c r="AD286" s="45">
        <v>9.701952442E9</v>
      </c>
      <c r="AE286" s="45">
        <v>0.0</v>
      </c>
      <c r="AF286" s="45">
        <v>0.0</v>
      </c>
      <c r="AG286" s="45" t="s">
        <v>2995</v>
      </c>
      <c r="AH286" s="45" t="s">
        <v>2996</v>
      </c>
      <c r="AI286" s="45">
        <v>0.0</v>
      </c>
      <c r="AJ286" s="45">
        <v>0.0</v>
      </c>
      <c r="AK286" s="45">
        <v>7.93</v>
      </c>
      <c r="AL286" s="45">
        <v>0.0</v>
      </c>
      <c r="AM286" s="45">
        <v>7.94</v>
      </c>
      <c r="AN286" s="45">
        <v>7.95</v>
      </c>
      <c r="AO286" s="45" t="s">
        <v>27</v>
      </c>
      <c r="AQ286" s="45" t="s">
        <v>1011</v>
      </c>
      <c r="AT286" s="45" t="s">
        <v>1012</v>
      </c>
    </row>
    <row r="287">
      <c r="A287" s="107"/>
      <c r="B287" s="108" t="s">
        <v>769</v>
      </c>
      <c r="C287" s="109" t="s">
        <v>2997</v>
      </c>
      <c r="D287" s="108" t="s">
        <v>2998</v>
      </c>
      <c r="E287" s="108" t="s">
        <v>770</v>
      </c>
      <c r="F287" s="108">
        <v>0.0</v>
      </c>
      <c r="G287" s="110">
        <v>8.53567E11</v>
      </c>
      <c r="H287" s="111" t="s">
        <v>1003</v>
      </c>
      <c r="I287" s="111" t="s">
        <v>1003</v>
      </c>
      <c r="J287" s="111" t="s">
        <v>1003</v>
      </c>
      <c r="K287" s="108" t="s">
        <v>1003</v>
      </c>
      <c r="L287" s="112" t="s">
        <v>1479</v>
      </c>
      <c r="M287" s="106">
        <v>0.0</v>
      </c>
      <c r="N287" s="113">
        <v>0.0</v>
      </c>
      <c r="O287" s="114">
        <v>37899.0</v>
      </c>
      <c r="P287" s="106" t="s">
        <v>60</v>
      </c>
      <c r="Q287" s="45" t="s">
        <v>1006</v>
      </c>
      <c r="R287" s="45">
        <v>97.0</v>
      </c>
      <c r="S287" s="45">
        <v>2019.0</v>
      </c>
      <c r="T287" s="45">
        <v>86.6</v>
      </c>
      <c r="U287" s="45">
        <v>2022.0</v>
      </c>
      <c r="V287" s="45">
        <v>7.38</v>
      </c>
      <c r="W287" s="45">
        <v>68.8</v>
      </c>
      <c r="X287" s="45">
        <v>2025.0</v>
      </c>
      <c r="Y287" s="45">
        <v>0.0</v>
      </c>
      <c r="Z287" s="45">
        <v>0.0</v>
      </c>
      <c r="AA287" s="45" t="s">
        <v>2999</v>
      </c>
      <c r="AB287" s="45" t="s">
        <v>3000</v>
      </c>
      <c r="AC287" s="45">
        <v>9.392997547E9</v>
      </c>
      <c r="AD287" s="45">
        <v>9.440261201E9</v>
      </c>
      <c r="AE287" s="45">
        <v>0.0</v>
      </c>
      <c r="AF287" s="45">
        <v>0.0</v>
      </c>
      <c r="AG287" s="45" t="s">
        <v>3001</v>
      </c>
      <c r="AH287" s="45" t="s">
        <v>3002</v>
      </c>
      <c r="AI287" s="45">
        <v>0.0</v>
      </c>
      <c r="AJ287" s="45">
        <v>0.0</v>
      </c>
      <c r="AK287" s="45">
        <v>7.05</v>
      </c>
      <c r="AL287" s="45">
        <v>0.0</v>
      </c>
      <c r="AM287" s="45">
        <v>7.22</v>
      </c>
      <c r="AN287" s="45">
        <v>7.38</v>
      </c>
      <c r="AO287" s="45" t="s">
        <v>28</v>
      </c>
      <c r="AQ287" s="45" t="s">
        <v>1011</v>
      </c>
      <c r="AT287" s="45" t="s">
        <v>1012</v>
      </c>
    </row>
    <row r="288">
      <c r="A288" s="107"/>
      <c r="B288" s="108" t="s">
        <v>771</v>
      </c>
      <c r="C288" s="109" t="s">
        <v>3003</v>
      </c>
      <c r="D288" s="108" t="s">
        <v>3004</v>
      </c>
      <c r="E288" s="108" t="s">
        <v>772</v>
      </c>
      <c r="F288" s="108">
        <v>0.0</v>
      </c>
      <c r="G288" s="110">
        <v>2.20155E11</v>
      </c>
      <c r="H288" s="111" t="s">
        <v>1003</v>
      </c>
      <c r="I288" s="111">
        <v>2512.0</v>
      </c>
      <c r="J288" s="111" t="s">
        <v>1003</v>
      </c>
      <c r="K288" s="108" t="s">
        <v>1003</v>
      </c>
      <c r="L288" s="112" t="s">
        <v>3005</v>
      </c>
      <c r="M288" s="106">
        <v>28344.0</v>
      </c>
      <c r="N288" s="113">
        <v>0.0</v>
      </c>
      <c r="O288" s="114">
        <v>38391.0</v>
      </c>
      <c r="P288" s="106" t="s">
        <v>60</v>
      </c>
      <c r="Q288" s="45" t="s">
        <v>1006</v>
      </c>
      <c r="R288" s="45">
        <v>98.0</v>
      </c>
      <c r="S288" s="45">
        <v>2019.0</v>
      </c>
      <c r="T288" s="45">
        <v>97.6</v>
      </c>
      <c r="U288" s="45">
        <v>2021.0</v>
      </c>
      <c r="V288" s="45">
        <v>8.89</v>
      </c>
      <c r="W288" s="45">
        <v>83.9</v>
      </c>
      <c r="X288" s="45">
        <v>2025.0</v>
      </c>
      <c r="Y288" s="45">
        <v>0.0</v>
      </c>
      <c r="Z288" s="45">
        <v>0.0</v>
      </c>
      <c r="AA288" s="45" t="s">
        <v>3006</v>
      </c>
      <c r="AB288" s="45" t="s">
        <v>3007</v>
      </c>
      <c r="AC288" s="45">
        <v>6.303125013E9</v>
      </c>
      <c r="AD288" s="45">
        <v>9.490059707E9</v>
      </c>
      <c r="AE288" s="45" t="s">
        <v>773</v>
      </c>
      <c r="AF288" s="45">
        <v>0.0</v>
      </c>
      <c r="AG288" s="45" t="s">
        <v>3008</v>
      </c>
      <c r="AH288" s="45" t="s">
        <v>3009</v>
      </c>
      <c r="AI288" s="45">
        <v>9.59</v>
      </c>
      <c r="AJ288" s="45">
        <v>8.93</v>
      </c>
      <c r="AK288" s="45">
        <v>8.45</v>
      </c>
      <c r="AL288" s="45">
        <v>0.0</v>
      </c>
      <c r="AM288" s="45">
        <v>8.94</v>
      </c>
      <c r="AN288" s="45">
        <v>8.89</v>
      </c>
      <c r="AO288" s="45" t="s">
        <v>28</v>
      </c>
      <c r="AQ288" s="45" t="s">
        <v>1011</v>
      </c>
      <c r="AT288" s="45" t="s">
        <v>1012</v>
      </c>
    </row>
    <row r="289">
      <c r="A289" s="107"/>
      <c r="B289" s="108" t="s">
        <v>774</v>
      </c>
      <c r="C289" s="109" t="s">
        <v>3010</v>
      </c>
      <c r="D289" s="108" t="s">
        <v>3011</v>
      </c>
      <c r="E289" s="108" t="s">
        <v>775</v>
      </c>
      <c r="F289" s="108">
        <v>0.0</v>
      </c>
      <c r="G289" s="110">
        <v>4.29449E11</v>
      </c>
      <c r="H289" s="111" t="s">
        <v>1003</v>
      </c>
      <c r="I289" s="111">
        <v>4131.0</v>
      </c>
      <c r="J289" s="111">
        <v>6573.0</v>
      </c>
      <c r="K289" s="108">
        <v>9142.0</v>
      </c>
      <c r="L289" s="112" t="s">
        <v>1047</v>
      </c>
      <c r="M289" s="106">
        <v>3957.0</v>
      </c>
      <c r="N289" s="113">
        <v>0.0</v>
      </c>
      <c r="O289" s="106" t="s">
        <v>3012</v>
      </c>
      <c r="P289" s="106" t="s">
        <v>60</v>
      </c>
      <c r="Q289" s="45" t="s">
        <v>1006</v>
      </c>
      <c r="R289" s="45">
        <v>100.0</v>
      </c>
      <c r="S289" s="45">
        <v>2019.0</v>
      </c>
      <c r="T289" s="45">
        <v>97.8</v>
      </c>
      <c r="U289" s="45">
        <v>2021.0</v>
      </c>
      <c r="V289" s="45">
        <v>9.13</v>
      </c>
      <c r="W289" s="45">
        <v>86.3</v>
      </c>
      <c r="X289" s="45">
        <v>2025.0</v>
      </c>
      <c r="Y289" s="45">
        <v>0.0</v>
      </c>
      <c r="Z289" s="45">
        <v>0.0</v>
      </c>
      <c r="AA289" s="45" t="s">
        <v>3013</v>
      </c>
      <c r="AB289" s="45" t="s">
        <v>3014</v>
      </c>
      <c r="AC289" s="45">
        <v>9.849350411E9</v>
      </c>
      <c r="AD289" s="45">
        <v>9.030378917E9</v>
      </c>
      <c r="AE289" s="45" t="s">
        <v>776</v>
      </c>
      <c r="AF289" s="45" t="s">
        <v>115</v>
      </c>
      <c r="AG289" s="45" t="s">
        <v>3015</v>
      </c>
      <c r="AH289" s="45" t="s">
        <v>3016</v>
      </c>
      <c r="AI289" s="45">
        <v>9.51</v>
      </c>
      <c r="AJ289" s="45">
        <v>9.24</v>
      </c>
      <c r="AK289" s="45">
        <v>8.86</v>
      </c>
      <c r="AL289" s="45">
        <v>0.0</v>
      </c>
      <c r="AM289" s="45">
        <v>9.16</v>
      </c>
      <c r="AN289" s="45">
        <v>9.13</v>
      </c>
      <c r="AO289" s="45" t="s">
        <v>27</v>
      </c>
      <c r="AQ289" s="45" t="s">
        <v>1011</v>
      </c>
      <c r="AT289" s="45" t="s">
        <v>1028</v>
      </c>
    </row>
    <row r="290">
      <c r="A290" s="107"/>
      <c r="B290" s="108" t="s">
        <v>777</v>
      </c>
      <c r="C290" s="109" t="s">
        <v>3017</v>
      </c>
      <c r="D290" s="108" t="s">
        <v>3018</v>
      </c>
      <c r="E290" s="108" t="s">
        <v>778</v>
      </c>
      <c r="F290" s="108">
        <v>0.0</v>
      </c>
      <c r="G290" s="110">
        <v>4.21305E11</v>
      </c>
      <c r="H290" s="111" t="s">
        <v>1003</v>
      </c>
      <c r="I290" s="111" t="s">
        <v>1003</v>
      </c>
      <c r="J290" s="111" t="s">
        <v>1003</v>
      </c>
      <c r="K290" s="108" t="s">
        <v>1003</v>
      </c>
      <c r="L290" s="112" t="s">
        <v>1325</v>
      </c>
      <c r="M290" s="106">
        <v>13158.0</v>
      </c>
      <c r="N290" s="113">
        <v>0.0</v>
      </c>
      <c r="O290" s="106" t="s">
        <v>3019</v>
      </c>
      <c r="P290" s="106" t="s">
        <v>46</v>
      </c>
      <c r="Q290" s="45" t="s">
        <v>1006</v>
      </c>
      <c r="R290" s="45">
        <v>98.0</v>
      </c>
      <c r="S290" s="45">
        <v>2019.0</v>
      </c>
      <c r="T290" s="45">
        <v>85.0</v>
      </c>
      <c r="U290" s="45">
        <v>2021.0</v>
      </c>
      <c r="V290" s="45">
        <v>7.58</v>
      </c>
      <c r="W290" s="45">
        <v>70.8</v>
      </c>
      <c r="X290" s="45">
        <v>2025.0</v>
      </c>
      <c r="Y290" s="45">
        <v>0.0</v>
      </c>
      <c r="Z290" s="45">
        <v>0.0</v>
      </c>
      <c r="AA290" s="45" t="s">
        <v>3020</v>
      </c>
      <c r="AB290" s="45" t="s">
        <v>3021</v>
      </c>
      <c r="AC290" s="45">
        <v>8.639328839E9</v>
      </c>
      <c r="AD290" s="45">
        <v>9.12187289E9</v>
      </c>
      <c r="AE290" s="45">
        <v>0.0</v>
      </c>
      <c r="AF290" s="45">
        <v>0.0</v>
      </c>
      <c r="AG290" s="45" t="s">
        <v>3022</v>
      </c>
      <c r="AH290" s="45" t="s">
        <v>3023</v>
      </c>
      <c r="AI290" s="45">
        <v>7.65</v>
      </c>
      <c r="AJ290" s="45">
        <v>7.02</v>
      </c>
      <c r="AK290" s="45">
        <v>7.73</v>
      </c>
      <c r="AL290" s="45">
        <v>0.0</v>
      </c>
      <c r="AM290" s="45">
        <v>7.62</v>
      </c>
      <c r="AN290" s="45">
        <v>7.58</v>
      </c>
      <c r="AO290" s="45" t="s">
        <v>28</v>
      </c>
      <c r="AQ290" s="45" t="s">
        <v>1011</v>
      </c>
      <c r="AT290" s="45" t="s">
        <v>1028</v>
      </c>
    </row>
    <row r="291">
      <c r="A291" s="107"/>
      <c r="B291" s="108" t="s">
        <v>779</v>
      </c>
      <c r="C291" s="109" t="s">
        <v>3024</v>
      </c>
      <c r="D291" s="108" t="s">
        <v>2556</v>
      </c>
      <c r="E291" s="108" t="s">
        <v>780</v>
      </c>
      <c r="F291" s="108">
        <v>0.0</v>
      </c>
      <c r="G291" s="110">
        <v>6.83063E11</v>
      </c>
      <c r="H291" s="111" t="s">
        <v>1003</v>
      </c>
      <c r="I291" s="111" t="s">
        <v>1003</v>
      </c>
      <c r="J291" s="111" t="s">
        <v>1003</v>
      </c>
      <c r="K291" s="108" t="s">
        <v>1003</v>
      </c>
      <c r="L291" s="112" t="s">
        <v>2372</v>
      </c>
      <c r="M291" s="106">
        <v>19978.0</v>
      </c>
      <c r="N291" s="113">
        <v>0.0</v>
      </c>
      <c r="O291" s="114">
        <v>38086.0</v>
      </c>
      <c r="P291" s="106" t="s">
        <v>46</v>
      </c>
      <c r="Q291" s="45" t="s">
        <v>1006</v>
      </c>
      <c r="R291" s="45">
        <v>87.0</v>
      </c>
      <c r="S291" s="45">
        <v>2019.0</v>
      </c>
      <c r="T291" s="45">
        <v>90.0</v>
      </c>
      <c r="U291" s="45">
        <v>2021.0</v>
      </c>
      <c r="V291" s="45">
        <v>7.98</v>
      </c>
      <c r="W291" s="45">
        <v>74.8</v>
      </c>
      <c r="X291" s="45">
        <v>2025.0</v>
      </c>
      <c r="Y291" s="45">
        <v>0.0</v>
      </c>
      <c r="Z291" s="45">
        <v>0.0</v>
      </c>
      <c r="AA291" s="45" t="s">
        <v>3025</v>
      </c>
      <c r="AB291" s="45" t="s">
        <v>3026</v>
      </c>
      <c r="AC291" s="45">
        <v>8.121969639E9</v>
      </c>
      <c r="AD291" s="45">
        <v>9.963420609E9</v>
      </c>
      <c r="AE291" s="45">
        <v>0.0</v>
      </c>
      <c r="AF291" s="45">
        <v>0.0</v>
      </c>
      <c r="AG291" s="45" t="s">
        <v>3027</v>
      </c>
      <c r="AH291" s="45" t="s">
        <v>3028</v>
      </c>
      <c r="AI291" s="45">
        <v>8.41</v>
      </c>
      <c r="AJ291" s="45">
        <v>8.17</v>
      </c>
      <c r="AK291" s="45">
        <v>8.07</v>
      </c>
      <c r="AL291" s="45">
        <v>0.0</v>
      </c>
      <c r="AM291" s="45">
        <v>8.07</v>
      </c>
      <c r="AN291" s="45">
        <v>7.98</v>
      </c>
      <c r="AO291" s="45" t="s">
        <v>28</v>
      </c>
      <c r="AQ291" s="45" t="s">
        <v>1011</v>
      </c>
      <c r="AT291" s="45" t="s">
        <v>1012</v>
      </c>
    </row>
    <row r="292">
      <c r="A292" s="107"/>
      <c r="B292" s="108" t="s">
        <v>781</v>
      </c>
      <c r="C292" s="109" t="s">
        <v>3029</v>
      </c>
      <c r="D292" s="108" t="s">
        <v>3030</v>
      </c>
      <c r="E292" s="108" t="s">
        <v>782</v>
      </c>
      <c r="F292" s="108">
        <v>0.0</v>
      </c>
      <c r="G292" s="110">
        <v>8.86712E11</v>
      </c>
      <c r="H292" s="111" t="s">
        <v>1003</v>
      </c>
      <c r="I292" s="111">
        <v>3476.0</v>
      </c>
      <c r="J292" s="111" t="s">
        <v>1003</v>
      </c>
      <c r="K292" s="108" t="s">
        <v>1003</v>
      </c>
      <c r="L292" s="112" t="s">
        <v>1404</v>
      </c>
      <c r="M292" s="106">
        <v>14894.0</v>
      </c>
      <c r="N292" s="113">
        <v>0.0</v>
      </c>
      <c r="O292" s="118">
        <v>38301.0</v>
      </c>
      <c r="P292" s="106" t="s">
        <v>60</v>
      </c>
      <c r="Q292" s="45" t="s">
        <v>1006</v>
      </c>
      <c r="R292" s="45">
        <v>100.0</v>
      </c>
      <c r="S292" s="45">
        <v>2019.0</v>
      </c>
      <c r="T292" s="45">
        <v>96.4</v>
      </c>
      <c r="U292" s="45">
        <v>2021.0</v>
      </c>
      <c r="V292" s="45">
        <v>8.27</v>
      </c>
      <c r="W292" s="45">
        <v>77.7</v>
      </c>
      <c r="X292" s="45">
        <v>2025.0</v>
      </c>
      <c r="Y292" s="45">
        <v>0.0</v>
      </c>
      <c r="Z292" s="45">
        <v>0.0</v>
      </c>
      <c r="AA292" s="45" t="s">
        <v>3031</v>
      </c>
      <c r="AB292" s="45" t="s">
        <v>3032</v>
      </c>
      <c r="AC292" s="45">
        <v>9.866945443E9</v>
      </c>
      <c r="AD292" s="45">
        <v>9.866355443E9</v>
      </c>
      <c r="AE292" s="45" t="s">
        <v>783</v>
      </c>
      <c r="AF292" s="45">
        <v>0.0</v>
      </c>
      <c r="AG292" s="45" t="s">
        <v>3033</v>
      </c>
      <c r="AH292" s="45" t="s">
        <v>3034</v>
      </c>
      <c r="AI292" s="45">
        <v>8.54</v>
      </c>
      <c r="AJ292" s="45">
        <v>7.98</v>
      </c>
      <c r="AK292" s="45">
        <v>7.8</v>
      </c>
      <c r="AL292" s="45">
        <v>0.0</v>
      </c>
      <c r="AM292" s="45">
        <v>8.24</v>
      </c>
      <c r="AN292" s="45">
        <v>8.27</v>
      </c>
      <c r="AO292" s="45" t="s">
        <v>27</v>
      </c>
      <c r="AQ292" s="45" t="s">
        <v>1011</v>
      </c>
      <c r="AT292" s="45" t="s">
        <v>1012</v>
      </c>
    </row>
    <row r="293">
      <c r="A293" s="107"/>
      <c r="B293" s="108" t="s">
        <v>784</v>
      </c>
      <c r="C293" s="109" t="s">
        <v>3035</v>
      </c>
      <c r="D293" s="108" t="s">
        <v>3036</v>
      </c>
      <c r="E293" s="108" t="s">
        <v>785</v>
      </c>
      <c r="F293" s="108">
        <v>0.0</v>
      </c>
      <c r="G293" s="110">
        <v>9.79318E11</v>
      </c>
      <c r="H293" s="111" t="s">
        <v>1003</v>
      </c>
      <c r="I293" s="111" t="s">
        <v>1003</v>
      </c>
      <c r="J293" s="111" t="s">
        <v>1003</v>
      </c>
      <c r="K293" s="108" t="s">
        <v>1003</v>
      </c>
      <c r="L293" s="112" t="s">
        <v>3037</v>
      </c>
      <c r="M293" s="106">
        <v>6979.0</v>
      </c>
      <c r="N293" s="113">
        <v>0.0</v>
      </c>
      <c r="O293" s="106" t="s">
        <v>1593</v>
      </c>
      <c r="P293" s="106" t="s">
        <v>46</v>
      </c>
      <c r="Q293" s="45" t="s">
        <v>1006</v>
      </c>
      <c r="R293" s="45">
        <v>96.4</v>
      </c>
      <c r="S293" s="45">
        <v>2019.0</v>
      </c>
      <c r="T293" s="45">
        <v>97.6</v>
      </c>
      <c r="U293" s="45">
        <v>2021.0</v>
      </c>
      <c r="V293" s="45">
        <v>8.48</v>
      </c>
      <c r="W293" s="45">
        <v>79.8</v>
      </c>
      <c r="X293" s="45">
        <v>2025.0</v>
      </c>
      <c r="Y293" s="45">
        <v>0.0</v>
      </c>
      <c r="Z293" s="45">
        <v>0.0</v>
      </c>
      <c r="AA293" s="45" t="s">
        <v>3038</v>
      </c>
      <c r="AB293" s="45" t="s">
        <v>3039</v>
      </c>
      <c r="AC293" s="45">
        <v>8.341916422E9</v>
      </c>
      <c r="AD293" s="45">
        <v>9.948455746E9</v>
      </c>
      <c r="AE293" s="45" t="s">
        <v>57</v>
      </c>
      <c r="AF293" s="45">
        <v>0.0</v>
      </c>
      <c r="AG293" s="45" t="s">
        <v>3040</v>
      </c>
      <c r="AH293" s="45" t="s">
        <v>3041</v>
      </c>
      <c r="AI293" s="45">
        <v>9.24</v>
      </c>
      <c r="AJ293" s="45">
        <v>8.93</v>
      </c>
      <c r="AK293" s="45">
        <v>8.55</v>
      </c>
      <c r="AL293" s="45">
        <v>0.0</v>
      </c>
      <c r="AM293" s="45">
        <v>8.58</v>
      </c>
      <c r="AN293" s="45">
        <v>8.48</v>
      </c>
      <c r="AO293" s="45" t="s">
        <v>27</v>
      </c>
      <c r="AQ293" s="45" t="s">
        <v>1011</v>
      </c>
      <c r="AT293" s="45" t="s">
        <v>1012</v>
      </c>
    </row>
    <row r="294">
      <c r="A294" s="107"/>
      <c r="B294" s="108" t="s">
        <v>786</v>
      </c>
      <c r="C294" s="109" t="s">
        <v>3042</v>
      </c>
      <c r="D294" s="108" t="s">
        <v>3043</v>
      </c>
      <c r="E294" s="108" t="s">
        <v>787</v>
      </c>
      <c r="F294" s="108">
        <v>0.0</v>
      </c>
      <c r="G294" s="110">
        <v>4.38588E11</v>
      </c>
      <c r="H294" s="111" t="s">
        <v>1003</v>
      </c>
      <c r="I294" s="111" t="s">
        <v>1003</v>
      </c>
      <c r="J294" s="111" t="s">
        <v>1003</v>
      </c>
      <c r="K294" s="108" t="s">
        <v>1003</v>
      </c>
      <c r="L294" s="112" t="s">
        <v>3044</v>
      </c>
      <c r="M294" s="106">
        <v>20208.0</v>
      </c>
      <c r="N294" s="113">
        <v>0.0</v>
      </c>
      <c r="O294" s="106" t="s">
        <v>3045</v>
      </c>
      <c r="P294" s="106" t="s">
        <v>46</v>
      </c>
      <c r="Q294" s="45" t="s">
        <v>1006</v>
      </c>
      <c r="R294" s="45">
        <v>93.0</v>
      </c>
      <c r="S294" s="45">
        <v>2018.0</v>
      </c>
      <c r="T294" s="45">
        <v>85.6</v>
      </c>
      <c r="U294" s="45">
        <v>2020.0</v>
      </c>
      <c r="V294" s="45">
        <v>7.87</v>
      </c>
      <c r="W294" s="45">
        <v>73.7</v>
      </c>
      <c r="X294" s="45">
        <v>2025.0</v>
      </c>
      <c r="Y294" s="45">
        <v>0.0</v>
      </c>
      <c r="Z294" s="45">
        <v>0.0</v>
      </c>
      <c r="AA294" s="45" t="s">
        <v>3046</v>
      </c>
      <c r="AB294" s="45" t="s">
        <v>3047</v>
      </c>
      <c r="AC294" s="45">
        <v>7.075236323E9</v>
      </c>
      <c r="AD294" s="45">
        <v>7.38669985E9</v>
      </c>
      <c r="AE294" s="45" t="s">
        <v>52</v>
      </c>
      <c r="AF294" s="45">
        <v>0.0</v>
      </c>
      <c r="AG294" s="45" t="s">
        <v>3048</v>
      </c>
      <c r="AH294" s="45" t="s">
        <v>3049</v>
      </c>
      <c r="AI294" s="45">
        <v>8.16</v>
      </c>
      <c r="AJ294" s="45">
        <v>7.83</v>
      </c>
      <c r="AK294" s="45">
        <v>7.73</v>
      </c>
      <c r="AL294" s="45">
        <v>0.0</v>
      </c>
      <c r="AM294" s="45">
        <v>7.94</v>
      </c>
      <c r="AN294" s="45">
        <v>7.87</v>
      </c>
      <c r="AO294" s="45" t="s">
        <v>27</v>
      </c>
      <c r="AQ294" s="45" t="s">
        <v>1011</v>
      </c>
      <c r="AT294" s="45" t="s">
        <v>1028</v>
      </c>
    </row>
    <row r="295">
      <c r="A295" s="107"/>
      <c r="B295" s="108" t="s">
        <v>788</v>
      </c>
      <c r="C295" s="109" t="s">
        <v>3050</v>
      </c>
      <c r="D295" s="108" t="s">
        <v>3051</v>
      </c>
      <c r="E295" s="108" t="s">
        <v>789</v>
      </c>
      <c r="F295" s="108">
        <v>0.0</v>
      </c>
      <c r="G295" s="110">
        <v>3.23985E11</v>
      </c>
      <c r="H295" s="111" t="s">
        <v>1003</v>
      </c>
      <c r="I295" s="111">
        <v>4576.0</v>
      </c>
      <c r="J295" s="111">
        <v>7267.0</v>
      </c>
      <c r="K295" s="108">
        <v>8057.0</v>
      </c>
      <c r="L295" s="112" t="s">
        <v>3052</v>
      </c>
      <c r="M295" s="106">
        <v>13142.0</v>
      </c>
      <c r="N295" s="113">
        <v>0.0</v>
      </c>
      <c r="O295" s="114">
        <v>37809.0</v>
      </c>
      <c r="P295" s="106" t="s">
        <v>60</v>
      </c>
      <c r="Q295" s="45" t="s">
        <v>1006</v>
      </c>
      <c r="R295" s="45">
        <v>100.0</v>
      </c>
      <c r="S295" s="45">
        <v>2019.0</v>
      </c>
      <c r="T295" s="45">
        <v>98.2</v>
      </c>
      <c r="U295" s="45">
        <v>2021.0</v>
      </c>
      <c r="V295" s="45">
        <v>8.87</v>
      </c>
      <c r="W295" s="45">
        <v>83.7</v>
      </c>
      <c r="X295" s="45">
        <v>2025.0</v>
      </c>
      <c r="Y295" s="45">
        <v>0.0</v>
      </c>
      <c r="Z295" s="45">
        <v>0.0</v>
      </c>
      <c r="AA295" s="45" t="s">
        <v>3053</v>
      </c>
      <c r="AB295" s="45" t="s">
        <v>3054</v>
      </c>
      <c r="AC295" s="45">
        <v>7.702611894E9</v>
      </c>
      <c r="AD295" s="45">
        <v>9.177359368E9</v>
      </c>
      <c r="AE295" s="45" t="s">
        <v>62</v>
      </c>
      <c r="AF295" s="45">
        <v>0.0</v>
      </c>
      <c r="AG295" s="45" t="s">
        <v>3055</v>
      </c>
      <c r="AH295" s="45" t="s">
        <v>3056</v>
      </c>
      <c r="AI295" s="45">
        <v>9.19</v>
      </c>
      <c r="AJ295" s="45">
        <v>9.22</v>
      </c>
      <c r="AK295" s="45">
        <v>8.5</v>
      </c>
      <c r="AL295" s="45">
        <v>0.0</v>
      </c>
      <c r="AM295" s="45">
        <v>8.88</v>
      </c>
      <c r="AN295" s="45">
        <v>8.87</v>
      </c>
      <c r="AO295" s="45" t="s">
        <v>27</v>
      </c>
      <c r="AQ295" s="45" t="s">
        <v>1011</v>
      </c>
      <c r="AT295" s="45" t="s">
        <v>1028</v>
      </c>
    </row>
    <row r="296">
      <c r="A296" s="107"/>
      <c r="B296" s="108" t="s">
        <v>790</v>
      </c>
      <c r="C296" s="109" t="s">
        <v>791</v>
      </c>
      <c r="D296" s="108" t="s">
        <v>3057</v>
      </c>
      <c r="E296" s="108" t="s">
        <v>791</v>
      </c>
      <c r="F296" s="108">
        <v>0.0</v>
      </c>
      <c r="G296" s="110">
        <v>6.42149E11</v>
      </c>
      <c r="H296" s="111" t="s">
        <v>1003</v>
      </c>
      <c r="I296" s="111" t="s">
        <v>1003</v>
      </c>
      <c r="J296" s="111" t="s">
        <v>1003</v>
      </c>
      <c r="K296" s="108" t="s">
        <v>1003</v>
      </c>
      <c r="L296" s="112" t="s">
        <v>1341</v>
      </c>
      <c r="M296" s="106">
        <v>0.0</v>
      </c>
      <c r="N296" s="113">
        <v>0.0</v>
      </c>
      <c r="O296" s="114">
        <v>37718.0</v>
      </c>
      <c r="P296" s="106" t="s">
        <v>46</v>
      </c>
      <c r="Q296" s="45" t="s">
        <v>1006</v>
      </c>
      <c r="R296" s="45">
        <v>72.0</v>
      </c>
      <c r="S296" s="45">
        <v>2019.0</v>
      </c>
      <c r="T296" s="45">
        <v>71.0</v>
      </c>
      <c r="U296" s="45">
        <v>2021.0</v>
      </c>
      <c r="V296" s="45">
        <v>0.0</v>
      </c>
      <c r="W296" s="45">
        <v>-5.0</v>
      </c>
      <c r="X296" s="45">
        <v>2025.0</v>
      </c>
      <c r="Y296" s="45">
        <v>1.0</v>
      </c>
      <c r="Z296" s="45">
        <v>1.0</v>
      </c>
      <c r="AA296" s="45" t="s">
        <v>3058</v>
      </c>
      <c r="AB296" s="45" t="s">
        <v>3059</v>
      </c>
      <c r="AC296" s="45">
        <v>8.867560412E9</v>
      </c>
      <c r="AD296" s="45">
        <v>9.480200483E9</v>
      </c>
      <c r="AE296" s="45" t="s">
        <v>792</v>
      </c>
      <c r="AF296" s="45" t="s">
        <v>440</v>
      </c>
      <c r="AG296" s="45" t="s">
        <v>3060</v>
      </c>
      <c r="AH296" s="45" t="s">
        <v>3061</v>
      </c>
      <c r="AI296" s="45">
        <v>0.0</v>
      </c>
      <c r="AJ296" s="45">
        <v>6.88</v>
      </c>
      <c r="AK296" s="45">
        <v>6.66</v>
      </c>
      <c r="AL296" s="45">
        <v>0.0</v>
      </c>
      <c r="AM296" s="45">
        <v>6.78</v>
      </c>
      <c r="AN296" s="45">
        <v>0.0</v>
      </c>
      <c r="AO296" s="45" t="s">
        <v>28</v>
      </c>
      <c r="AQ296" s="45" t="s">
        <v>1011</v>
      </c>
      <c r="AT296" s="45" t="s">
        <v>1028</v>
      </c>
    </row>
    <row r="297">
      <c r="A297" s="107"/>
      <c r="B297" s="108" t="s">
        <v>793</v>
      </c>
      <c r="C297" s="109" t="s">
        <v>3062</v>
      </c>
      <c r="D297" s="108" t="s">
        <v>3063</v>
      </c>
      <c r="E297" s="108" t="s">
        <v>794</v>
      </c>
      <c r="F297" s="108">
        <v>0.0</v>
      </c>
      <c r="G297" s="110">
        <v>3.16196E11</v>
      </c>
      <c r="H297" s="111" t="s">
        <v>1003</v>
      </c>
      <c r="I297" s="111">
        <v>6692.0</v>
      </c>
      <c r="J297" s="111">
        <v>8065.0</v>
      </c>
      <c r="K297" s="108" t="s">
        <v>1003</v>
      </c>
      <c r="L297" s="112" t="s">
        <v>1031</v>
      </c>
      <c r="M297" s="106">
        <v>26671.0</v>
      </c>
      <c r="N297" s="113">
        <v>0.0</v>
      </c>
      <c r="O297" s="106" t="s">
        <v>3064</v>
      </c>
      <c r="P297" s="106" t="s">
        <v>60</v>
      </c>
      <c r="Q297" s="45" t="s">
        <v>1006</v>
      </c>
      <c r="R297" s="45">
        <v>88.0</v>
      </c>
      <c r="S297" s="45">
        <v>2019.0</v>
      </c>
      <c r="T297" s="45">
        <v>98.2</v>
      </c>
      <c r="U297" s="45">
        <v>2021.0</v>
      </c>
      <c r="V297" s="45">
        <v>8.8</v>
      </c>
      <c r="W297" s="45">
        <v>83.0</v>
      </c>
      <c r="X297" s="45">
        <v>2025.0</v>
      </c>
      <c r="Y297" s="45">
        <v>0.0</v>
      </c>
      <c r="Z297" s="45">
        <v>0.0</v>
      </c>
      <c r="AA297" s="45" t="s">
        <v>3065</v>
      </c>
      <c r="AB297" s="45" t="s">
        <v>3066</v>
      </c>
      <c r="AC297" s="45">
        <v>7.569515707E9</v>
      </c>
      <c r="AD297" s="45">
        <v>9.347314791E9</v>
      </c>
      <c r="AE297" s="45" t="s">
        <v>52</v>
      </c>
      <c r="AF297" s="45">
        <v>0.0</v>
      </c>
      <c r="AG297" s="45" t="s">
        <v>3067</v>
      </c>
      <c r="AH297" s="45" t="s">
        <v>3068</v>
      </c>
      <c r="AI297" s="45">
        <v>8.7</v>
      </c>
      <c r="AJ297" s="45">
        <v>9.0</v>
      </c>
      <c r="AK297" s="45">
        <v>8.41</v>
      </c>
      <c r="AL297" s="45">
        <v>0.0</v>
      </c>
      <c r="AM297" s="45">
        <v>8.78</v>
      </c>
      <c r="AN297" s="45">
        <v>8.8</v>
      </c>
      <c r="AO297" s="45" t="s">
        <v>27</v>
      </c>
      <c r="AQ297" s="45" t="s">
        <v>1011</v>
      </c>
      <c r="AT297" s="45" t="s">
        <v>1028</v>
      </c>
    </row>
    <row r="298">
      <c r="A298" s="107"/>
      <c r="B298" s="108" t="s">
        <v>795</v>
      </c>
      <c r="C298" s="109" t="s">
        <v>3069</v>
      </c>
      <c r="D298" s="108" t="s">
        <v>2362</v>
      </c>
      <c r="E298" s="108" t="s">
        <v>796</v>
      </c>
      <c r="F298" s="108">
        <v>0.0</v>
      </c>
      <c r="G298" s="110">
        <v>6.77233E11</v>
      </c>
      <c r="H298" s="111" t="s">
        <v>1003</v>
      </c>
      <c r="I298" s="111" t="s">
        <v>1003</v>
      </c>
      <c r="J298" s="111" t="s">
        <v>1003</v>
      </c>
      <c r="K298" s="108" t="s">
        <v>1003</v>
      </c>
      <c r="L298" s="112" t="s">
        <v>1348</v>
      </c>
      <c r="M298" s="106">
        <v>6067.0</v>
      </c>
      <c r="N298" s="113">
        <v>0.0</v>
      </c>
      <c r="O298" s="106" t="s">
        <v>3070</v>
      </c>
      <c r="P298" s="106" t="s">
        <v>46</v>
      </c>
      <c r="Q298" s="45" t="s">
        <v>1006</v>
      </c>
      <c r="R298" s="45">
        <v>100.0</v>
      </c>
      <c r="S298" s="45">
        <v>2019.0</v>
      </c>
      <c r="T298" s="45">
        <v>96.5</v>
      </c>
      <c r="U298" s="45">
        <v>2021.0</v>
      </c>
      <c r="V298" s="45">
        <v>7.49</v>
      </c>
      <c r="W298" s="45">
        <v>69.9</v>
      </c>
      <c r="X298" s="45">
        <v>2025.0</v>
      </c>
      <c r="Y298" s="45">
        <v>0.0</v>
      </c>
      <c r="Z298" s="45">
        <v>1.0</v>
      </c>
      <c r="AA298" s="45" t="s">
        <v>3071</v>
      </c>
      <c r="AB298" s="45" t="s">
        <v>3072</v>
      </c>
      <c r="AC298" s="45">
        <v>9.963505477E9</v>
      </c>
      <c r="AD298" s="45">
        <v>9.49193511E9</v>
      </c>
      <c r="AE298" s="45" t="s">
        <v>271</v>
      </c>
      <c r="AF298" s="45">
        <v>0.0</v>
      </c>
      <c r="AG298" s="45" t="s">
        <v>3073</v>
      </c>
      <c r="AH298" s="45" t="s">
        <v>3074</v>
      </c>
      <c r="AI298" s="45">
        <v>8.3</v>
      </c>
      <c r="AJ298" s="45">
        <v>6.83</v>
      </c>
      <c r="AK298" s="45">
        <v>7.52</v>
      </c>
      <c r="AL298" s="45">
        <v>0.0</v>
      </c>
      <c r="AM298" s="45">
        <v>7.47</v>
      </c>
      <c r="AN298" s="45">
        <v>7.49</v>
      </c>
      <c r="AO298" s="45" t="s">
        <v>28</v>
      </c>
      <c r="AQ298" s="45" t="s">
        <v>1011</v>
      </c>
      <c r="AT298" s="45" t="s">
        <v>1028</v>
      </c>
    </row>
    <row r="299">
      <c r="A299" s="107"/>
      <c r="B299" s="108" t="s">
        <v>797</v>
      </c>
      <c r="C299" s="109" t="s">
        <v>3075</v>
      </c>
      <c r="D299" s="108" t="s">
        <v>3076</v>
      </c>
      <c r="E299" s="108" t="s">
        <v>798</v>
      </c>
      <c r="F299" s="108">
        <v>0.0</v>
      </c>
      <c r="G299" s="110">
        <v>7.09728E11</v>
      </c>
      <c r="H299" s="111" t="s">
        <v>1003</v>
      </c>
      <c r="I299" s="111" t="s">
        <v>1003</v>
      </c>
      <c r="J299" s="111" t="s">
        <v>1003</v>
      </c>
      <c r="K299" s="108" t="s">
        <v>1003</v>
      </c>
      <c r="L299" s="112" t="s">
        <v>3077</v>
      </c>
      <c r="M299" s="106">
        <v>0.0</v>
      </c>
      <c r="N299" s="113">
        <v>0.0</v>
      </c>
      <c r="O299" s="106" t="s">
        <v>1641</v>
      </c>
      <c r="P299" s="106" t="s">
        <v>46</v>
      </c>
      <c r="Q299" s="45" t="s">
        <v>1006</v>
      </c>
      <c r="R299" s="45">
        <v>85.0</v>
      </c>
      <c r="S299" s="45">
        <v>2019.0</v>
      </c>
      <c r="T299" s="45">
        <v>82.7</v>
      </c>
      <c r="U299" s="45">
        <v>2021.0</v>
      </c>
      <c r="V299" s="45">
        <v>8.09</v>
      </c>
      <c r="W299" s="45">
        <v>75.9</v>
      </c>
      <c r="X299" s="45">
        <v>2025.0</v>
      </c>
      <c r="Y299" s="45">
        <v>0.0</v>
      </c>
      <c r="Z299" s="45">
        <v>0.0</v>
      </c>
      <c r="AA299" s="45" t="s">
        <v>3078</v>
      </c>
      <c r="AB299" s="45" t="s">
        <v>3079</v>
      </c>
      <c r="AC299" s="45">
        <v>8.919112571E9</v>
      </c>
      <c r="AD299" s="45">
        <v>9.949024905E9</v>
      </c>
      <c r="AE299" s="45">
        <v>0.0</v>
      </c>
      <c r="AF299" s="45">
        <v>0.0</v>
      </c>
      <c r="AG299" s="45" t="s">
        <v>3080</v>
      </c>
      <c r="AH299" s="45" t="s">
        <v>3081</v>
      </c>
      <c r="AI299" s="45">
        <v>7.62</v>
      </c>
      <c r="AJ299" s="45">
        <v>7.76</v>
      </c>
      <c r="AK299" s="45">
        <v>8.07</v>
      </c>
      <c r="AL299" s="45">
        <v>0.0</v>
      </c>
      <c r="AM299" s="45">
        <v>8.07</v>
      </c>
      <c r="AN299" s="45">
        <v>8.09</v>
      </c>
      <c r="AO299" s="45" t="s">
        <v>27</v>
      </c>
      <c r="AQ299" s="45" t="s">
        <v>1011</v>
      </c>
      <c r="AT299" s="45" t="s">
        <v>1012</v>
      </c>
    </row>
    <row r="300">
      <c r="A300" s="107"/>
      <c r="B300" s="108" t="s">
        <v>799</v>
      </c>
      <c r="C300" s="109" t="s">
        <v>3082</v>
      </c>
      <c r="D300" s="108" t="s">
        <v>3083</v>
      </c>
      <c r="E300" s="108" t="s">
        <v>800</v>
      </c>
      <c r="F300" s="108">
        <v>0.0</v>
      </c>
      <c r="G300" s="110">
        <v>9.30457E11</v>
      </c>
      <c r="H300" s="111" t="s">
        <v>1003</v>
      </c>
      <c r="I300" s="111" t="s">
        <v>1003</v>
      </c>
      <c r="J300" s="111" t="s">
        <v>1003</v>
      </c>
      <c r="K300" s="108" t="s">
        <v>1003</v>
      </c>
      <c r="L300" s="112" t="s">
        <v>3084</v>
      </c>
      <c r="M300" s="106">
        <v>7610.0</v>
      </c>
      <c r="N300" s="113">
        <v>0.0</v>
      </c>
      <c r="O300" s="114">
        <v>37991.0</v>
      </c>
      <c r="P300" s="106" t="s">
        <v>46</v>
      </c>
      <c r="Q300" s="45" t="s">
        <v>1006</v>
      </c>
      <c r="R300" s="45">
        <v>94.6</v>
      </c>
      <c r="S300" s="45">
        <v>2019.0</v>
      </c>
      <c r="T300" s="45">
        <v>97.6</v>
      </c>
      <c r="U300" s="45">
        <v>2021.0</v>
      </c>
      <c r="V300" s="45">
        <v>8.7</v>
      </c>
      <c r="W300" s="45">
        <v>82.0</v>
      </c>
      <c r="X300" s="45">
        <v>2025.0</v>
      </c>
      <c r="Y300" s="45">
        <v>0.0</v>
      </c>
      <c r="Z300" s="45">
        <v>0.0</v>
      </c>
      <c r="AA300" s="45" t="s">
        <v>3085</v>
      </c>
      <c r="AB300" s="45" t="s">
        <v>3086</v>
      </c>
      <c r="AC300" s="45">
        <v>9.916800016E9</v>
      </c>
      <c r="AD300" s="45">
        <v>8.886722285E9</v>
      </c>
      <c r="AE300" s="45" t="s">
        <v>801</v>
      </c>
      <c r="AF300" s="45" t="s">
        <v>119</v>
      </c>
      <c r="AG300" s="45" t="s">
        <v>3087</v>
      </c>
      <c r="AH300" s="45" t="s">
        <v>3088</v>
      </c>
      <c r="AI300" s="45">
        <v>9.35</v>
      </c>
      <c r="AJ300" s="45">
        <v>8.54</v>
      </c>
      <c r="AK300" s="45">
        <v>8.86</v>
      </c>
      <c r="AL300" s="45">
        <v>0.0</v>
      </c>
      <c r="AM300" s="45">
        <v>8.7</v>
      </c>
      <c r="AN300" s="45">
        <v>8.7</v>
      </c>
      <c r="AO300" s="45" t="s">
        <v>27</v>
      </c>
      <c r="AQ300" s="45" t="s">
        <v>1011</v>
      </c>
      <c r="AT300" s="45" t="s">
        <v>1012</v>
      </c>
    </row>
    <row r="301">
      <c r="A301" s="107"/>
      <c r="B301" s="108" t="s">
        <v>802</v>
      </c>
      <c r="C301" s="109" t="s">
        <v>3089</v>
      </c>
      <c r="D301" s="108" t="s">
        <v>3090</v>
      </c>
      <c r="E301" s="108" t="s">
        <v>803</v>
      </c>
      <c r="F301" s="108">
        <v>0.0</v>
      </c>
      <c r="G301" s="110">
        <v>8.55833E11</v>
      </c>
      <c r="H301" s="111" t="s">
        <v>1003</v>
      </c>
      <c r="I301" s="111" t="s">
        <v>1003</v>
      </c>
      <c r="J301" s="111" t="s">
        <v>1003</v>
      </c>
      <c r="K301" s="108" t="s">
        <v>1003</v>
      </c>
      <c r="L301" s="117" t="s">
        <v>3091</v>
      </c>
      <c r="M301" s="106">
        <v>30025.0</v>
      </c>
      <c r="N301" s="113">
        <v>0.0</v>
      </c>
      <c r="O301" s="106" t="s">
        <v>3092</v>
      </c>
      <c r="P301" s="106" t="s">
        <v>46</v>
      </c>
      <c r="Q301" s="45" t="s">
        <v>1006</v>
      </c>
      <c r="R301" s="45">
        <v>100.0</v>
      </c>
      <c r="S301" s="45">
        <v>2019.0</v>
      </c>
      <c r="T301" s="45">
        <v>98.8</v>
      </c>
      <c r="U301" s="45">
        <v>2021.0</v>
      </c>
      <c r="V301" s="45">
        <v>8.44</v>
      </c>
      <c r="W301" s="45">
        <v>79.4</v>
      </c>
      <c r="X301" s="45">
        <v>2025.0</v>
      </c>
      <c r="Y301" s="45">
        <v>0.0</v>
      </c>
      <c r="Z301" s="45">
        <v>0.0</v>
      </c>
      <c r="AA301" s="45" t="s">
        <v>3093</v>
      </c>
      <c r="AB301" s="45" t="s">
        <v>3094</v>
      </c>
      <c r="AC301" s="45">
        <v>9.912649803E9</v>
      </c>
      <c r="AD301" s="45">
        <v>9.493016091E9</v>
      </c>
      <c r="AE301" s="45" t="s">
        <v>733</v>
      </c>
      <c r="AF301" s="45">
        <v>0.0</v>
      </c>
      <c r="AG301" s="45" t="s">
        <v>3095</v>
      </c>
      <c r="AH301" s="45" t="s">
        <v>3096</v>
      </c>
      <c r="AI301" s="45">
        <v>8.27</v>
      </c>
      <c r="AJ301" s="45">
        <v>8.56</v>
      </c>
      <c r="AK301" s="45">
        <v>8.55</v>
      </c>
      <c r="AL301" s="45">
        <v>0.0</v>
      </c>
      <c r="AM301" s="45">
        <v>8.49</v>
      </c>
      <c r="AN301" s="45">
        <v>8.44</v>
      </c>
      <c r="AO301" s="45" t="s">
        <v>27</v>
      </c>
      <c r="AQ301" s="45" t="s">
        <v>1011</v>
      </c>
      <c r="AT301" s="45" t="s">
        <v>1012</v>
      </c>
    </row>
    <row r="302">
      <c r="A302" s="107"/>
      <c r="B302" s="108" t="s">
        <v>804</v>
      </c>
      <c r="C302" s="109" t="s">
        <v>3097</v>
      </c>
      <c r="D302" s="108" t="s">
        <v>3098</v>
      </c>
      <c r="E302" s="108" t="s">
        <v>805</v>
      </c>
      <c r="F302" s="108">
        <v>0.0</v>
      </c>
      <c r="G302" s="110">
        <v>6.31699E11</v>
      </c>
      <c r="H302" s="111" t="s">
        <v>1003</v>
      </c>
      <c r="I302" s="111">
        <v>8778.0</v>
      </c>
      <c r="J302" s="111" t="s">
        <v>1003</v>
      </c>
      <c r="K302" s="108" t="s">
        <v>1003</v>
      </c>
      <c r="L302" s="112" t="s">
        <v>3099</v>
      </c>
      <c r="M302" s="106">
        <v>15587.0</v>
      </c>
      <c r="N302" s="113">
        <v>0.0</v>
      </c>
      <c r="O302" s="114">
        <v>38027.0</v>
      </c>
      <c r="P302" s="106" t="s">
        <v>46</v>
      </c>
      <c r="Q302" s="45" t="s">
        <v>1006</v>
      </c>
      <c r="R302" s="45">
        <v>98.0</v>
      </c>
      <c r="S302" s="45">
        <v>2019.0</v>
      </c>
      <c r="T302" s="45">
        <v>98.8</v>
      </c>
      <c r="U302" s="45">
        <v>2021.0</v>
      </c>
      <c r="V302" s="45">
        <v>9.25</v>
      </c>
      <c r="W302" s="45">
        <v>87.5</v>
      </c>
      <c r="X302" s="45">
        <v>2025.0</v>
      </c>
      <c r="Y302" s="45">
        <v>0.0</v>
      </c>
      <c r="Z302" s="45">
        <v>0.0</v>
      </c>
      <c r="AA302" s="45" t="s">
        <v>3100</v>
      </c>
      <c r="AB302" s="45" t="s">
        <v>3101</v>
      </c>
      <c r="AC302" s="45">
        <v>7.989207101E9</v>
      </c>
      <c r="AD302" s="45">
        <v>9.705821608E9</v>
      </c>
      <c r="AE302" s="45" t="s">
        <v>684</v>
      </c>
      <c r="AF302" s="45">
        <v>0.0</v>
      </c>
      <c r="AG302" s="45" t="s">
        <v>3102</v>
      </c>
      <c r="AH302" s="45" t="s">
        <v>3103</v>
      </c>
      <c r="AI302" s="45">
        <v>9.59</v>
      </c>
      <c r="AJ302" s="45">
        <v>9.32</v>
      </c>
      <c r="AK302" s="45">
        <v>8.73</v>
      </c>
      <c r="AL302" s="45">
        <v>0.0</v>
      </c>
      <c r="AM302" s="45">
        <v>9.22</v>
      </c>
      <c r="AN302" s="45">
        <v>9.25</v>
      </c>
      <c r="AO302" s="45" t="s">
        <v>28</v>
      </c>
      <c r="AQ302" s="45" t="s">
        <v>1011</v>
      </c>
      <c r="AT302" s="45" t="s">
        <v>1028</v>
      </c>
    </row>
    <row r="303">
      <c r="A303" s="107"/>
      <c r="B303" s="108" t="s">
        <v>806</v>
      </c>
      <c r="C303" s="109" t="s">
        <v>3104</v>
      </c>
      <c r="D303" s="108" t="s">
        <v>1717</v>
      </c>
      <c r="E303" s="108" t="s">
        <v>807</v>
      </c>
      <c r="F303" s="108">
        <v>0.0</v>
      </c>
      <c r="G303" s="110">
        <v>7.38188E11</v>
      </c>
      <c r="H303" s="111" t="s">
        <v>1003</v>
      </c>
      <c r="I303" s="111" t="s">
        <v>1003</v>
      </c>
      <c r="J303" s="111" t="s">
        <v>1003</v>
      </c>
      <c r="K303" s="108" t="s">
        <v>1003</v>
      </c>
      <c r="L303" s="112" t="s">
        <v>1113</v>
      </c>
      <c r="M303" s="106">
        <v>13582.0</v>
      </c>
      <c r="N303" s="113">
        <v>0.0</v>
      </c>
      <c r="O303" s="106" t="s">
        <v>3105</v>
      </c>
      <c r="P303" s="106" t="s">
        <v>46</v>
      </c>
      <c r="Q303" s="45" t="s">
        <v>1006</v>
      </c>
      <c r="R303" s="45">
        <v>90.0</v>
      </c>
      <c r="S303" s="45">
        <v>2018.0</v>
      </c>
      <c r="T303" s="45">
        <v>97.1</v>
      </c>
      <c r="U303" s="45">
        <v>2020.0</v>
      </c>
      <c r="V303" s="45">
        <v>8.12</v>
      </c>
      <c r="W303" s="45">
        <v>76.2</v>
      </c>
      <c r="X303" s="45">
        <v>2025.0</v>
      </c>
      <c r="Y303" s="45">
        <v>0.0</v>
      </c>
      <c r="Z303" s="45">
        <v>0.0</v>
      </c>
      <c r="AA303" s="45" t="s">
        <v>3106</v>
      </c>
      <c r="AB303" s="45" t="s">
        <v>3107</v>
      </c>
      <c r="AC303" s="45">
        <v>8.309736218E9</v>
      </c>
      <c r="AD303" s="45">
        <v>9.246806278E9</v>
      </c>
      <c r="AE303" s="45" t="s">
        <v>52</v>
      </c>
      <c r="AF303" s="45">
        <v>0.0</v>
      </c>
      <c r="AG303" s="45" t="s">
        <v>3108</v>
      </c>
      <c r="AH303" s="45" t="s">
        <v>3109</v>
      </c>
      <c r="AI303" s="45">
        <v>8.35</v>
      </c>
      <c r="AJ303" s="45">
        <v>8.24</v>
      </c>
      <c r="AK303" s="45">
        <v>8.02</v>
      </c>
      <c r="AL303" s="45">
        <v>0.0</v>
      </c>
      <c r="AM303" s="45">
        <v>8.13</v>
      </c>
      <c r="AN303" s="45">
        <v>8.12</v>
      </c>
      <c r="AO303" s="45" t="s">
        <v>27</v>
      </c>
      <c r="AQ303" s="45" t="s">
        <v>1011</v>
      </c>
      <c r="AT303" s="45" t="s">
        <v>1012</v>
      </c>
    </row>
    <row r="304">
      <c r="B304" s="45" t="s">
        <v>808</v>
      </c>
      <c r="C304" s="45" t="s">
        <v>3110</v>
      </c>
      <c r="D304" s="45" t="s">
        <v>3111</v>
      </c>
      <c r="E304" s="45" t="s">
        <v>809</v>
      </c>
      <c r="F304" s="45">
        <v>0.0</v>
      </c>
      <c r="G304" s="119">
        <v>5.96384E11</v>
      </c>
      <c r="H304" s="45" t="s">
        <v>1003</v>
      </c>
      <c r="I304" s="45">
        <v>7265.0</v>
      </c>
      <c r="J304" s="45">
        <v>8915.0</v>
      </c>
      <c r="K304" s="45" t="s">
        <v>1003</v>
      </c>
      <c r="L304" s="45" t="s">
        <v>3112</v>
      </c>
      <c r="M304" s="106">
        <v>5526.0</v>
      </c>
      <c r="N304" s="45">
        <v>0.0</v>
      </c>
      <c r="O304" s="120">
        <v>37967.0</v>
      </c>
      <c r="P304" s="45" t="s">
        <v>60</v>
      </c>
      <c r="Q304" s="45" t="s">
        <v>1006</v>
      </c>
      <c r="R304" s="45">
        <v>93.8</v>
      </c>
      <c r="S304" s="45">
        <v>2019.0</v>
      </c>
      <c r="T304" s="45">
        <v>99.0</v>
      </c>
      <c r="U304" s="45">
        <v>2021.0</v>
      </c>
      <c r="V304" s="45">
        <v>9.08</v>
      </c>
      <c r="W304" s="45">
        <v>85.8</v>
      </c>
      <c r="X304" s="45">
        <v>2025.0</v>
      </c>
      <c r="Y304" s="45">
        <v>0.0</v>
      </c>
      <c r="Z304" s="45">
        <v>0.0</v>
      </c>
      <c r="AA304" s="45" t="s">
        <v>3113</v>
      </c>
      <c r="AB304" s="45" t="s">
        <v>3114</v>
      </c>
      <c r="AC304" s="45">
        <v>9.492713935E9</v>
      </c>
      <c r="AD304" s="45">
        <v>9.866242215E9</v>
      </c>
      <c r="AE304" s="45" t="s">
        <v>810</v>
      </c>
      <c r="AF304" s="45">
        <v>0.0</v>
      </c>
      <c r="AG304" s="45" t="s">
        <v>3115</v>
      </c>
      <c r="AH304" s="45" t="s">
        <v>3116</v>
      </c>
      <c r="AI304" s="45">
        <v>9.68</v>
      </c>
      <c r="AJ304" s="45">
        <v>9.12</v>
      </c>
      <c r="AK304" s="45">
        <v>8.41</v>
      </c>
      <c r="AL304" s="45">
        <v>0.0</v>
      </c>
      <c r="AM304" s="45">
        <v>9.1</v>
      </c>
      <c r="AN304" s="45">
        <v>9.08</v>
      </c>
      <c r="AO304" s="45" t="s">
        <v>27</v>
      </c>
      <c r="AQ304" s="45" t="s">
        <v>1011</v>
      </c>
      <c r="AT304" s="45" t="s">
        <v>1012</v>
      </c>
    </row>
    <row r="305">
      <c r="B305" s="45" t="s">
        <v>811</v>
      </c>
      <c r="C305" s="45" t="s">
        <v>3117</v>
      </c>
      <c r="D305" s="45" t="s">
        <v>3118</v>
      </c>
      <c r="E305" s="45" t="s">
        <v>812</v>
      </c>
      <c r="F305" s="45">
        <v>0.0</v>
      </c>
      <c r="G305" s="119">
        <v>6.65963E11</v>
      </c>
      <c r="H305" s="45" t="s">
        <v>1003</v>
      </c>
      <c r="I305" s="45">
        <v>2240.0</v>
      </c>
      <c r="J305" s="45" t="s">
        <v>1003</v>
      </c>
      <c r="K305" s="45" t="s">
        <v>1003</v>
      </c>
      <c r="L305" s="45" t="s">
        <v>3119</v>
      </c>
      <c r="M305" s="106">
        <v>11509.0</v>
      </c>
      <c r="N305" s="45">
        <v>0.0</v>
      </c>
      <c r="O305" s="45" t="s">
        <v>2635</v>
      </c>
      <c r="P305" s="45" t="s">
        <v>60</v>
      </c>
      <c r="Q305" s="45" t="s">
        <v>1006</v>
      </c>
      <c r="R305" s="45">
        <v>100.0</v>
      </c>
      <c r="S305" s="45">
        <v>2019.0</v>
      </c>
      <c r="T305" s="45">
        <v>99.0</v>
      </c>
      <c r="U305" s="45">
        <v>2021.0</v>
      </c>
      <c r="V305" s="45">
        <v>8.79</v>
      </c>
      <c r="W305" s="45">
        <v>82.9</v>
      </c>
      <c r="X305" s="45">
        <v>2025.0</v>
      </c>
      <c r="Y305" s="45">
        <v>0.0</v>
      </c>
      <c r="Z305" s="45">
        <v>0.0</v>
      </c>
      <c r="AA305" s="45" t="s">
        <v>3120</v>
      </c>
      <c r="AB305" s="45" t="s">
        <v>3121</v>
      </c>
      <c r="AC305" s="45">
        <v>8.008401707E9</v>
      </c>
      <c r="AD305" s="45">
        <v>9.642325055E9</v>
      </c>
      <c r="AE305" s="45" t="s">
        <v>62</v>
      </c>
      <c r="AF305" s="45" t="s">
        <v>950</v>
      </c>
      <c r="AG305" s="45" t="s">
        <v>3122</v>
      </c>
      <c r="AH305" s="45" t="s">
        <v>3123</v>
      </c>
      <c r="AI305" s="45">
        <v>8.92</v>
      </c>
      <c r="AJ305" s="45">
        <v>8.54</v>
      </c>
      <c r="AK305" s="45">
        <v>8.41</v>
      </c>
      <c r="AL305" s="45">
        <v>0.0</v>
      </c>
      <c r="AM305" s="45">
        <v>8.74</v>
      </c>
      <c r="AN305" s="45">
        <v>8.79</v>
      </c>
      <c r="AO305" s="45" t="s">
        <v>27</v>
      </c>
      <c r="AQ305" s="45" t="s">
        <v>1011</v>
      </c>
      <c r="AT305" s="45" t="s">
        <v>1012</v>
      </c>
    </row>
    <row r="306">
      <c r="B306" s="45" t="s">
        <v>814</v>
      </c>
      <c r="C306" s="45" t="s">
        <v>3124</v>
      </c>
      <c r="D306" s="45" t="s">
        <v>3125</v>
      </c>
      <c r="E306" s="45" t="s">
        <v>815</v>
      </c>
      <c r="F306" s="45">
        <v>0.0</v>
      </c>
      <c r="G306" s="119">
        <v>6.89428E11</v>
      </c>
      <c r="H306" s="45" t="s">
        <v>1003</v>
      </c>
      <c r="I306" s="45">
        <v>1266.0</v>
      </c>
      <c r="J306" s="45" t="s">
        <v>1003</v>
      </c>
      <c r="K306" s="45" t="s">
        <v>1003</v>
      </c>
      <c r="L306" s="45" t="s">
        <v>3126</v>
      </c>
      <c r="M306" s="106">
        <v>0.0</v>
      </c>
      <c r="N306" s="45">
        <v>0.0</v>
      </c>
      <c r="O306" s="121">
        <v>37934.0</v>
      </c>
      <c r="P306" s="45" t="s">
        <v>46</v>
      </c>
      <c r="Q306" s="45" t="s">
        <v>1006</v>
      </c>
      <c r="R306" s="45">
        <v>88.8</v>
      </c>
      <c r="S306" s="45">
        <v>2019.0</v>
      </c>
      <c r="T306" s="45">
        <v>92.6</v>
      </c>
      <c r="U306" s="45">
        <v>2021.0</v>
      </c>
      <c r="V306" s="45">
        <v>8.08</v>
      </c>
      <c r="W306" s="45">
        <v>75.8</v>
      </c>
      <c r="X306" s="45">
        <v>2025.0</v>
      </c>
      <c r="Y306" s="45">
        <v>0.0</v>
      </c>
      <c r="Z306" s="45">
        <v>0.0</v>
      </c>
      <c r="AA306" s="45" t="s">
        <v>3127</v>
      </c>
      <c r="AB306" s="45" t="s">
        <v>3128</v>
      </c>
      <c r="AC306" s="45">
        <v>9.392416316E9</v>
      </c>
      <c r="AD306" s="45">
        <v>9.948858885E9</v>
      </c>
      <c r="AE306" s="45" t="s">
        <v>237</v>
      </c>
      <c r="AF306" s="45">
        <v>0.0</v>
      </c>
      <c r="AG306" s="45" t="s">
        <v>3129</v>
      </c>
      <c r="AH306" s="45" t="s">
        <v>3130</v>
      </c>
      <c r="AI306" s="45">
        <v>8.22</v>
      </c>
      <c r="AJ306" s="45">
        <v>7.02</v>
      </c>
      <c r="AK306" s="45">
        <v>8.14</v>
      </c>
      <c r="AL306" s="45">
        <v>0.0</v>
      </c>
      <c r="AM306" s="45">
        <v>8.01</v>
      </c>
      <c r="AN306" s="45">
        <v>8.08</v>
      </c>
      <c r="AO306" s="45" t="s">
        <v>27</v>
      </c>
      <c r="AQ306" s="45" t="s">
        <v>1011</v>
      </c>
      <c r="AT306" s="45" t="s">
        <v>1012</v>
      </c>
    </row>
    <row r="307">
      <c r="B307" s="45" t="s">
        <v>817</v>
      </c>
      <c r="C307" s="45" t="s">
        <v>3131</v>
      </c>
      <c r="D307" s="45" t="s">
        <v>3132</v>
      </c>
      <c r="E307" s="45" t="s">
        <v>818</v>
      </c>
      <c r="F307" s="45">
        <v>0.0</v>
      </c>
      <c r="G307" s="119">
        <v>2.8561E11</v>
      </c>
      <c r="H307" s="45" t="s">
        <v>1003</v>
      </c>
      <c r="I307" s="45" t="s">
        <v>1003</v>
      </c>
      <c r="J307" s="45" t="s">
        <v>1003</v>
      </c>
      <c r="K307" s="45" t="s">
        <v>1003</v>
      </c>
      <c r="L307" s="45" t="s">
        <v>3133</v>
      </c>
      <c r="M307" s="106">
        <v>17082.0</v>
      </c>
      <c r="N307" s="45">
        <v>0.0</v>
      </c>
      <c r="O307" s="121">
        <v>37591.0</v>
      </c>
      <c r="P307" s="45" t="s">
        <v>46</v>
      </c>
      <c r="Q307" s="45" t="s">
        <v>1006</v>
      </c>
      <c r="R307" s="45">
        <v>97.0</v>
      </c>
      <c r="S307" s="45">
        <v>2019.0</v>
      </c>
      <c r="T307" s="45">
        <v>97.8</v>
      </c>
      <c r="U307" s="45">
        <v>2021.0</v>
      </c>
      <c r="V307" s="45">
        <v>8.35</v>
      </c>
      <c r="W307" s="45">
        <v>78.5</v>
      </c>
      <c r="X307" s="45">
        <v>2025.0</v>
      </c>
      <c r="Y307" s="45">
        <v>0.0</v>
      </c>
      <c r="Z307" s="45">
        <v>0.0</v>
      </c>
      <c r="AA307" s="45" t="s">
        <v>3134</v>
      </c>
      <c r="AB307" s="45" t="s">
        <v>3135</v>
      </c>
      <c r="AC307" s="45">
        <v>9.553187166E9</v>
      </c>
      <c r="AD307" s="45">
        <v>9.8482887E9</v>
      </c>
      <c r="AE307" s="45" t="s">
        <v>237</v>
      </c>
      <c r="AF307" s="45">
        <v>0.0</v>
      </c>
      <c r="AG307" s="45" t="s">
        <v>3136</v>
      </c>
      <c r="AH307" s="45" t="s">
        <v>3137</v>
      </c>
      <c r="AI307" s="45">
        <v>8.35</v>
      </c>
      <c r="AJ307" s="45">
        <v>8.02</v>
      </c>
      <c r="AK307" s="45">
        <v>8.07</v>
      </c>
      <c r="AL307" s="45">
        <v>0.0</v>
      </c>
      <c r="AM307" s="45">
        <v>8.27</v>
      </c>
      <c r="AN307" s="45">
        <v>8.35</v>
      </c>
      <c r="AO307" s="45" t="s">
        <v>27</v>
      </c>
      <c r="AQ307" s="45" t="s">
        <v>1011</v>
      </c>
      <c r="AT307" s="45" t="s">
        <v>1028</v>
      </c>
    </row>
    <row r="308">
      <c r="B308" s="45" t="s">
        <v>819</v>
      </c>
      <c r="C308" s="45" t="s">
        <v>3138</v>
      </c>
      <c r="D308" s="45" t="s">
        <v>1789</v>
      </c>
      <c r="E308" s="45" t="s">
        <v>820</v>
      </c>
      <c r="F308" s="45">
        <v>0.0</v>
      </c>
      <c r="G308" s="119">
        <v>6.63587E11</v>
      </c>
      <c r="H308" s="45" t="s">
        <v>1003</v>
      </c>
      <c r="I308" s="45" t="s">
        <v>1003</v>
      </c>
      <c r="J308" s="45" t="s">
        <v>1003</v>
      </c>
      <c r="K308" s="45" t="s">
        <v>1003</v>
      </c>
      <c r="L308" s="45" t="s">
        <v>3139</v>
      </c>
      <c r="M308" s="106">
        <v>18265.0</v>
      </c>
      <c r="N308" s="45">
        <v>0.0</v>
      </c>
      <c r="O308" s="45" t="s">
        <v>1967</v>
      </c>
      <c r="P308" s="45" t="s">
        <v>46</v>
      </c>
      <c r="Q308" s="45" t="s">
        <v>1006</v>
      </c>
      <c r="R308" s="45">
        <v>95.0</v>
      </c>
      <c r="S308" s="45">
        <v>2019.0</v>
      </c>
      <c r="T308" s="45">
        <v>93.6</v>
      </c>
      <c r="U308" s="45">
        <v>2021.0</v>
      </c>
      <c r="V308" s="45">
        <v>8.35</v>
      </c>
      <c r="W308" s="45">
        <v>78.5</v>
      </c>
      <c r="X308" s="45">
        <v>2025.0</v>
      </c>
      <c r="Y308" s="45">
        <v>0.0</v>
      </c>
      <c r="Z308" s="45">
        <v>0.0</v>
      </c>
      <c r="AA308" s="45" t="s">
        <v>3140</v>
      </c>
      <c r="AB308" s="45" t="s">
        <v>3141</v>
      </c>
      <c r="AC308" s="45">
        <v>6.305400601E9</v>
      </c>
      <c r="AD308" s="45">
        <v>6.304153994E9</v>
      </c>
      <c r="AE308" s="45" t="s">
        <v>518</v>
      </c>
      <c r="AF308" s="45">
        <v>0.0</v>
      </c>
      <c r="AG308" s="45" t="s">
        <v>3142</v>
      </c>
      <c r="AH308" s="45" t="s">
        <v>3143</v>
      </c>
      <c r="AI308" s="45">
        <v>8.68</v>
      </c>
      <c r="AJ308" s="45">
        <v>8.83</v>
      </c>
      <c r="AK308" s="45">
        <v>7.86</v>
      </c>
      <c r="AL308" s="45">
        <v>0.0</v>
      </c>
      <c r="AM308" s="45">
        <v>8.35</v>
      </c>
      <c r="AN308" s="45">
        <v>8.35</v>
      </c>
      <c r="AO308" s="45" t="s">
        <v>28</v>
      </c>
      <c r="AQ308" s="45" t="s">
        <v>1011</v>
      </c>
      <c r="AT308" s="45" t="s">
        <v>1028</v>
      </c>
    </row>
    <row r="309">
      <c r="B309" s="45" t="s">
        <v>821</v>
      </c>
      <c r="C309" s="45" t="s">
        <v>3144</v>
      </c>
      <c r="D309" s="45" t="s">
        <v>2991</v>
      </c>
      <c r="E309" s="45" t="s">
        <v>822</v>
      </c>
      <c r="F309" s="45">
        <v>0.0</v>
      </c>
      <c r="G309" s="119">
        <v>7.37106E11</v>
      </c>
      <c r="H309" s="45" t="s">
        <v>1003</v>
      </c>
      <c r="I309" s="45" t="s">
        <v>1003</v>
      </c>
      <c r="J309" s="45" t="s">
        <v>1003</v>
      </c>
      <c r="K309" s="45" t="s">
        <v>1003</v>
      </c>
      <c r="L309" s="45" t="s">
        <v>1918</v>
      </c>
      <c r="M309" s="106">
        <v>10854.0</v>
      </c>
      <c r="N309" s="45">
        <v>0.0</v>
      </c>
      <c r="O309" s="121">
        <v>37292.0</v>
      </c>
      <c r="P309" s="45" t="s">
        <v>46</v>
      </c>
      <c r="Q309" s="45" t="s">
        <v>1006</v>
      </c>
      <c r="R309" s="45">
        <v>93.0</v>
      </c>
      <c r="S309" s="45">
        <v>2019.0</v>
      </c>
      <c r="T309" s="45">
        <v>98.4</v>
      </c>
      <c r="U309" s="45">
        <v>2021.0</v>
      </c>
      <c r="V309" s="45">
        <v>8.37</v>
      </c>
      <c r="W309" s="45">
        <v>78.7</v>
      </c>
      <c r="X309" s="45">
        <v>2025.0</v>
      </c>
      <c r="Y309" s="45">
        <v>0.0</v>
      </c>
      <c r="Z309" s="45">
        <v>0.0</v>
      </c>
      <c r="AA309" s="45" t="s">
        <v>3145</v>
      </c>
      <c r="AB309" s="45" t="s">
        <v>3146</v>
      </c>
      <c r="AC309" s="45">
        <v>9.398338498E9</v>
      </c>
      <c r="AD309" s="45">
        <v>7.730857279E9</v>
      </c>
      <c r="AE309" s="45" t="s">
        <v>48</v>
      </c>
      <c r="AF309" s="45">
        <v>0.0</v>
      </c>
      <c r="AG309" s="45" t="s">
        <v>3147</v>
      </c>
      <c r="AH309" s="45" t="s">
        <v>3148</v>
      </c>
      <c r="AI309" s="45">
        <v>8.38</v>
      </c>
      <c r="AJ309" s="45">
        <v>8.24</v>
      </c>
      <c r="AK309" s="45">
        <v>8.11</v>
      </c>
      <c r="AL309" s="45">
        <v>0.0</v>
      </c>
      <c r="AM309" s="45">
        <v>8.31</v>
      </c>
      <c r="AN309" s="45">
        <v>8.37</v>
      </c>
      <c r="AO309" s="45" t="s">
        <v>27</v>
      </c>
      <c r="AQ309" s="45" t="s">
        <v>1011</v>
      </c>
      <c r="AT309" s="45" t="s">
        <v>1028</v>
      </c>
    </row>
    <row r="310">
      <c r="B310" s="45" t="s">
        <v>823</v>
      </c>
      <c r="C310" s="45" t="s">
        <v>3149</v>
      </c>
      <c r="D310" s="45" t="s">
        <v>3150</v>
      </c>
      <c r="E310" s="45" t="s">
        <v>824</v>
      </c>
      <c r="F310" s="45">
        <v>0.0</v>
      </c>
      <c r="G310" s="119">
        <v>6.66972E11</v>
      </c>
      <c r="H310" s="45" t="s">
        <v>1003</v>
      </c>
      <c r="I310" s="45">
        <v>846.0</v>
      </c>
      <c r="J310" s="45" t="s">
        <v>1003</v>
      </c>
      <c r="K310" s="45" t="s">
        <v>1003</v>
      </c>
      <c r="L310" s="45" t="s">
        <v>1479</v>
      </c>
      <c r="M310" s="106">
        <v>110630.0</v>
      </c>
      <c r="N310" s="45">
        <v>0.0</v>
      </c>
      <c r="O310" s="45" t="s">
        <v>3151</v>
      </c>
      <c r="P310" s="45" t="s">
        <v>60</v>
      </c>
      <c r="Q310" s="45" t="s">
        <v>1006</v>
      </c>
      <c r="R310" s="45">
        <v>68.8</v>
      </c>
      <c r="S310" s="45">
        <v>2019.0</v>
      </c>
      <c r="T310" s="45">
        <v>69.0</v>
      </c>
      <c r="U310" s="45">
        <v>2021.0</v>
      </c>
      <c r="V310" s="45">
        <v>7.51</v>
      </c>
      <c r="W310" s="45">
        <v>70.1</v>
      </c>
      <c r="X310" s="45">
        <v>2025.0</v>
      </c>
      <c r="Y310" s="45">
        <v>0.0</v>
      </c>
      <c r="Z310" s="45">
        <v>0.0</v>
      </c>
      <c r="AA310" s="45" t="s">
        <v>3152</v>
      </c>
      <c r="AB310" s="45" t="s">
        <v>3153</v>
      </c>
      <c r="AC310" s="45">
        <v>9.885670578E9</v>
      </c>
      <c r="AD310" s="45">
        <v>7.382339578E9</v>
      </c>
      <c r="AE310" s="45">
        <v>0.0</v>
      </c>
      <c r="AF310" s="45">
        <v>0.0</v>
      </c>
      <c r="AG310" s="45" t="s">
        <v>3154</v>
      </c>
      <c r="AH310" s="45" t="s">
        <v>3155</v>
      </c>
      <c r="AI310" s="45">
        <v>7.24</v>
      </c>
      <c r="AJ310" s="45">
        <v>7.44</v>
      </c>
      <c r="AK310" s="45">
        <v>7.32</v>
      </c>
      <c r="AL310" s="45">
        <v>0.0</v>
      </c>
      <c r="AM310" s="45">
        <v>7.4</v>
      </c>
      <c r="AN310" s="45">
        <v>7.51</v>
      </c>
      <c r="AO310" s="45" t="s">
        <v>27</v>
      </c>
      <c r="AQ310" s="45" t="s">
        <v>1011</v>
      </c>
      <c r="AT310" s="45" t="s">
        <v>1012</v>
      </c>
    </row>
    <row r="311">
      <c r="B311" s="45" t="s">
        <v>825</v>
      </c>
      <c r="C311" s="45" t="s">
        <v>3156</v>
      </c>
      <c r="D311" s="45" t="s">
        <v>3157</v>
      </c>
      <c r="E311" s="45" t="s">
        <v>826</v>
      </c>
      <c r="F311" s="45">
        <v>0.0</v>
      </c>
      <c r="G311" s="119">
        <v>6.20735E11</v>
      </c>
      <c r="H311" s="45" t="s">
        <v>1003</v>
      </c>
      <c r="I311" s="45" t="s">
        <v>1003</v>
      </c>
      <c r="J311" s="45" t="s">
        <v>1003</v>
      </c>
      <c r="K311" s="45" t="s">
        <v>1003</v>
      </c>
      <c r="L311" s="45" t="s">
        <v>1404</v>
      </c>
      <c r="M311" s="106">
        <v>0.0</v>
      </c>
      <c r="N311" s="45">
        <v>0.0</v>
      </c>
      <c r="O311" s="45" t="s">
        <v>3158</v>
      </c>
      <c r="P311" s="45" t="s">
        <v>46</v>
      </c>
      <c r="Q311" s="45" t="s">
        <v>1006</v>
      </c>
      <c r="R311" s="45">
        <v>97.0</v>
      </c>
      <c r="S311" s="45">
        <v>2019.0</v>
      </c>
      <c r="T311" s="45">
        <v>74.0</v>
      </c>
      <c r="U311" s="45">
        <v>2021.0</v>
      </c>
      <c r="V311" s="45">
        <v>7.33</v>
      </c>
      <c r="W311" s="45">
        <v>68.3</v>
      </c>
      <c r="X311" s="45">
        <v>2025.0</v>
      </c>
      <c r="Y311" s="45">
        <v>0.0</v>
      </c>
      <c r="Z311" s="45">
        <v>0.0</v>
      </c>
      <c r="AA311" s="45" t="s">
        <v>3159</v>
      </c>
      <c r="AB311" s="45" t="s">
        <v>3160</v>
      </c>
      <c r="AC311" s="45">
        <v>9.347997158E9</v>
      </c>
      <c r="AD311" s="45">
        <v>9.849027083E9</v>
      </c>
      <c r="AE311" s="45">
        <v>0.0</v>
      </c>
      <c r="AF311" s="45">
        <v>0.0</v>
      </c>
      <c r="AG311" s="45" t="s">
        <v>3161</v>
      </c>
      <c r="AH311" s="45" t="s">
        <v>3162</v>
      </c>
      <c r="AI311" s="45">
        <v>7.76</v>
      </c>
      <c r="AJ311" s="45">
        <v>6.68</v>
      </c>
      <c r="AK311" s="45">
        <v>6.84</v>
      </c>
      <c r="AL311" s="45">
        <v>0.0</v>
      </c>
      <c r="AM311" s="45">
        <v>7.25</v>
      </c>
      <c r="AN311" s="45">
        <v>7.33</v>
      </c>
      <c r="AO311" s="45" t="s">
        <v>28</v>
      </c>
      <c r="AQ311" s="45" t="s">
        <v>1011</v>
      </c>
      <c r="AT311" s="45" t="s">
        <v>1012</v>
      </c>
    </row>
    <row r="312">
      <c r="B312" s="45" t="s">
        <v>827</v>
      </c>
      <c r="C312" s="45" t="s">
        <v>3163</v>
      </c>
      <c r="D312" s="45" t="s">
        <v>3164</v>
      </c>
      <c r="E312" s="45" t="s">
        <v>828</v>
      </c>
      <c r="F312" s="45">
        <v>0.0</v>
      </c>
      <c r="G312" s="119">
        <v>7.03389E11</v>
      </c>
      <c r="H312" s="45" t="s">
        <v>1003</v>
      </c>
      <c r="I312" s="45">
        <v>6195.0</v>
      </c>
      <c r="J312" s="45">
        <v>7038.0</v>
      </c>
      <c r="K312" s="45" t="s">
        <v>1003</v>
      </c>
      <c r="L312" s="45" t="s">
        <v>3165</v>
      </c>
      <c r="M312" s="106">
        <v>21015.0</v>
      </c>
      <c r="N312" s="45">
        <v>0.0</v>
      </c>
      <c r="O312" s="45" t="s">
        <v>3166</v>
      </c>
      <c r="P312" s="45" t="s">
        <v>46</v>
      </c>
      <c r="Q312" s="45" t="s">
        <v>1006</v>
      </c>
      <c r="R312" s="45">
        <v>87.0</v>
      </c>
      <c r="S312" s="45">
        <v>2019.0</v>
      </c>
      <c r="T312" s="45">
        <v>93.2</v>
      </c>
      <c r="U312" s="45">
        <v>2022.0</v>
      </c>
      <c r="V312" s="45">
        <v>7.91</v>
      </c>
      <c r="W312" s="45">
        <v>74.1</v>
      </c>
      <c r="X312" s="45">
        <v>2025.0</v>
      </c>
      <c r="Y312" s="45">
        <v>0.0</v>
      </c>
      <c r="Z312" s="45">
        <v>0.0</v>
      </c>
      <c r="AA312" s="45" t="s">
        <v>3167</v>
      </c>
      <c r="AB312" s="45" t="s">
        <v>3168</v>
      </c>
      <c r="AC312" s="45">
        <v>7.569970692E9</v>
      </c>
      <c r="AD312" s="45">
        <v>9.849177632E9</v>
      </c>
      <c r="AE312" s="45">
        <v>0.0</v>
      </c>
      <c r="AF312" s="45">
        <v>0.0</v>
      </c>
      <c r="AG312" s="45" t="s">
        <v>3169</v>
      </c>
      <c r="AH312" s="45" t="s">
        <v>3170</v>
      </c>
      <c r="AI312" s="45">
        <v>7.78</v>
      </c>
      <c r="AJ312" s="45">
        <v>7.66</v>
      </c>
      <c r="AK312" s="45">
        <v>7.73</v>
      </c>
      <c r="AL312" s="45">
        <v>0.0</v>
      </c>
      <c r="AM312" s="45">
        <v>7.85</v>
      </c>
      <c r="AN312" s="45">
        <v>7.91</v>
      </c>
      <c r="AO312" s="45" t="s">
        <v>28</v>
      </c>
      <c r="AQ312" s="45" t="s">
        <v>1011</v>
      </c>
      <c r="AT312" s="45" t="s">
        <v>1012</v>
      </c>
    </row>
    <row r="313">
      <c r="B313" s="45" t="s">
        <v>829</v>
      </c>
      <c r="C313" s="45" t="s">
        <v>3171</v>
      </c>
      <c r="D313" s="45" t="s">
        <v>3172</v>
      </c>
      <c r="E313" s="45" t="s">
        <v>830</v>
      </c>
      <c r="F313" s="45">
        <v>0.0</v>
      </c>
      <c r="G313" s="119">
        <v>5.42989E11</v>
      </c>
      <c r="H313" s="45" t="s">
        <v>1003</v>
      </c>
      <c r="I313" s="45" t="s">
        <v>1003</v>
      </c>
      <c r="J313" s="45" t="s">
        <v>1003</v>
      </c>
      <c r="K313" s="45" t="s">
        <v>1003</v>
      </c>
      <c r="L313" s="45" t="s">
        <v>1479</v>
      </c>
      <c r="M313" s="106">
        <v>15892.0</v>
      </c>
      <c r="N313" s="45">
        <v>0.0</v>
      </c>
      <c r="O313" s="121">
        <v>37962.0</v>
      </c>
      <c r="P313" s="45" t="s">
        <v>46</v>
      </c>
      <c r="Q313" s="45" t="s">
        <v>1006</v>
      </c>
      <c r="R313" s="45">
        <v>97.0</v>
      </c>
      <c r="S313" s="45">
        <v>2019.0</v>
      </c>
      <c r="T313" s="45">
        <v>97.6</v>
      </c>
      <c r="U313" s="45">
        <v>2021.0</v>
      </c>
      <c r="V313" s="45">
        <v>8.35</v>
      </c>
      <c r="W313" s="45">
        <v>78.5</v>
      </c>
      <c r="X313" s="45">
        <v>2025.0</v>
      </c>
      <c r="Y313" s="45">
        <v>0.0</v>
      </c>
      <c r="Z313" s="45">
        <v>0.0</v>
      </c>
      <c r="AA313" s="45" t="s">
        <v>3173</v>
      </c>
      <c r="AB313" s="45" t="s">
        <v>3174</v>
      </c>
      <c r="AC313" s="45">
        <v>7.842371131E9</v>
      </c>
      <c r="AD313" s="45">
        <v>9.491681372E9</v>
      </c>
      <c r="AE313" s="45" t="s">
        <v>3175</v>
      </c>
      <c r="AF313" s="45" t="s">
        <v>440</v>
      </c>
      <c r="AG313" s="45" t="s">
        <v>3176</v>
      </c>
      <c r="AH313" s="45" t="s">
        <v>3177</v>
      </c>
      <c r="AI313" s="45">
        <v>8.49</v>
      </c>
      <c r="AJ313" s="45">
        <v>8.49</v>
      </c>
      <c r="AK313" s="45">
        <v>8.14</v>
      </c>
      <c r="AL313" s="45">
        <v>0.0</v>
      </c>
      <c r="AM313" s="45">
        <v>8.36</v>
      </c>
      <c r="AN313" s="45">
        <v>8.35</v>
      </c>
      <c r="AO313" s="45" t="s">
        <v>27</v>
      </c>
      <c r="AQ313" s="45" t="s">
        <v>1011</v>
      </c>
      <c r="AT313" s="45" t="s">
        <v>1028</v>
      </c>
    </row>
    <row r="314">
      <c r="B314" s="45" t="s">
        <v>832</v>
      </c>
      <c r="C314" s="45" t="s">
        <v>3178</v>
      </c>
      <c r="D314" s="45" t="s">
        <v>3179</v>
      </c>
      <c r="E314" s="45" t="s">
        <v>833</v>
      </c>
      <c r="F314" s="45">
        <v>0.0</v>
      </c>
      <c r="G314" s="119">
        <v>6.89459E11</v>
      </c>
      <c r="H314" s="45" t="s">
        <v>1003</v>
      </c>
      <c r="I314" s="45" t="s">
        <v>1003</v>
      </c>
      <c r="J314" s="45" t="s">
        <v>1003</v>
      </c>
      <c r="K314" s="45" t="s">
        <v>1003</v>
      </c>
      <c r="L314" s="45" t="s">
        <v>2919</v>
      </c>
      <c r="M314" s="106">
        <v>61332.0</v>
      </c>
      <c r="N314" s="45">
        <v>0.0</v>
      </c>
      <c r="O314" s="45" t="s">
        <v>3180</v>
      </c>
      <c r="P314" s="45" t="s">
        <v>46</v>
      </c>
      <c r="Q314" s="45" t="s">
        <v>1006</v>
      </c>
      <c r="R314" s="45">
        <v>90.0</v>
      </c>
      <c r="S314" s="45">
        <v>2019.0</v>
      </c>
      <c r="T314" s="45">
        <v>81.8</v>
      </c>
      <c r="U314" s="45">
        <v>2021.0</v>
      </c>
      <c r="V314" s="45">
        <v>7.12</v>
      </c>
      <c r="W314" s="45">
        <v>66.2</v>
      </c>
      <c r="X314" s="45">
        <v>2025.0</v>
      </c>
      <c r="Y314" s="45">
        <v>0.0</v>
      </c>
      <c r="Z314" s="45">
        <v>0.0</v>
      </c>
      <c r="AA314" s="45" t="s">
        <v>3181</v>
      </c>
      <c r="AB314" s="45" t="s">
        <v>3182</v>
      </c>
      <c r="AC314" s="45">
        <v>8.919035933E9</v>
      </c>
      <c r="AD314" s="45">
        <v>9.676600648E9</v>
      </c>
      <c r="AE314" s="45" t="s">
        <v>440</v>
      </c>
      <c r="AF314" s="45" t="s">
        <v>440</v>
      </c>
      <c r="AG314" s="45" t="s">
        <v>3183</v>
      </c>
      <c r="AH314" s="45" t="s">
        <v>3184</v>
      </c>
      <c r="AI314" s="45">
        <v>6.46</v>
      </c>
      <c r="AJ314" s="45">
        <v>6.88</v>
      </c>
      <c r="AK314" s="45">
        <v>6.57</v>
      </c>
      <c r="AL314" s="45">
        <v>0.0</v>
      </c>
      <c r="AM314" s="45">
        <v>6.96</v>
      </c>
      <c r="AN314" s="45">
        <v>7.14</v>
      </c>
      <c r="AO314" s="45" t="s">
        <v>27</v>
      </c>
      <c r="AQ314" s="45" t="s">
        <v>1011</v>
      </c>
      <c r="AT314" s="45" t="s">
        <v>1012</v>
      </c>
    </row>
    <row r="315">
      <c r="B315" s="45" t="s">
        <v>834</v>
      </c>
      <c r="C315" s="45" t="s">
        <v>3185</v>
      </c>
      <c r="D315" s="45" t="s">
        <v>3186</v>
      </c>
      <c r="E315" s="45" t="s">
        <v>835</v>
      </c>
      <c r="F315" s="45">
        <v>0.0</v>
      </c>
      <c r="G315" s="119">
        <v>6.44196E11</v>
      </c>
      <c r="H315" s="45" t="s">
        <v>1003</v>
      </c>
      <c r="I315" s="45" t="s">
        <v>1003</v>
      </c>
      <c r="J315" s="45" t="s">
        <v>1003</v>
      </c>
      <c r="K315" s="45" t="s">
        <v>1003</v>
      </c>
      <c r="L315" s="45" t="s">
        <v>2775</v>
      </c>
      <c r="M315" s="106">
        <v>0.0</v>
      </c>
      <c r="N315" s="45">
        <v>0.0</v>
      </c>
      <c r="O315" s="45" t="s">
        <v>2604</v>
      </c>
      <c r="P315" s="45" t="s">
        <v>46</v>
      </c>
      <c r="Q315" s="45" t="s">
        <v>1006</v>
      </c>
      <c r="R315" s="45">
        <v>95.0</v>
      </c>
      <c r="S315" s="45">
        <v>2019.0</v>
      </c>
      <c r="T315" s="45">
        <v>96.8</v>
      </c>
      <c r="U315" s="45">
        <v>2021.0</v>
      </c>
      <c r="V315" s="45">
        <v>8.0</v>
      </c>
      <c r="W315" s="45">
        <v>75.0</v>
      </c>
      <c r="X315" s="45">
        <v>2025.0</v>
      </c>
      <c r="Y315" s="45">
        <v>0.0</v>
      </c>
      <c r="Z315" s="45">
        <v>0.0</v>
      </c>
      <c r="AA315" s="45" t="s">
        <v>3187</v>
      </c>
      <c r="AB315" s="45" t="s">
        <v>3188</v>
      </c>
      <c r="AC315" s="45">
        <v>9.347785568E9</v>
      </c>
      <c r="AD315" s="45">
        <v>9.441670345E9</v>
      </c>
      <c r="AE315" s="45" t="s">
        <v>52</v>
      </c>
      <c r="AF315" s="45">
        <v>0.0</v>
      </c>
      <c r="AG315" s="45" t="s">
        <v>3189</v>
      </c>
      <c r="AH315" s="45" t="s">
        <v>3190</v>
      </c>
      <c r="AI315" s="45">
        <v>7.65</v>
      </c>
      <c r="AJ315" s="45">
        <v>7.46</v>
      </c>
      <c r="AK315" s="45">
        <v>7.59</v>
      </c>
      <c r="AL315" s="45">
        <v>0.0</v>
      </c>
      <c r="AM315" s="45">
        <v>7.87</v>
      </c>
      <c r="AN315" s="45">
        <v>8.0</v>
      </c>
      <c r="AO315" s="45" t="s">
        <v>28</v>
      </c>
      <c r="AQ315" s="45" t="s">
        <v>1011</v>
      </c>
      <c r="AT315" s="45" t="s">
        <v>1028</v>
      </c>
    </row>
    <row r="316">
      <c r="B316" s="45" t="s">
        <v>836</v>
      </c>
      <c r="C316" s="45" t="s">
        <v>3191</v>
      </c>
      <c r="D316" s="45" t="s">
        <v>3192</v>
      </c>
      <c r="E316" s="45" t="s">
        <v>837</v>
      </c>
      <c r="F316" s="45">
        <v>0.0</v>
      </c>
      <c r="G316" s="119">
        <v>7.93072E11</v>
      </c>
      <c r="H316" s="45" t="s">
        <v>1003</v>
      </c>
      <c r="I316" s="45" t="s">
        <v>1003</v>
      </c>
      <c r="J316" s="45" t="s">
        <v>1003</v>
      </c>
      <c r="K316" s="45" t="s">
        <v>1003</v>
      </c>
      <c r="L316" s="45" t="s">
        <v>1404</v>
      </c>
      <c r="M316" s="106">
        <v>7656.0</v>
      </c>
      <c r="N316" s="45">
        <v>0.0</v>
      </c>
      <c r="O316" s="45" t="s">
        <v>3193</v>
      </c>
      <c r="P316" s="45" t="s">
        <v>46</v>
      </c>
      <c r="Q316" s="45" t="s">
        <v>1006</v>
      </c>
      <c r="R316" s="45">
        <v>90.0</v>
      </c>
      <c r="S316" s="45">
        <v>2019.0</v>
      </c>
      <c r="T316" s="45">
        <v>82.0</v>
      </c>
      <c r="U316" s="45">
        <v>2021.0</v>
      </c>
      <c r="V316" s="45">
        <v>0.0</v>
      </c>
      <c r="W316" s="45">
        <v>-5.0</v>
      </c>
      <c r="X316" s="45">
        <v>2025.0</v>
      </c>
      <c r="Y316" s="45">
        <v>7.0</v>
      </c>
      <c r="Z316" s="45">
        <v>17.0</v>
      </c>
      <c r="AA316" s="45" t="s">
        <v>3194</v>
      </c>
      <c r="AB316" s="45" t="s">
        <v>3195</v>
      </c>
      <c r="AC316" s="45">
        <v>9.17714791E9</v>
      </c>
      <c r="AD316" s="45">
        <v>9.94831639E9</v>
      </c>
      <c r="AE316" s="45">
        <v>0.0</v>
      </c>
      <c r="AF316" s="45">
        <v>0.0</v>
      </c>
      <c r="AG316" s="45" t="s">
        <v>3196</v>
      </c>
      <c r="AH316" s="45" t="s">
        <v>3197</v>
      </c>
      <c r="AI316" s="45">
        <v>0.0</v>
      </c>
      <c r="AJ316" s="45">
        <v>0.0</v>
      </c>
      <c r="AK316" s="45">
        <v>0.0</v>
      </c>
      <c r="AL316" s="45">
        <v>0.0</v>
      </c>
      <c r="AM316" s="45">
        <v>3.46</v>
      </c>
      <c r="AN316" s="45">
        <v>0.0</v>
      </c>
      <c r="AO316" s="45" t="s">
        <v>27</v>
      </c>
      <c r="AQ316" s="45" t="s">
        <v>1011</v>
      </c>
      <c r="AT316" s="45" t="s">
        <v>1012</v>
      </c>
    </row>
    <row r="317">
      <c r="B317" s="45" t="s">
        <v>838</v>
      </c>
      <c r="C317" s="45" t="s">
        <v>3198</v>
      </c>
      <c r="D317" s="45" t="s">
        <v>3199</v>
      </c>
      <c r="E317" s="45" t="s">
        <v>839</v>
      </c>
      <c r="F317" s="45">
        <v>0.0</v>
      </c>
      <c r="G317" s="119">
        <v>8.89837E11</v>
      </c>
      <c r="H317" s="45" t="s">
        <v>1003</v>
      </c>
      <c r="I317" s="45" t="s">
        <v>1003</v>
      </c>
      <c r="J317" s="45" t="s">
        <v>1003</v>
      </c>
      <c r="K317" s="45" t="s">
        <v>1003</v>
      </c>
      <c r="L317" s="45" t="s">
        <v>3200</v>
      </c>
      <c r="M317" s="106">
        <v>0.0</v>
      </c>
      <c r="N317" s="45">
        <v>0.0</v>
      </c>
      <c r="O317" s="45" t="s">
        <v>3201</v>
      </c>
      <c r="P317" s="45" t="s">
        <v>46</v>
      </c>
      <c r="Q317" s="45" t="s">
        <v>1006</v>
      </c>
      <c r="R317" s="45">
        <v>80.0</v>
      </c>
      <c r="S317" s="45">
        <v>2019.0</v>
      </c>
      <c r="T317" s="45">
        <v>78.2</v>
      </c>
      <c r="U317" s="45">
        <v>2021.0</v>
      </c>
      <c r="V317" s="45">
        <v>0.0</v>
      </c>
      <c r="W317" s="45">
        <v>-5.0</v>
      </c>
      <c r="X317" s="45">
        <v>2025.0</v>
      </c>
      <c r="Y317" s="45">
        <v>4.0</v>
      </c>
      <c r="Z317" s="45">
        <v>8.0</v>
      </c>
      <c r="AA317" s="45" t="s">
        <v>3202</v>
      </c>
      <c r="AB317" s="45" t="s">
        <v>3203</v>
      </c>
      <c r="AC317" s="45">
        <v>6.302189043E9</v>
      </c>
      <c r="AD317" s="45">
        <v>9.98581092E9</v>
      </c>
      <c r="AE317" s="45">
        <v>0.0</v>
      </c>
      <c r="AF317" s="45">
        <v>0.0</v>
      </c>
      <c r="AG317" s="45" t="s">
        <v>3204</v>
      </c>
      <c r="AH317" s="45" t="s">
        <v>3205</v>
      </c>
      <c r="AI317" s="45">
        <v>6.78</v>
      </c>
      <c r="AJ317" s="45">
        <v>0.0</v>
      </c>
      <c r="AK317" s="45">
        <v>0.0</v>
      </c>
      <c r="AL317" s="45">
        <v>0.0</v>
      </c>
      <c r="AM317" s="45">
        <v>5.19</v>
      </c>
      <c r="AN317" s="45">
        <v>0.0</v>
      </c>
      <c r="AO317" s="45" t="s">
        <v>28</v>
      </c>
      <c r="AQ317" s="45" t="s">
        <v>1011</v>
      </c>
      <c r="AT317" s="45" t="s">
        <v>1012</v>
      </c>
    </row>
    <row r="318">
      <c r="B318" s="45" t="s">
        <v>840</v>
      </c>
      <c r="C318" s="45" t="s">
        <v>3206</v>
      </c>
      <c r="D318" s="45" t="s">
        <v>3207</v>
      </c>
      <c r="E318" s="45" t="s">
        <v>841</v>
      </c>
      <c r="F318" s="45">
        <v>0.0</v>
      </c>
      <c r="G318" s="119">
        <v>3.69918E11</v>
      </c>
      <c r="H318" s="45" t="s">
        <v>1003</v>
      </c>
      <c r="I318" s="45">
        <v>4331.0</v>
      </c>
      <c r="J318" s="45" t="s">
        <v>1003</v>
      </c>
      <c r="K318" s="45" t="s">
        <v>1003</v>
      </c>
      <c r="L318" s="45" t="s">
        <v>3208</v>
      </c>
      <c r="M318" s="106">
        <v>19521.0</v>
      </c>
      <c r="N318" s="45">
        <v>0.0</v>
      </c>
      <c r="O318" s="121">
        <v>38384.0</v>
      </c>
      <c r="P318" s="45" t="s">
        <v>60</v>
      </c>
      <c r="Q318" s="45" t="s">
        <v>1006</v>
      </c>
      <c r="R318" s="45">
        <v>100.0</v>
      </c>
      <c r="S318" s="45">
        <v>2019.0</v>
      </c>
      <c r="T318" s="45">
        <v>98.0</v>
      </c>
      <c r="U318" s="45">
        <v>2021.0</v>
      </c>
      <c r="V318" s="45">
        <v>9.29</v>
      </c>
      <c r="W318" s="45">
        <v>87.9</v>
      </c>
      <c r="X318" s="45">
        <v>2025.0</v>
      </c>
      <c r="Y318" s="45">
        <v>0.0</v>
      </c>
      <c r="Z318" s="45">
        <v>0.0</v>
      </c>
      <c r="AA318" s="45" t="s">
        <v>3209</v>
      </c>
      <c r="AB318" s="45" t="s">
        <v>3210</v>
      </c>
      <c r="AC318" s="45">
        <v>8.555029181E9</v>
      </c>
      <c r="AD318" s="45">
        <v>9.84898424E9</v>
      </c>
      <c r="AE318" s="45" t="s">
        <v>842</v>
      </c>
      <c r="AF318" s="45">
        <v>0.0</v>
      </c>
      <c r="AG318" s="45" t="s">
        <v>3211</v>
      </c>
      <c r="AH318" s="45" t="s">
        <v>3212</v>
      </c>
      <c r="AI318" s="45">
        <v>9.68</v>
      </c>
      <c r="AJ318" s="45">
        <v>9.46</v>
      </c>
      <c r="AK318" s="45">
        <v>8.45</v>
      </c>
      <c r="AL318" s="45">
        <v>0.0</v>
      </c>
      <c r="AM318" s="45">
        <v>9.23</v>
      </c>
      <c r="AN318" s="45">
        <v>9.29</v>
      </c>
      <c r="AO318" s="45" t="s">
        <v>28</v>
      </c>
      <c r="AQ318" s="45" t="s">
        <v>1011</v>
      </c>
      <c r="AT318" s="45" t="s">
        <v>1028</v>
      </c>
    </row>
    <row r="319">
      <c r="B319" s="45" t="s">
        <v>843</v>
      </c>
      <c r="C319" s="45" t="s">
        <v>3213</v>
      </c>
      <c r="D319" s="45" t="s">
        <v>3214</v>
      </c>
      <c r="E319" s="45" t="s">
        <v>844</v>
      </c>
      <c r="F319" s="45">
        <v>0.0</v>
      </c>
      <c r="G319" s="119">
        <v>6.89909E11</v>
      </c>
      <c r="H319" s="45" t="s">
        <v>1003</v>
      </c>
      <c r="I319" s="45">
        <v>7499.0</v>
      </c>
      <c r="J319" s="45" t="s">
        <v>1003</v>
      </c>
      <c r="K319" s="45" t="s">
        <v>1003</v>
      </c>
      <c r="L319" s="45" t="s">
        <v>2018</v>
      </c>
      <c r="M319" s="106">
        <v>20499.0</v>
      </c>
      <c r="N319" s="45">
        <v>0.0</v>
      </c>
      <c r="O319" s="45" t="s">
        <v>3215</v>
      </c>
      <c r="P319" s="45" t="s">
        <v>46</v>
      </c>
      <c r="Q319" s="45" t="s">
        <v>1006</v>
      </c>
      <c r="R319" s="45">
        <v>100.0</v>
      </c>
      <c r="S319" s="45">
        <v>2019.0</v>
      </c>
      <c r="T319" s="45">
        <v>95.2</v>
      </c>
      <c r="U319" s="45">
        <v>2021.0</v>
      </c>
      <c r="V319" s="45">
        <v>8.65</v>
      </c>
      <c r="W319" s="45">
        <v>81.5</v>
      </c>
      <c r="X319" s="45">
        <v>2025.0</v>
      </c>
      <c r="Y319" s="45">
        <v>0.0</v>
      </c>
      <c r="Z319" s="45">
        <v>0.0</v>
      </c>
      <c r="AA319" s="45" t="s">
        <v>3216</v>
      </c>
      <c r="AB319" s="45" t="s">
        <v>3217</v>
      </c>
      <c r="AC319" s="45">
        <v>9.550659712E9</v>
      </c>
      <c r="AD319" s="45">
        <v>7.396469712E9</v>
      </c>
      <c r="AE319" s="45" t="s">
        <v>3218</v>
      </c>
      <c r="AF319" s="45" t="s">
        <v>957</v>
      </c>
      <c r="AG319" s="45" t="s">
        <v>3219</v>
      </c>
      <c r="AH319" s="45" t="s">
        <v>3220</v>
      </c>
      <c r="AI319" s="45">
        <v>8.84</v>
      </c>
      <c r="AJ319" s="45">
        <v>8.71</v>
      </c>
      <c r="AK319" s="45">
        <v>8.32</v>
      </c>
      <c r="AL319" s="45">
        <v>0.0</v>
      </c>
      <c r="AM319" s="45">
        <v>8.61</v>
      </c>
      <c r="AN319" s="45">
        <v>8.65</v>
      </c>
      <c r="AO319" s="45" t="s">
        <v>28</v>
      </c>
      <c r="AQ319" s="45" t="s">
        <v>1011</v>
      </c>
      <c r="AT319" s="45" t="s">
        <v>1012</v>
      </c>
    </row>
    <row r="320">
      <c r="B320" s="45" t="s">
        <v>846</v>
      </c>
      <c r="C320" s="45" t="s">
        <v>3221</v>
      </c>
      <c r="D320" s="45" t="s">
        <v>3222</v>
      </c>
      <c r="E320" s="45" t="s">
        <v>847</v>
      </c>
      <c r="F320" s="45">
        <v>0.0</v>
      </c>
      <c r="G320" s="119">
        <v>6.61119E11</v>
      </c>
      <c r="H320" s="45" t="s">
        <v>1003</v>
      </c>
      <c r="I320" s="45">
        <v>5138.0</v>
      </c>
      <c r="J320" s="45" t="s">
        <v>1003</v>
      </c>
      <c r="K320" s="45" t="s">
        <v>1003</v>
      </c>
      <c r="L320" s="45" t="s">
        <v>3223</v>
      </c>
      <c r="M320" s="106">
        <v>7251.0</v>
      </c>
      <c r="N320" s="45">
        <v>0.0</v>
      </c>
      <c r="O320" s="45" t="s">
        <v>1015</v>
      </c>
      <c r="P320" s="45" t="s">
        <v>60</v>
      </c>
      <c r="Q320" s="45" t="s">
        <v>1006</v>
      </c>
      <c r="R320" s="45">
        <v>98.0</v>
      </c>
      <c r="S320" s="45">
        <v>2018.0</v>
      </c>
      <c r="T320" s="45">
        <v>94.4</v>
      </c>
      <c r="U320" s="45">
        <v>2020.0</v>
      </c>
      <c r="V320" s="45">
        <v>8.68</v>
      </c>
      <c r="W320" s="45">
        <v>81.8</v>
      </c>
      <c r="X320" s="45">
        <v>2025.0</v>
      </c>
      <c r="Y320" s="45">
        <v>0.0</v>
      </c>
      <c r="Z320" s="45">
        <v>0.0</v>
      </c>
      <c r="AA320" s="45" t="s">
        <v>3224</v>
      </c>
      <c r="AB320" s="45" t="s">
        <v>3225</v>
      </c>
      <c r="AC320" s="45">
        <v>7.981559153E9</v>
      </c>
      <c r="AD320" s="45">
        <v>8.074564246E9</v>
      </c>
      <c r="AE320" s="45" t="s">
        <v>848</v>
      </c>
      <c r="AF320" s="45">
        <v>0.0</v>
      </c>
      <c r="AG320" s="45" t="s">
        <v>3226</v>
      </c>
      <c r="AH320" s="45" t="s">
        <v>3227</v>
      </c>
      <c r="AI320" s="45">
        <v>8.84</v>
      </c>
      <c r="AJ320" s="45">
        <v>8.71</v>
      </c>
      <c r="AK320" s="45">
        <v>8.05</v>
      </c>
      <c r="AL320" s="45">
        <v>0.0</v>
      </c>
      <c r="AM320" s="45">
        <v>8.67</v>
      </c>
      <c r="AN320" s="45">
        <v>8.68</v>
      </c>
      <c r="AO320" s="45" t="s">
        <v>27</v>
      </c>
      <c r="AQ320" s="45" t="s">
        <v>1011</v>
      </c>
      <c r="AT320" s="45" t="s">
        <v>1028</v>
      </c>
    </row>
    <row r="321">
      <c r="B321" s="45" t="s">
        <v>849</v>
      </c>
      <c r="C321" s="45" t="s">
        <v>3228</v>
      </c>
      <c r="D321" s="45" t="s">
        <v>3229</v>
      </c>
      <c r="E321" s="45" t="s">
        <v>850</v>
      </c>
      <c r="F321" s="45">
        <v>0.0</v>
      </c>
      <c r="G321" s="119">
        <v>4.17183E11</v>
      </c>
      <c r="H321" s="45" t="s">
        <v>1003</v>
      </c>
      <c r="I321" s="45">
        <v>2085.0</v>
      </c>
      <c r="J321" s="45" t="s">
        <v>1003</v>
      </c>
      <c r="K321" s="45" t="s">
        <v>1003</v>
      </c>
      <c r="L321" s="45" t="s">
        <v>1236</v>
      </c>
      <c r="M321" s="106">
        <v>115153.0</v>
      </c>
      <c r="N321" s="45">
        <v>0.0</v>
      </c>
      <c r="O321" s="45" t="s">
        <v>3230</v>
      </c>
      <c r="P321" s="45" t="s">
        <v>60</v>
      </c>
      <c r="Q321" s="45" t="s">
        <v>1006</v>
      </c>
      <c r="R321" s="45">
        <v>69.0</v>
      </c>
      <c r="S321" s="45">
        <v>2019.0</v>
      </c>
      <c r="T321" s="45">
        <v>81.0</v>
      </c>
      <c r="U321" s="45">
        <v>2021.0</v>
      </c>
      <c r="V321" s="45">
        <v>8.13</v>
      </c>
      <c r="W321" s="45">
        <v>76.3</v>
      </c>
      <c r="X321" s="45">
        <v>2025.0</v>
      </c>
      <c r="Y321" s="45">
        <v>0.0</v>
      </c>
      <c r="Z321" s="45">
        <v>0.0</v>
      </c>
      <c r="AA321" s="45" t="s">
        <v>3231</v>
      </c>
      <c r="AB321" s="45" t="s">
        <v>3232</v>
      </c>
      <c r="AC321" s="45">
        <v>9.392844788E9</v>
      </c>
      <c r="AD321" s="45">
        <v>7.989970099E9</v>
      </c>
      <c r="AE321" s="45" t="s">
        <v>644</v>
      </c>
      <c r="AF321" s="45" t="s">
        <v>644</v>
      </c>
      <c r="AG321" s="45" t="s">
        <v>3233</v>
      </c>
      <c r="AH321" s="45" t="s">
        <v>3234</v>
      </c>
      <c r="AI321" s="45">
        <v>8.41</v>
      </c>
      <c r="AJ321" s="45">
        <v>7.95</v>
      </c>
      <c r="AK321" s="45">
        <v>8.0</v>
      </c>
      <c r="AL321" s="45">
        <v>0.0</v>
      </c>
      <c r="AM321" s="45">
        <v>8.15</v>
      </c>
      <c r="AN321" s="45">
        <v>8.13</v>
      </c>
      <c r="AO321" s="45" t="s">
        <v>28</v>
      </c>
      <c r="AQ321" s="45" t="s">
        <v>1011</v>
      </c>
      <c r="AT321" s="45" t="s">
        <v>1012</v>
      </c>
    </row>
    <row r="322">
      <c r="B322" s="45" t="s">
        <v>852</v>
      </c>
      <c r="C322" s="45" t="s">
        <v>3235</v>
      </c>
      <c r="D322" s="45" t="s">
        <v>2753</v>
      </c>
      <c r="E322" s="45" t="s">
        <v>853</v>
      </c>
      <c r="F322" s="45">
        <v>0.0</v>
      </c>
      <c r="G322" s="119">
        <v>4.06452E11</v>
      </c>
      <c r="H322" s="45" t="s">
        <v>1003</v>
      </c>
      <c r="I322" s="45" t="s">
        <v>1003</v>
      </c>
      <c r="J322" s="45" t="s">
        <v>1003</v>
      </c>
      <c r="K322" s="45" t="s">
        <v>1003</v>
      </c>
      <c r="L322" s="45" t="s">
        <v>1222</v>
      </c>
      <c r="M322" s="106">
        <v>21161.0</v>
      </c>
      <c r="N322" s="45">
        <v>0.0</v>
      </c>
      <c r="O322" s="121">
        <v>37745.0</v>
      </c>
      <c r="P322" s="45" t="s">
        <v>60</v>
      </c>
      <c r="Q322" s="45" t="s">
        <v>1006</v>
      </c>
      <c r="R322" s="45">
        <v>87.0</v>
      </c>
      <c r="S322" s="45">
        <v>2019.0</v>
      </c>
      <c r="T322" s="45">
        <v>41.0</v>
      </c>
      <c r="U322" s="45">
        <v>2022.0</v>
      </c>
      <c r="V322" s="45">
        <v>0.0</v>
      </c>
      <c r="W322" s="45">
        <v>-5.0</v>
      </c>
      <c r="X322" s="45">
        <v>2025.0</v>
      </c>
      <c r="Y322" s="45">
        <v>5.0</v>
      </c>
      <c r="Z322" s="45">
        <v>11.0</v>
      </c>
      <c r="AA322" s="45" t="s">
        <v>3236</v>
      </c>
      <c r="AB322" s="45" t="s">
        <v>3237</v>
      </c>
      <c r="AC322" s="45">
        <v>8.790346355E9</v>
      </c>
      <c r="AD322" s="45">
        <v>8.790346355E9</v>
      </c>
      <c r="AE322" s="45">
        <v>0.0</v>
      </c>
      <c r="AF322" s="45">
        <v>0.0</v>
      </c>
      <c r="AG322" s="45" t="s">
        <v>3238</v>
      </c>
      <c r="AH322" s="45" t="s">
        <v>3239</v>
      </c>
      <c r="AI322" s="45">
        <v>0.0</v>
      </c>
      <c r="AJ322" s="45">
        <v>0.0</v>
      </c>
      <c r="AK322" s="45">
        <v>0.0</v>
      </c>
      <c r="AL322" s="45">
        <v>0.0</v>
      </c>
      <c r="AM322" s="45">
        <v>4.11</v>
      </c>
      <c r="AN322" s="45">
        <v>0.0</v>
      </c>
      <c r="AO322" s="45" t="s">
        <v>27</v>
      </c>
      <c r="AQ322" s="45" t="s">
        <v>1011</v>
      </c>
      <c r="AT322" s="45" t="s">
        <v>1012</v>
      </c>
    </row>
    <row r="323">
      <c r="B323" s="45" t="s">
        <v>854</v>
      </c>
      <c r="C323" s="45" t="s">
        <v>3240</v>
      </c>
      <c r="D323" s="45" t="s">
        <v>3241</v>
      </c>
      <c r="E323" s="45" t="s">
        <v>855</v>
      </c>
      <c r="F323" s="45">
        <v>0.0</v>
      </c>
      <c r="G323" s="119">
        <v>7.89869E11</v>
      </c>
      <c r="H323" s="45" t="s">
        <v>1003</v>
      </c>
      <c r="I323" s="45" t="s">
        <v>1003</v>
      </c>
      <c r="J323" s="45" t="s">
        <v>1003</v>
      </c>
      <c r="K323" s="45" t="s">
        <v>1003</v>
      </c>
      <c r="L323" s="45" t="s">
        <v>3242</v>
      </c>
      <c r="M323" s="106">
        <v>55000.0</v>
      </c>
      <c r="N323" s="45">
        <v>55000.0</v>
      </c>
      <c r="O323" s="121">
        <v>37569.0</v>
      </c>
      <c r="P323" s="45" t="s">
        <v>46</v>
      </c>
      <c r="Q323" s="45" t="s">
        <v>1006</v>
      </c>
      <c r="R323" s="45">
        <v>82.0</v>
      </c>
      <c r="S323" s="45">
        <v>2019.0</v>
      </c>
      <c r="T323" s="45">
        <v>61.5</v>
      </c>
      <c r="U323" s="45">
        <v>2021.0</v>
      </c>
      <c r="V323" s="45">
        <v>0.0</v>
      </c>
      <c r="W323" s="45">
        <v>-5.0</v>
      </c>
      <c r="X323" s="45">
        <v>2025.0</v>
      </c>
      <c r="Y323" s="45">
        <v>8.0</v>
      </c>
      <c r="Z323" s="45">
        <v>17.0</v>
      </c>
      <c r="AA323" s="45" t="s">
        <v>3243</v>
      </c>
      <c r="AB323" s="45" t="s">
        <v>3244</v>
      </c>
      <c r="AC323" s="45">
        <v>7.386161228E9</v>
      </c>
      <c r="AD323" s="45">
        <v>7.386161229E9</v>
      </c>
      <c r="AE323" s="45">
        <v>0.0</v>
      </c>
      <c r="AF323" s="45">
        <v>0.0</v>
      </c>
      <c r="AG323" s="45" t="s">
        <v>3245</v>
      </c>
      <c r="AH323" s="45" t="s">
        <v>3246</v>
      </c>
      <c r="AI323" s="45">
        <v>0.0</v>
      </c>
      <c r="AJ323" s="45">
        <v>0.0</v>
      </c>
      <c r="AK323" s="45">
        <v>0.0</v>
      </c>
      <c r="AL323" s="45">
        <v>0.0</v>
      </c>
      <c r="AM323" s="45">
        <v>3.66</v>
      </c>
      <c r="AN323" s="45">
        <v>0.0</v>
      </c>
      <c r="AO323" s="45" t="s">
        <v>27</v>
      </c>
      <c r="AQ323" s="45" t="s">
        <v>1011</v>
      </c>
      <c r="AT323" s="45" t="s">
        <v>1012</v>
      </c>
    </row>
    <row r="324">
      <c r="B324" s="45" t="s">
        <v>856</v>
      </c>
      <c r="C324" s="45" t="s">
        <v>3247</v>
      </c>
      <c r="D324" s="45" t="s">
        <v>2370</v>
      </c>
      <c r="E324" s="45" t="s">
        <v>857</v>
      </c>
      <c r="F324" s="45">
        <v>0.0</v>
      </c>
      <c r="G324" s="119">
        <v>4.49617E11</v>
      </c>
      <c r="H324" s="45" t="s">
        <v>1003</v>
      </c>
      <c r="I324" s="45" t="s">
        <v>1003</v>
      </c>
      <c r="J324" s="45" t="s">
        <v>1003</v>
      </c>
      <c r="K324" s="45" t="s">
        <v>1003</v>
      </c>
      <c r="L324" s="45" t="s">
        <v>1774</v>
      </c>
      <c r="M324" s="106">
        <v>18129.0</v>
      </c>
      <c r="N324" s="45">
        <v>0.0</v>
      </c>
      <c r="O324" s="45" t="s">
        <v>1005</v>
      </c>
      <c r="P324" s="45" t="s">
        <v>46</v>
      </c>
      <c r="Q324" s="45" t="s">
        <v>1006</v>
      </c>
      <c r="R324" s="45">
        <v>86.4</v>
      </c>
      <c r="S324" s="45">
        <v>2019.0</v>
      </c>
      <c r="T324" s="45">
        <v>97.8</v>
      </c>
      <c r="U324" s="45">
        <v>2021.0</v>
      </c>
      <c r="V324" s="45">
        <v>8.06</v>
      </c>
      <c r="W324" s="45">
        <v>75.6</v>
      </c>
      <c r="X324" s="45">
        <v>2025.0</v>
      </c>
      <c r="Y324" s="45">
        <v>0.0</v>
      </c>
      <c r="Z324" s="45">
        <v>0.0</v>
      </c>
      <c r="AA324" s="45" t="s">
        <v>3248</v>
      </c>
      <c r="AB324" s="45" t="s">
        <v>3249</v>
      </c>
      <c r="AC324" s="45">
        <v>7.416512165E9</v>
      </c>
      <c r="AD324" s="45">
        <v>7.386058386E9</v>
      </c>
      <c r="AE324" s="45" t="s">
        <v>518</v>
      </c>
      <c r="AF324" s="45">
        <v>0.0</v>
      </c>
      <c r="AG324" s="45" t="s">
        <v>3250</v>
      </c>
      <c r="AH324" s="45" t="s">
        <v>3251</v>
      </c>
      <c r="AI324" s="45">
        <v>7.89</v>
      </c>
      <c r="AJ324" s="45">
        <v>8.07</v>
      </c>
      <c r="AK324" s="45">
        <v>8.0</v>
      </c>
      <c r="AL324" s="45">
        <v>0.0</v>
      </c>
      <c r="AM324" s="45">
        <v>8.11</v>
      </c>
      <c r="AN324" s="45">
        <v>8.06</v>
      </c>
      <c r="AO324" s="45" t="s">
        <v>28</v>
      </c>
      <c r="AQ324" s="45" t="s">
        <v>1011</v>
      </c>
      <c r="AT324" s="45" t="s">
        <v>1028</v>
      </c>
    </row>
    <row r="325">
      <c r="B325" s="45" t="s">
        <v>858</v>
      </c>
      <c r="C325" s="45" t="s">
        <v>3252</v>
      </c>
      <c r="D325" s="45" t="s">
        <v>3253</v>
      </c>
      <c r="E325" s="45" t="s">
        <v>859</v>
      </c>
      <c r="F325" s="45">
        <v>0.0</v>
      </c>
      <c r="G325" s="119">
        <v>7.06345E11</v>
      </c>
      <c r="H325" s="45" t="s">
        <v>1003</v>
      </c>
      <c r="I325" s="45" t="s">
        <v>1003</v>
      </c>
      <c r="J325" s="45" t="s">
        <v>1003</v>
      </c>
      <c r="K325" s="45" t="s">
        <v>1003</v>
      </c>
      <c r="L325" s="45" t="s">
        <v>1106</v>
      </c>
      <c r="M325" s="106">
        <v>0.0</v>
      </c>
      <c r="N325" s="45">
        <v>0.0</v>
      </c>
      <c r="O325" s="45" t="s">
        <v>3254</v>
      </c>
      <c r="P325" s="45" t="s">
        <v>46</v>
      </c>
      <c r="Q325" s="45" t="s">
        <v>1006</v>
      </c>
      <c r="R325" s="45">
        <v>89.8</v>
      </c>
      <c r="S325" s="45">
        <v>2019.0</v>
      </c>
      <c r="T325" s="45">
        <v>91.6</v>
      </c>
      <c r="U325" s="45">
        <v>2021.0</v>
      </c>
      <c r="V325" s="45">
        <v>7.19</v>
      </c>
      <c r="W325" s="45">
        <v>66.9</v>
      </c>
      <c r="X325" s="45">
        <v>2025.0</v>
      </c>
      <c r="Y325" s="45">
        <v>0.0</v>
      </c>
      <c r="Z325" s="45">
        <v>0.0</v>
      </c>
      <c r="AA325" s="45" t="s">
        <v>3255</v>
      </c>
      <c r="AB325" s="45" t="s">
        <v>3256</v>
      </c>
      <c r="AC325" s="45">
        <v>9.963621583E9</v>
      </c>
      <c r="AD325" s="45">
        <v>9.849038409E9</v>
      </c>
      <c r="AE325" s="45">
        <v>0.0</v>
      </c>
      <c r="AF325" s="45">
        <v>0.0</v>
      </c>
      <c r="AG325" s="45" t="s">
        <v>3257</v>
      </c>
      <c r="AH325" s="45" t="s">
        <v>3258</v>
      </c>
      <c r="AI325" s="45">
        <v>8.0</v>
      </c>
      <c r="AJ325" s="45">
        <v>6.34</v>
      </c>
      <c r="AK325" s="45">
        <v>7.09</v>
      </c>
      <c r="AL325" s="45">
        <v>0.0</v>
      </c>
      <c r="AM325" s="45">
        <v>7.06</v>
      </c>
      <c r="AN325" s="45">
        <v>7.19</v>
      </c>
      <c r="AO325" s="45" t="s">
        <v>27</v>
      </c>
      <c r="AQ325" s="45" t="s">
        <v>1011</v>
      </c>
      <c r="AT325" s="45" t="s">
        <v>1012</v>
      </c>
    </row>
    <row r="326">
      <c r="B326" s="45" t="s">
        <v>3259</v>
      </c>
      <c r="C326" s="45" t="s">
        <v>3260</v>
      </c>
      <c r="D326" s="45" t="s">
        <v>1945</v>
      </c>
      <c r="E326" s="45" t="s">
        <v>860</v>
      </c>
      <c r="F326" s="45">
        <v>0.0</v>
      </c>
      <c r="G326" s="119">
        <v>5.88052E11</v>
      </c>
      <c r="H326" s="45" t="s">
        <v>1003</v>
      </c>
      <c r="I326" s="45" t="s">
        <v>1003</v>
      </c>
      <c r="J326" s="45" t="s">
        <v>1003</v>
      </c>
      <c r="K326" s="45" t="s">
        <v>1003</v>
      </c>
      <c r="L326" s="45" t="s">
        <v>1031</v>
      </c>
      <c r="M326" s="106">
        <v>20531.0</v>
      </c>
      <c r="N326" s="45">
        <v>0.0</v>
      </c>
      <c r="O326" s="45" t="s">
        <v>3261</v>
      </c>
      <c r="P326" s="45" t="s">
        <v>46</v>
      </c>
      <c r="Q326" s="45" t="s">
        <v>1006</v>
      </c>
      <c r="R326" s="45">
        <v>93.0</v>
      </c>
      <c r="S326" s="45">
        <v>2019.0</v>
      </c>
      <c r="T326" s="45">
        <v>88.0</v>
      </c>
      <c r="U326" s="45">
        <v>2021.0</v>
      </c>
      <c r="V326" s="45">
        <v>8.08</v>
      </c>
      <c r="W326" s="45">
        <v>75.8</v>
      </c>
      <c r="X326" s="45">
        <v>2025.0</v>
      </c>
      <c r="Y326" s="45">
        <v>0.0</v>
      </c>
      <c r="Z326" s="45">
        <v>0.0</v>
      </c>
      <c r="AA326" s="45" t="s">
        <v>3262</v>
      </c>
      <c r="AB326" s="45" t="s">
        <v>3263</v>
      </c>
      <c r="AC326" s="45">
        <v>8.688257917E9</v>
      </c>
      <c r="AD326" s="45">
        <v>9.866842827E9</v>
      </c>
      <c r="AE326" s="45">
        <v>0.0</v>
      </c>
      <c r="AF326" s="45">
        <v>0.0</v>
      </c>
      <c r="AG326" s="45" t="s">
        <v>3264</v>
      </c>
      <c r="AH326" s="45" t="s">
        <v>3265</v>
      </c>
      <c r="AI326" s="45">
        <v>8.11</v>
      </c>
      <c r="AJ326" s="45">
        <v>7.83</v>
      </c>
      <c r="AK326" s="45">
        <v>7.93</v>
      </c>
      <c r="AL326" s="45">
        <v>0.0</v>
      </c>
      <c r="AM326" s="45">
        <v>8.09</v>
      </c>
      <c r="AN326" s="45">
        <v>8.08</v>
      </c>
      <c r="AO326" s="45" t="s">
        <v>27</v>
      </c>
      <c r="AQ326" s="45" t="s">
        <v>1011</v>
      </c>
      <c r="AT326" s="45" t="s">
        <v>1012</v>
      </c>
    </row>
    <row r="327">
      <c r="B327" s="45" t="s">
        <v>861</v>
      </c>
      <c r="C327" s="45" t="s">
        <v>3266</v>
      </c>
      <c r="D327" s="45" t="s">
        <v>3267</v>
      </c>
      <c r="E327" s="45" t="s">
        <v>862</v>
      </c>
      <c r="F327" s="45">
        <v>0.0</v>
      </c>
      <c r="G327" s="119">
        <v>9.55056E11</v>
      </c>
      <c r="H327" s="45" t="s">
        <v>1003</v>
      </c>
      <c r="I327" s="45" t="s">
        <v>1003</v>
      </c>
      <c r="J327" s="45" t="s">
        <v>1003</v>
      </c>
      <c r="K327" s="45" t="s">
        <v>1003</v>
      </c>
      <c r="L327" s="45" t="s">
        <v>1047</v>
      </c>
      <c r="M327" s="106">
        <v>11384.0</v>
      </c>
      <c r="N327" s="45">
        <v>0.0</v>
      </c>
      <c r="O327" s="45" t="s">
        <v>3268</v>
      </c>
      <c r="P327" s="45" t="s">
        <v>46</v>
      </c>
      <c r="Q327" s="45" t="s">
        <v>1006</v>
      </c>
      <c r="R327" s="45">
        <v>92.0</v>
      </c>
      <c r="S327" s="45">
        <v>2019.0</v>
      </c>
      <c r="T327" s="45">
        <v>96.0</v>
      </c>
      <c r="U327" s="45">
        <v>2021.0</v>
      </c>
      <c r="V327" s="45">
        <v>8.46</v>
      </c>
      <c r="W327" s="45">
        <v>79.6</v>
      </c>
      <c r="X327" s="45">
        <v>2025.0</v>
      </c>
      <c r="Y327" s="45">
        <v>0.0</v>
      </c>
      <c r="Z327" s="45">
        <v>0.0</v>
      </c>
      <c r="AA327" s="45" t="s">
        <v>3269</v>
      </c>
      <c r="AB327" s="45" t="s">
        <v>3270</v>
      </c>
      <c r="AC327" s="45">
        <v>8.096558212E9</v>
      </c>
      <c r="AD327" s="45">
        <v>9.989967714E9</v>
      </c>
      <c r="AE327" s="45" t="s">
        <v>518</v>
      </c>
      <c r="AF327" s="45">
        <v>0.0</v>
      </c>
      <c r="AG327" s="45" t="s">
        <v>3271</v>
      </c>
      <c r="AH327" s="45" t="s">
        <v>3272</v>
      </c>
      <c r="AI327" s="45">
        <v>8.38</v>
      </c>
      <c r="AJ327" s="45">
        <v>8.22</v>
      </c>
      <c r="AK327" s="45">
        <v>8.2</v>
      </c>
      <c r="AL327" s="45">
        <v>0.0</v>
      </c>
      <c r="AM327" s="45">
        <v>8.47</v>
      </c>
      <c r="AN327" s="45">
        <v>8.46</v>
      </c>
      <c r="AO327" s="45" t="s">
        <v>27</v>
      </c>
      <c r="AQ327" s="45" t="s">
        <v>1011</v>
      </c>
      <c r="AT327" s="45" t="s">
        <v>1028</v>
      </c>
    </row>
    <row r="328">
      <c r="B328" s="45" t="s">
        <v>863</v>
      </c>
      <c r="C328" s="45" t="s">
        <v>3273</v>
      </c>
      <c r="D328" s="45" t="s">
        <v>3274</v>
      </c>
      <c r="E328" s="45" t="s">
        <v>864</v>
      </c>
      <c r="F328" s="45">
        <v>0.0</v>
      </c>
      <c r="G328" s="119">
        <v>9.17167E11</v>
      </c>
      <c r="H328" s="45" t="s">
        <v>1003</v>
      </c>
      <c r="I328" s="45">
        <v>1550.0</v>
      </c>
      <c r="J328" s="45" t="s">
        <v>1003</v>
      </c>
      <c r="K328" s="45" t="s">
        <v>1003</v>
      </c>
      <c r="L328" s="45" t="s">
        <v>1047</v>
      </c>
      <c r="M328" s="106">
        <v>8997.0</v>
      </c>
      <c r="N328" s="45">
        <v>0.0</v>
      </c>
      <c r="O328" s="120">
        <v>37935.0</v>
      </c>
      <c r="P328" s="45" t="s">
        <v>60</v>
      </c>
      <c r="Q328" s="45" t="s">
        <v>1006</v>
      </c>
      <c r="R328" s="45">
        <v>95.0</v>
      </c>
      <c r="S328" s="45">
        <v>2019.0</v>
      </c>
      <c r="T328" s="45">
        <v>98.2</v>
      </c>
      <c r="U328" s="45">
        <v>2021.0</v>
      </c>
      <c r="V328" s="45">
        <v>9.02</v>
      </c>
      <c r="W328" s="45">
        <v>85.2</v>
      </c>
      <c r="X328" s="45">
        <v>2025.0</v>
      </c>
      <c r="Y328" s="45">
        <v>0.0</v>
      </c>
      <c r="Z328" s="45">
        <v>0.0</v>
      </c>
      <c r="AA328" s="45" t="s">
        <v>3275</v>
      </c>
      <c r="AB328" s="45" t="s">
        <v>3276</v>
      </c>
      <c r="AC328" s="45">
        <v>9.392737278E9</v>
      </c>
      <c r="AD328" s="45">
        <v>9.849618431E9</v>
      </c>
      <c r="AE328" s="45" t="s">
        <v>271</v>
      </c>
      <c r="AF328" s="45">
        <v>0.0</v>
      </c>
      <c r="AG328" s="45" t="s">
        <v>3277</v>
      </c>
      <c r="AH328" s="45" t="s">
        <v>3278</v>
      </c>
      <c r="AI328" s="45">
        <v>9.19</v>
      </c>
      <c r="AJ328" s="45">
        <v>8.63</v>
      </c>
      <c r="AK328" s="45">
        <v>8.55</v>
      </c>
      <c r="AL328" s="45">
        <v>0.0</v>
      </c>
      <c r="AM328" s="45">
        <v>9.0</v>
      </c>
      <c r="AN328" s="45">
        <v>9.02</v>
      </c>
      <c r="AO328" s="45" t="s">
        <v>27</v>
      </c>
      <c r="AQ328" s="45" t="s">
        <v>1011</v>
      </c>
      <c r="AT328" s="45" t="s">
        <v>1012</v>
      </c>
    </row>
    <row r="329">
      <c r="B329" s="45" t="s">
        <v>866</v>
      </c>
      <c r="C329" s="45" t="s">
        <v>3279</v>
      </c>
      <c r="D329" s="45" t="s">
        <v>2468</v>
      </c>
      <c r="E329" s="45" t="s">
        <v>867</v>
      </c>
      <c r="F329" s="45">
        <v>0.0</v>
      </c>
      <c r="G329" s="119">
        <v>2.53654E11</v>
      </c>
      <c r="H329" s="45" t="s">
        <v>1003</v>
      </c>
      <c r="I329" s="45">
        <v>992.0</v>
      </c>
      <c r="J329" s="45" t="s">
        <v>1003</v>
      </c>
      <c r="K329" s="45" t="s">
        <v>1003</v>
      </c>
      <c r="L329" s="45" t="s">
        <v>2018</v>
      </c>
      <c r="M329" s="106">
        <v>0.0</v>
      </c>
      <c r="N329" s="45">
        <v>0.0</v>
      </c>
      <c r="O329" s="121">
        <v>38057.0</v>
      </c>
      <c r="P329" s="45" t="s">
        <v>46</v>
      </c>
      <c r="Q329" s="45" t="s">
        <v>1006</v>
      </c>
      <c r="R329" s="45">
        <v>90.0</v>
      </c>
      <c r="S329" s="45">
        <v>2019.0</v>
      </c>
      <c r="T329" s="45">
        <v>61.0</v>
      </c>
      <c r="U329" s="45">
        <v>2021.0</v>
      </c>
      <c r="V329" s="45">
        <v>0.0</v>
      </c>
      <c r="W329" s="45">
        <v>-5.0</v>
      </c>
      <c r="X329" s="45">
        <v>2025.0</v>
      </c>
      <c r="Y329" s="45">
        <v>1.0</v>
      </c>
      <c r="Z329" s="45">
        <v>1.0</v>
      </c>
      <c r="AA329" s="45" t="s">
        <v>3280</v>
      </c>
      <c r="AB329" s="45" t="s">
        <v>3281</v>
      </c>
      <c r="AC329" s="45">
        <v>7.330703108E9</v>
      </c>
      <c r="AD329" s="45">
        <v>9.985666685E9</v>
      </c>
      <c r="AE329" s="45">
        <v>0.0</v>
      </c>
      <c r="AF329" s="45">
        <v>0.0</v>
      </c>
      <c r="AG329" s="45" t="s">
        <v>3282</v>
      </c>
      <c r="AH329" s="45" t="s">
        <v>3283</v>
      </c>
      <c r="AI329" s="45">
        <v>7.14</v>
      </c>
      <c r="AJ329" s="45">
        <v>0.0</v>
      </c>
      <c r="AK329" s="45">
        <v>0.0</v>
      </c>
      <c r="AL329" s="45">
        <v>0.0</v>
      </c>
      <c r="AM329" s="45">
        <v>6.63</v>
      </c>
      <c r="AN329" s="45">
        <v>0.0</v>
      </c>
      <c r="AO329" s="45" t="s">
        <v>27</v>
      </c>
      <c r="AQ329" s="45" t="s">
        <v>1011</v>
      </c>
      <c r="AT329" s="45" t="s">
        <v>1012</v>
      </c>
    </row>
    <row r="330">
      <c r="B330" s="45" t="s">
        <v>868</v>
      </c>
      <c r="C330" s="45" t="s">
        <v>3284</v>
      </c>
      <c r="D330" s="45" t="s">
        <v>3285</v>
      </c>
      <c r="E330" s="45" t="s">
        <v>869</v>
      </c>
      <c r="F330" s="45">
        <v>0.0</v>
      </c>
      <c r="G330" s="119">
        <v>6.85671E11</v>
      </c>
      <c r="H330" s="45" t="s">
        <v>1003</v>
      </c>
      <c r="I330" s="45" t="s">
        <v>1003</v>
      </c>
      <c r="J330" s="45" t="s">
        <v>1003</v>
      </c>
      <c r="K330" s="45" t="s">
        <v>1003</v>
      </c>
      <c r="L330" s="45" t="s">
        <v>1076</v>
      </c>
      <c r="M330" s="106">
        <v>9835.0</v>
      </c>
      <c r="N330" s="45">
        <v>0.0</v>
      </c>
      <c r="O330" s="45" t="s">
        <v>2062</v>
      </c>
      <c r="P330" s="45" t="s">
        <v>46</v>
      </c>
      <c r="Q330" s="45" t="s">
        <v>1006</v>
      </c>
      <c r="R330" s="45">
        <v>91.8</v>
      </c>
      <c r="S330" s="45">
        <v>2019.0</v>
      </c>
      <c r="T330" s="45">
        <v>97.2</v>
      </c>
      <c r="U330" s="45">
        <v>2021.0</v>
      </c>
      <c r="V330" s="45">
        <v>8.72</v>
      </c>
      <c r="W330" s="45">
        <v>82.2</v>
      </c>
      <c r="X330" s="45">
        <v>2025.0</v>
      </c>
      <c r="Y330" s="45">
        <v>0.0</v>
      </c>
      <c r="Z330" s="45">
        <v>0.0</v>
      </c>
      <c r="AA330" s="45" t="s">
        <v>3286</v>
      </c>
      <c r="AB330" s="45" t="s">
        <v>3287</v>
      </c>
      <c r="AC330" s="45">
        <v>8.179339559E9</v>
      </c>
      <c r="AD330" s="45">
        <v>9.849623368E9</v>
      </c>
      <c r="AE330" s="45" t="s">
        <v>57</v>
      </c>
      <c r="AF330" s="45">
        <v>0.0</v>
      </c>
      <c r="AG330" s="45" t="s">
        <v>3288</v>
      </c>
      <c r="AH330" s="45" t="s">
        <v>3289</v>
      </c>
      <c r="AI330" s="45">
        <v>8.84</v>
      </c>
      <c r="AJ330" s="45">
        <v>8.68</v>
      </c>
      <c r="AK330" s="45">
        <v>8.82</v>
      </c>
      <c r="AL330" s="45">
        <v>0.0</v>
      </c>
      <c r="AM330" s="45">
        <v>8.73</v>
      </c>
      <c r="AN330" s="45">
        <v>8.72</v>
      </c>
      <c r="AO330" s="45" t="s">
        <v>27</v>
      </c>
      <c r="AQ330" s="45" t="s">
        <v>1011</v>
      </c>
      <c r="AT330" s="45" t="s">
        <v>1012</v>
      </c>
    </row>
    <row r="331">
      <c r="B331" s="45" t="s">
        <v>871</v>
      </c>
      <c r="C331" s="45" t="s">
        <v>3290</v>
      </c>
      <c r="D331" s="45" t="s">
        <v>3291</v>
      </c>
      <c r="E331" s="45" t="s">
        <v>872</v>
      </c>
      <c r="F331" s="45">
        <v>0.0</v>
      </c>
      <c r="G331" s="119">
        <v>3.30313E11</v>
      </c>
      <c r="H331" s="45" t="s">
        <v>1003</v>
      </c>
      <c r="I331" s="45" t="s">
        <v>1003</v>
      </c>
      <c r="J331" s="45" t="s">
        <v>1003</v>
      </c>
      <c r="K331" s="45" t="s">
        <v>1003</v>
      </c>
      <c r="L331" s="45" t="s">
        <v>2512</v>
      </c>
      <c r="M331" s="106">
        <v>8119.0</v>
      </c>
      <c r="N331" s="45">
        <v>0.0</v>
      </c>
      <c r="O331" s="45" t="s">
        <v>3292</v>
      </c>
      <c r="P331" s="45" t="s">
        <v>60</v>
      </c>
      <c r="Q331" s="45" t="s">
        <v>1006</v>
      </c>
      <c r="R331" s="45">
        <v>97.0</v>
      </c>
      <c r="S331" s="45">
        <v>2019.0</v>
      </c>
      <c r="T331" s="45">
        <v>88.2</v>
      </c>
      <c r="U331" s="45">
        <v>2021.0</v>
      </c>
      <c r="V331" s="45">
        <v>8.59</v>
      </c>
      <c r="W331" s="45">
        <v>80.9</v>
      </c>
      <c r="X331" s="45">
        <v>2025.0</v>
      </c>
      <c r="Y331" s="45">
        <v>0.0</v>
      </c>
      <c r="Z331" s="45">
        <v>0.0</v>
      </c>
      <c r="AA331" s="45" t="s">
        <v>3293</v>
      </c>
      <c r="AB331" s="45" t="s">
        <v>3294</v>
      </c>
      <c r="AC331" s="45">
        <v>9.959972022E9</v>
      </c>
      <c r="AD331" s="45">
        <v>9.849604858E9</v>
      </c>
      <c r="AE331" s="45" t="s">
        <v>873</v>
      </c>
      <c r="AF331" s="45" t="s">
        <v>873</v>
      </c>
      <c r="AG331" s="45" t="s">
        <v>3295</v>
      </c>
      <c r="AH331" s="45" t="s">
        <v>3296</v>
      </c>
      <c r="AI331" s="45">
        <v>9.11</v>
      </c>
      <c r="AJ331" s="45">
        <v>8.78</v>
      </c>
      <c r="AK331" s="45">
        <v>8.27</v>
      </c>
      <c r="AL331" s="45">
        <v>0.0</v>
      </c>
      <c r="AM331" s="45">
        <v>8.68</v>
      </c>
      <c r="AN331" s="45">
        <v>8.59</v>
      </c>
      <c r="AO331" s="45" t="s">
        <v>27</v>
      </c>
      <c r="AQ331" s="45" t="s">
        <v>1011</v>
      </c>
      <c r="AT331" s="45" t="s">
        <v>1012</v>
      </c>
    </row>
    <row r="332">
      <c r="B332" s="45" t="s">
        <v>874</v>
      </c>
      <c r="C332" s="45" t="s">
        <v>3290</v>
      </c>
      <c r="D332" s="45" t="s">
        <v>3297</v>
      </c>
      <c r="E332" s="45" t="s">
        <v>875</v>
      </c>
      <c r="F332" s="45">
        <v>0.0</v>
      </c>
      <c r="G332" s="119">
        <v>9.88948E11</v>
      </c>
      <c r="H332" s="45" t="s">
        <v>1003</v>
      </c>
      <c r="I332" s="45">
        <v>17335.0</v>
      </c>
      <c r="J332" s="45">
        <v>19978.0</v>
      </c>
      <c r="K332" s="45">
        <v>25847.0</v>
      </c>
      <c r="L332" s="45" t="s">
        <v>3298</v>
      </c>
      <c r="M332" s="106">
        <v>11139.0</v>
      </c>
      <c r="N332" s="45">
        <v>0.0</v>
      </c>
      <c r="O332" s="45" t="s">
        <v>2571</v>
      </c>
      <c r="P332" s="45" t="s">
        <v>60</v>
      </c>
      <c r="Q332" s="45" t="s">
        <v>1006</v>
      </c>
      <c r="R332" s="45">
        <v>98.0</v>
      </c>
      <c r="S332" s="45">
        <v>2019.0</v>
      </c>
      <c r="T332" s="45">
        <v>98.4</v>
      </c>
      <c r="U332" s="45">
        <v>2021.0</v>
      </c>
      <c r="V332" s="45">
        <v>9.35</v>
      </c>
      <c r="W332" s="45">
        <v>88.5</v>
      </c>
      <c r="X332" s="45">
        <v>2025.0</v>
      </c>
      <c r="Y332" s="45">
        <v>0.0</v>
      </c>
      <c r="Z332" s="45">
        <v>0.0</v>
      </c>
      <c r="AA332" s="45" t="s">
        <v>3299</v>
      </c>
      <c r="AB332" s="45" t="s">
        <v>3300</v>
      </c>
      <c r="AC332" s="45">
        <v>9.618691896E9</v>
      </c>
      <c r="AD332" s="45">
        <v>9.908145076E9</v>
      </c>
      <c r="AE332" s="45" t="s">
        <v>877</v>
      </c>
      <c r="AF332" s="45" t="s">
        <v>876</v>
      </c>
      <c r="AG332" s="45" t="s">
        <v>3301</v>
      </c>
      <c r="AH332" s="45" t="s">
        <v>3302</v>
      </c>
      <c r="AI332" s="45">
        <v>9.59</v>
      </c>
      <c r="AJ332" s="45">
        <v>9.32</v>
      </c>
      <c r="AK332" s="45">
        <v>8.86</v>
      </c>
      <c r="AL332" s="45">
        <v>0.0</v>
      </c>
      <c r="AM332" s="45">
        <v>9.3</v>
      </c>
      <c r="AN332" s="45">
        <v>9.35</v>
      </c>
      <c r="AO332" s="45" t="s">
        <v>27</v>
      </c>
      <c r="AQ332" s="45" t="s">
        <v>1011</v>
      </c>
      <c r="AT332" s="45" t="s">
        <v>1028</v>
      </c>
    </row>
    <row r="333">
      <c r="B333" s="45" t="s">
        <v>878</v>
      </c>
      <c r="C333" s="45" t="s">
        <v>3303</v>
      </c>
      <c r="D333" s="45" t="s">
        <v>3304</v>
      </c>
      <c r="E333" s="45" t="s">
        <v>879</v>
      </c>
      <c r="F333" s="45">
        <v>0.0</v>
      </c>
      <c r="G333" s="119">
        <v>2.6771E11</v>
      </c>
      <c r="H333" s="45" t="s">
        <v>1003</v>
      </c>
      <c r="I333" s="45">
        <v>18810.0</v>
      </c>
      <c r="J333" s="45">
        <v>19876.0</v>
      </c>
      <c r="K333" s="45">
        <v>26622.0</v>
      </c>
      <c r="L333" s="45" t="s">
        <v>3305</v>
      </c>
      <c r="M333" s="106">
        <v>4234.0</v>
      </c>
      <c r="N333" s="45">
        <v>0.0</v>
      </c>
      <c r="O333" s="121">
        <v>37875.0</v>
      </c>
      <c r="P333" s="45" t="s">
        <v>60</v>
      </c>
      <c r="Q333" s="45" t="s">
        <v>1006</v>
      </c>
      <c r="R333" s="45">
        <v>100.0</v>
      </c>
      <c r="S333" s="45">
        <v>2019.0</v>
      </c>
      <c r="T333" s="45">
        <v>98.5</v>
      </c>
      <c r="U333" s="45">
        <v>2021.0</v>
      </c>
      <c r="V333" s="45">
        <v>9.4</v>
      </c>
      <c r="W333" s="45">
        <v>89.0</v>
      </c>
      <c r="X333" s="45">
        <v>2025.0</v>
      </c>
      <c r="Y333" s="45">
        <v>0.0</v>
      </c>
      <c r="Z333" s="45">
        <v>0.0</v>
      </c>
      <c r="AA333" s="45" t="s">
        <v>3306</v>
      </c>
      <c r="AB333" s="45" t="s">
        <v>3307</v>
      </c>
      <c r="AC333" s="45">
        <v>9.515449838E9</v>
      </c>
      <c r="AD333" s="45">
        <v>9.343852266E9</v>
      </c>
      <c r="AE333" s="45" t="s">
        <v>880</v>
      </c>
      <c r="AF333" s="45" t="s">
        <v>111</v>
      </c>
      <c r="AG333" s="45" t="s">
        <v>3308</v>
      </c>
      <c r="AH333" s="45" t="s">
        <v>3309</v>
      </c>
      <c r="AI333" s="45">
        <v>9.76</v>
      </c>
      <c r="AJ333" s="45">
        <v>9.46</v>
      </c>
      <c r="AK333" s="45">
        <v>9.0</v>
      </c>
      <c r="AL333" s="45">
        <v>0.0</v>
      </c>
      <c r="AM333" s="45">
        <v>9.39</v>
      </c>
      <c r="AN333" s="45">
        <v>9.4</v>
      </c>
      <c r="AO333" s="45" t="s">
        <v>27</v>
      </c>
      <c r="AQ333" s="45" t="s">
        <v>1011</v>
      </c>
      <c r="AT333" s="45" t="s">
        <v>1028</v>
      </c>
    </row>
    <row r="334">
      <c r="B334" s="45" t="s">
        <v>881</v>
      </c>
      <c r="C334" s="45" t="s">
        <v>3310</v>
      </c>
      <c r="D334" s="45" t="s">
        <v>3311</v>
      </c>
      <c r="E334" s="45" t="s">
        <v>882</v>
      </c>
      <c r="F334" s="45">
        <v>0.0</v>
      </c>
      <c r="G334" s="119">
        <v>2.02127E11</v>
      </c>
      <c r="H334" s="45" t="s">
        <v>1003</v>
      </c>
      <c r="I334" s="45">
        <v>9449.0</v>
      </c>
      <c r="J334" s="45">
        <v>12195.0</v>
      </c>
      <c r="K334" s="45">
        <v>16567.0</v>
      </c>
      <c r="L334" s="45" t="s">
        <v>3312</v>
      </c>
      <c r="M334" s="106">
        <v>6234.0</v>
      </c>
      <c r="N334" s="45">
        <v>0.0</v>
      </c>
      <c r="O334" s="121">
        <v>37995.0</v>
      </c>
      <c r="P334" s="45" t="s">
        <v>60</v>
      </c>
      <c r="Q334" s="45" t="s">
        <v>1006</v>
      </c>
      <c r="R334" s="45">
        <v>98.0</v>
      </c>
      <c r="S334" s="45">
        <v>2019.0</v>
      </c>
      <c r="T334" s="45">
        <v>96.0</v>
      </c>
      <c r="U334" s="45">
        <v>2021.0</v>
      </c>
      <c r="V334" s="45">
        <v>8.95</v>
      </c>
      <c r="W334" s="45">
        <v>84.5</v>
      </c>
      <c r="X334" s="45">
        <v>2025.0</v>
      </c>
      <c r="Y334" s="45">
        <v>0.0</v>
      </c>
      <c r="Z334" s="45">
        <v>0.0</v>
      </c>
      <c r="AA334" s="45" t="s">
        <v>3313</v>
      </c>
      <c r="AB334" s="45" t="s">
        <v>3314</v>
      </c>
      <c r="AC334" s="45">
        <v>8.712162088E9</v>
      </c>
      <c r="AD334" s="45">
        <v>9.866816955E9</v>
      </c>
      <c r="AE334" s="45" t="s">
        <v>3315</v>
      </c>
      <c r="AF334" s="45" t="s">
        <v>958</v>
      </c>
      <c r="AG334" s="45" t="s">
        <v>3316</v>
      </c>
      <c r="AH334" s="45" t="s">
        <v>3317</v>
      </c>
      <c r="AI334" s="45">
        <v>9.35</v>
      </c>
      <c r="AJ334" s="45">
        <v>9.32</v>
      </c>
      <c r="AK334" s="45">
        <v>8.45</v>
      </c>
      <c r="AL334" s="45">
        <v>0.0</v>
      </c>
      <c r="AM334" s="45">
        <v>9.0</v>
      </c>
      <c r="AN334" s="45">
        <v>8.95</v>
      </c>
      <c r="AO334" s="45" t="s">
        <v>27</v>
      </c>
      <c r="AQ334" s="45" t="s">
        <v>1011</v>
      </c>
      <c r="AT334" s="45" t="s">
        <v>1028</v>
      </c>
    </row>
    <row r="335">
      <c r="B335" s="45" t="s">
        <v>885</v>
      </c>
      <c r="C335" s="45" t="s">
        <v>3318</v>
      </c>
      <c r="D335" s="45" t="s">
        <v>3319</v>
      </c>
      <c r="E335" s="45" t="s">
        <v>886</v>
      </c>
      <c r="F335" s="45">
        <v>0.0</v>
      </c>
      <c r="G335" s="119">
        <v>3.94651E11</v>
      </c>
      <c r="H335" s="45" t="s">
        <v>1003</v>
      </c>
      <c r="I335" s="45">
        <v>2280.0</v>
      </c>
      <c r="J335" s="45" t="s">
        <v>1003</v>
      </c>
      <c r="K335" s="45" t="s">
        <v>1003</v>
      </c>
      <c r="L335" s="45" t="s">
        <v>3320</v>
      </c>
      <c r="M335" s="106">
        <v>0.0</v>
      </c>
      <c r="N335" s="45">
        <v>0.0</v>
      </c>
      <c r="O335" s="121">
        <v>38085.0</v>
      </c>
      <c r="P335" s="45" t="s">
        <v>60</v>
      </c>
      <c r="Q335" s="45" t="s">
        <v>1006</v>
      </c>
      <c r="R335" s="45">
        <v>93.0</v>
      </c>
      <c r="S335" s="45">
        <v>2019.0</v>
      </c>
      <c r="T335" s="45">
        <v>86.8</v>
      </c>
      <c r="U335" s="45">
        <v>2021.0</v>
      </c>
      <c r="V335" s="45">
        <v>8.4</v>
      </c>
      <c r="W335" s="45">
        <v>79.0</v>
      </c>
      <c r="X335" s="45">
        <v>2025.0</v>
      </c>
      <c r="Y335" s="45">
        <v>0.0</v>
      </c>
      <c r="Z335" s="45">
        <v>0.0</v>
      </c>
      <c r="AA335" s="45" t="s">
        <v>3321</v>
      </c>
      <c r="AB335" s="45" t="s">
        <v>3322</v>
      </c>
      <c r="AC335" s="45">
        <v>8.520815292E9</v>
      </c>
      <c r="AD335" s="45">
        <v>8.555024986E9</v>
      </c>
      <c r="AE335" s="45">
        <v>0.0</v>
      </c>
      <c r="AF335" s="45">
        <v>0.0</v>
      </c>
      <c r="AG335" s="45" t="s">
        <v>3323</v>
      </c>
      <c r="AH335" s="45" t="s">
        <v>3324</v>
      </c>
      <c r="AI335" s="45">
        <v>7.81</v>
      </c>
      <c r="AJ335" s="45">
        <v>8.41</v>
      </c>
      <c r="AK335" s="45">
        <v>7.84</v>
      </c>
      <c r="AL335" s="45">
        <v>0.0</v>
      </c>
      <c r="AM335" s="45">
        <v>8.32</v>
      </c>
      <c r="AN335" s="45">
        <v>8.4</v>
      </c>
      <c r="AO335" s="45" t="s">
        <v>27</v>
      </c>
      <c r="AQ335" s="45" t="s">
        <v>1011</v>
      </c>
      <c r="AT335" s="45" t="s">
        <v>1012</v>
      </c>
    </row>
    <row r="336">
      <c r="B336" s="45" t="s">
        <v>887</v>
      </c>
      <c r="C336" s="45" t="s">
        <v>3325</v>
      </c>
      <c r="D336" s="45" t="s">
        <v>3326</v>
      </c>
      <c r="E336" s="45" t="s">
        <v>888</v>
      </c>
      <c r="F336" s="45">
        <v>0.0</v>
      </c>
      <c r="G336" s="119">
        <v>6.54199E11</v>
      </c>
      <c r="H336" s="45" t="s">
        <v>1003</v>
      </c>
      <c r="I336" s="45" t="s">
        <v>1003</v>
      </c>
      <c r="J336" s="45" t="s">
        <v>1003</v>
      </c>
      <c r="K336" s="45" t="s">
        <v>1003</v>
      </c>
      <c r="L336" s="45" t="s">
        <v>1123</v>
      </c>
      <c r="M336" s="106">
        <v>4951.0</v>
      </c>
      <c r="N336" s="45">
        <v>0.0</v>
      </c>
      <c r="O336" s="45" t="s">
        <v>2350</v>
      </c>
      <c r="P336" s="45" t="s">
        <v>46</v>
      </c>
      <c r="Q336" s="45" t="s">
        <v>1006</v>
      </c>
      <c r="R336" s="45">
        <v>93.0</v>
      </c>
      <c r="S336" s="45">
        <v>2019.0</v>
      </c>
      <c r="T336" s="45">
        <v>98.2</v>
      </c>
      <c r="U336" s="45">
        <v>2021.0</v>
      </c>
      <c r="V336" s="45">
        <v>8.21</v>
      </c>
      <c r="W336" s="45">
        <v>77.1</v>
      </c>
      <c r="X336" s="45">
        <v>2025.0</v>
      </c>
      <c r="Y336" s="45">
        <v>0.0</v>
      </c>
      <c r="Z336" s="45">
        <v>0.0</v>
      </c>
      <c r="AA336" s="45" t="s">
        <v>3327</v>
      </c>
      <c r="AB336" s="45" t="s">
        <v>3328</v>
      </c>
      <c r="AC336" s="45">
        <v>7.382443124E9</v>
      </c>
      <c r="AD336" s="45">
        <v>9.49162781E9</v>
      </c>
      <c r="AE336" s="45" t="s">
        <v>237</v>
      </c>
      <c r="AF336" s="45">
        <v>0.0</v>
      </c>
      <c r="AG336" s="45" t="s">
        <v>3329</v>
      </c>
      <c r="AH336" s="45" t="s">
        <v>3330</v>
      </c>
      <c r="AI336" s="45">
        <v>8.59</v>
      </c>
      <c r="AJ336" s="45">
        <v>7.83</v>
      </c>
      <c r="AK336" s="45">
        <v>8.2</v>
      </c>
      <c r="AL336" s="45">
        <v>0.0</v>
      </c>
      <c r="AM336" s="45">
        <v>8.18</v>
      </c>
      <c r="AN336" s="45">
        <v>8.21</v>
      </c>
      <c r="AO336" s="45" t="s">
        <v>27</v>
      </c>
      <c r="AQ336" s="45" t="s">
        <v>1011</v>
      </c>
      <c r="AT336" s="45" t="s">
        <v>1012</v>
      </c>
    </row>
    <row r="337">
      <c r="B337" s="45" t="s">
        <v>889</v>
      </c>
      <c r="C337" s="45" t="s">
        <v>3331</v>
      </c>
      <c r="D337" s="45" t="s">
        <v>3332</v>
      </c>
      <c r="E337" s="45" t="s">
        <v>890</v>
      </c>
      <c r="F337" s="45">
        <v>0.0</v>
      </c>
      <c r="G337" s="119">
        <v>7.96723E11</v>
      </c>
      <c r="H337" s="45" t="s">
        <v>1003</v>
      </c>
      <c r="I337" s="45" t="s">
        <v>1003</v>
      </c>
      <c r="J337" s="45" t="s">
        <v>1003</v>
      </c>
      <c r="K337" s="45" t="s">
        <v>1003</v>
      </c>
      <c r="L337" s="45" t="s">
        <v>3333</v>
      </c>
      <c r="M337" s="106">
        <v>9220.0</v>
      </c>
      <c r="N337" s="45">
        <v>0.0</v>
      </c>
      <c r="O337" s="121">
        <v>37721.0</v>
      </c>
      <c r="P337" s="45" t="s">
        <v>46</v>
      </c>
      <c r="Q337" s="45" t="s">
        <v>1006</v>
      </c>
      <c r="R337" s="45">
        <v>95.0</v>
      </c>
      <c r="S337" s="45">
        <v>2019.0</v>
      </c>
      <c r="T337" s="45">
        <v>97.0</v>
      </c>
      <c r="U337" s="45">
        <v>2021.0</v>
      </c>
      <c r="V337" s="45">
        <v>8.65</v>
      </c>
      <c r="W337" s="45">
        <v>81.5</v>
      </c>
      <c r="X337" s="45">
        <v>2025.0</v>
      </c>
      <c r="Y337" s="45">
        <v>0.0</v>
      </c>
      <c r="Z337" s="45">
        <v>0.0</v>
      </c>
      <c r="AA337" s="45" t="s">
        <v>3334</v>
      </c>
      <c r="AB337" s="45" t="s">
        <v>3335</v>
      </c>
      <c r="AC337" s="45">
        <v>9.4410327E9</v>
      </c>
      <c r="AD337" s="45">
        <v>9.441792846E9</v>
      </c>
      <c r="AE337" s="45" t="s">
        <v>48</v>
      </c>
      <c r="AF337" s="45">
        <v>0.0</v>
      </c>
      <c r="AG337" s="45" t="s">
        <v>3336</v>
      </c>
      <c r="AH337" s="45" t="s">
        <v>3337</v>
      </c>
      <c r="AI337" s="45">
        <v>9.27</v>
      </c>
      <c r="AJ337" s="45">
        <v>8.71</v>
      </c>
      <c r="AK337" s="45">
        <v>8.41</v>
      </c>
      <c r="AL337" s="45">
        <v>0.0</v>
      </c>
      <c r="AM337" s="45">
        <v>8.68</v>
      </c>
      <c r="AN337" s="45">
        <v>8.65</v>
      </c>
      <c r="AO337" s="45" t="s">
        <v>27</v>
      </c>
      <c r="AQ337" s="45" t="s">
        <v>1011</v>
      </c>
      <c r="AT337" s="45" t="s">
        <v>1028</v>
      </c>
    </row>
    <row r="338">
      <c r="B338" s="45" t="s">
        <v>891</v>
      </c>
      <c r="C338" s="45" t="s">
        <v>1030</v>
      </c>
      <c r="D338" s="45" t="s">
        <v>3338</v>
      </c>
      <c r="E338" s="45" t="s">
        <v>892</v>
      </c>
      <c r="F338" s="45">
        <v>0.0</v>
      </c>
      <c r="G338" s="119">
        <v>2.383E11</v>
      </c>
      <c r="H338" s="45" t="s">
        <v>1003</v>
      </c>
      <c r="I338" s="45">
        <v>3832.0</v>
      </c>
      <c r="J338" s="45" t="s">
        <v>1003</v>
      </c>
      <c r="K338" s="45" t="s">
        <v>1003</v>
      </c>
      <c r="L338" s="45" t="s">
        <v>2443</v>
      </c>
      <c r="M338" s="106">
        <v>0.0</v>
      </c>
      <c r="N338" s="45">
        <v>0.0</v>
      </c>
      <c r="O338" s="45" t="s">
        <v>1967</v>
      </c>
      <c r="P338" s="45" t="s">
        <v>46</v>
      </c>
      <c r="Q338" s="45" t="s">
        <v>1006</v>
      </c>
      <c r="R338" s="45">
        <v>95.0</v>
      </c>
      <c r="S338" s="45">
        <v>2019.0</v>
      </c>
      <c r="T338" s="45">
        <v>95.7</v>
      </c>
      <c r="U338" s="45">
        <v>2021.0</v>
      </c>
      <c r="V338" s="45">
        <v>8.58</v>
      </c>
      <c r="W338" s="45">
        <v>80.8</v>
      </c>
      <c r="X338" s="45">
        <v>2025.0</v>
      </c>
      <c r="Y338" s="45">
        <v>0.0</v>
      </c>
      <c r="Z338" s="45">
        <v>0.0</v>
      </c>
      <c r="AA338" s="45" t="s">
        <v>3339</v>
      </c>
      <c r="AB338" s="45" t="s">
        <v>3340</v>
      </c>
      <c r="AC338" s="45">
        <v>9.395111123E9</v>
      </c>
      <c r="AD338" s="45">
        <v>9.347477777E9</v>
      </c>
      <c r="AE338" s="45" t="s">
        <v>52</v>
      </c>
      <c r="AF338" s="45">
        <v>0.0</v>
      </c>
      <c r="AG338" s="45" t="s">
        <v>3341</v>
      </c>
      <c r="AH338" s="45" t="s">
        <v>3342</v>
      </c>
      <c r="AI338" s="45">
        <v>8.89</v>
      </c>
      <c r="AJ338" s="45">
        <v>8.39</v>
      </c>
      <c r="AK338" s="45">
        <v>8.25</v>
      </c>
      <c r="AL338" s="45">
        <v>0.0</v>
      </c>
      <c r="AM338" s="45">
        <v>8.56</v>
      </c>
      <c r="AN338" s="45">
        <v>8.58</v>
      </c>
      <c r="AO338" s="45" t="s">
        <v>27</v>
      </c>
      <c r="AQ338" s="45" t="s">
        <v>1011</v>
      </c>
      <c r="AT338" s="45" t="s">
        <v>1028</v>
      </c>
    </row>
    <row r="339">
      <c r="B339" s="45" t="s">
        <v>893</v>
      </c>
      <c r="C339" s="45" t="s">
        <v>1030</v>
      </c>
      <c r="D339" s="45" t="s">
        <v>3343</v>
      </c>
      <c r="E339" s="45" t="s">
        <v>894</v>
      </c>
      <c r="F339" s="45">
        <v>0.0</v>
      </c>
      <c r="G339" s="119">
        <v>4.10401E11</v>
      </c>
      <c r="H339" s="45" t="s">
        <v>1003</v>
      </c>
      <c r="I339" s="45">
        <v>4344.0</v>
      </c>
      <c r="J339" s="45">
        <v>7939.0</v>
      </c>
      <c r="K339" s="45" t="s">
        <v>1003</v>
      </c>
      <c r="L339" s="45" t="s">
        <v>2443</v>
      </c>
      <c r="M339" s="106">
        <v>0.0</v>
      </c>
      <c r="N339" s="45">
        <v>0.0</v>
      </c>
      <c r="O339" s="45" t="s">
        <v>3344</v>
      </c>
      <c r="P339" s="45" t="s">
        <v>46</v>
      </c>
      <c r="Q339" s="45" t="s">
        <v>1006</v>
      </c>
      <c r="R339" s="45">
        <v>92.0</v>
      </c>
      <c r="S339" s="45">
        <v>2019.0</v>
      </c>
      <c r="T339" s="45">
        <v>91.2</v>
      </c>
      <c r="U339" s="45">
        <v>2021.0</v>
      </c>
      <c r="V339" s="45">
        <v>8.44</v>
      </c>
      <c r="W339" s="45">
        <v>79.4</v>
      </c>
      <c r="X339" s="45">
        <v>2025.0</v>
      </c>
      <c r="Y339" s="45">
        <v>0.0</v>
      </c>
      <c r="Z339" s="45">
        <v>0.0</v>
      </c>
      <c r="AA339" s="45" t="s">
        <v>3345</v>
      </c>
      <c r="AB339" s="45" t="s">
        <v>3346</v>
      </c>
      <c r="AC339" s="45">
        <v>9.182564775E9</v>
      </c>
      <c r="AD339" s="45">
        <v>9.441228819E9</v>
      </c>
      <c r="AE339" s="45" t="s">
        <v>237</v>
      </c>
      <c r="AF339" s="45">
        <v>0.0</v>
      </c>
      <c r="AG339" s="45" t="s">
        <v>3347</v>
      </c>
      <c r="AH339" s="45" t="s">
        <v>3348</v>
      </c>
      <c r="AI339" s="45">
        <v>8.68</v>
      </c>
      <c r="AJ339" s="45">
        <v>8.07</v>
      </c>
      <c r="AK339" s="45">
        <v>8.34</v>
      </c>
      <c r="AL339" s="45">
        <v>0.0</v>
      </c>
      <c r="AM339" s="45">
        <v>8.41</v>
      </c>
      <c r="AN339" s="45">
        <v>8.44</v>
      </c>
      <c r="AO339" s="45" t="s">
        <v>27</v>
      </c>
      <c r="AQ339" s="45" t="s">
        <v>1011</v>
      </c>
      <c r="AT339" s="45" t="s">
        <v>1012</v>
      </c>
    </row>
    <row r="340">
      <c r="B340" s="45" t="s">
        <v>895</v>
      </c>
      <c r="C340" s="45" t="s">
        <v>3349</v>
      </c>
      <c r="D340" s="45" t="s">
        <v>3350</v>
      </c>
      <c r="E340" s="45" t="s">
        <v>896</v>
      </c>
      <c r="F340" s="45">
        <v>0.0</v>
      </c>
      <c r="G340" s="119">
        <v>7.15044E11</v>
      </c>
      <c r="H340" s="45" t="s">
        <v>1003</v>
      </c>
      <c r="I340" s="45">
        <v>5944.0</v>
      </c>
      <c r="J340" s="45" t="s">
        <v>1003</v>
      </c>
      <c r="K340" s="45" t="s">
        <v>1003</v>
      </c>
      <c r="L340" s="45" t="s">
        <v>3351</v>
      </c>
      <c r="M340" s="106">
        <v>5433.0</v>
      </c>
      <c r="N340" s="45">
        <v>0.0</v>
      </c>
      <c r="O340" s="45" t="s">
        <v>2131</v>
      </c>
      <c r="P340" s="45" t="s">
        <v>60</v>
      </c>
      <c r="Q340" s="45" t="s">
        <v>1006</v>
      </c>
      <c r="R340" s="45">
        <v>93.0</v>
      </c>
      <c r="S340" s="45">
        <v>2019.0</v>
      </c>
      <c r="T340" s="45">
        <v>94.0</v>
      </c>
      <c r="U340" s="45">
        <v>2021.0</v>
      </c>
      <c r="V340" s="45">
        <v>8.56</v>
      </c>
      <c r="W340" s="45">
        <v>80.6</v>
      </c>
      <c r="X340" s="45">
        <v>2025.0</v>
      </c>
      <c r="Y340" s="45">
        <v>0.0</v>
      </c>
      <c r="Z340" s="45">
        <v>0.0</v>
      </c>
      <c r="AA340" s="45" t="s">
        <v>3352</v>
      </c>
      <c r="AB340" s="45" t="s">
        <v>3353</v>
      </c>
      <c r="AC340" s="45">
        <v>7.981733843E9</v>
      </c>
      <c r="AD340" s="45">
        <v>9.848281414E9</v>
      </c>
      <c r="AE340" s="45" t="s">
        <v>237</v>
      </c>
      <c r="AF340" s="45">
        <v>0.0</v>
      </c>
      <c r="AG340" s="45" t="s">
        <v>3354</v>
      </c>
      <c r="AH340" s="45" t="s">
        <v>3355</v>
      </c>
      <c r="AI340" s="45">
        <v>8.59</v>
      </c>
      <c r="AJ340" s="45">
        <v>8.27</v>
      </c>
      <c r="AK340" s="45">
        <v>7.93</v>
      </c>
      <c r="AL340" s="45">
        <v>0.0</v>
      </c>
      <c r="AM340" s="45">
        <v>8.55</v>
      </c>
      <c r="AN340" s="45">
        <v>8.56</v>
      </c>
      <c r="AO340" s="45" t="s">
        <v>27</v>
      </c>
      <c r="AQ340" s="45" t="s">
        <v>1011</v>
      </c>
      <c r="AT340" s="45" t="s">
        <v>1012</v>
      </c>
    </row>
    <row r="341">
      <c r="B341" s="45" t="s">
        <v>897</v>
      </c>
      <c r="C341" s="45" t="s">
        <v>2371</v>
      </c>
      <c r="D341" s="45" t="s">
        <v>3356</v>
      </c>
      <c r="E341" s="45" t="s">
        <v>898</v>
      </c>
      <c r="F341" s="45">
        <v>0.0</v>
      </c>
      <c r="G341" s="119">
        <v>4.05926E11</v>
      </c>
      <c r="H341" s="45" t="s">
        <v>1003</v>
      </c>
      <c r="I341" s="45" t="s">
        <v>1003</v>
      </c>
      <c r="J341" s="45" t="s">
        <v>1003</v>
      </c>
      <c r="K341" s="45" t="s">
        <v>1003</v>
      </c>
      <c r="L341" s="45" t="s">
        <v>3357</v>
      </c>
      <c r="M341" s="106">
        <v>7615.0</v>
      </c>
      <c r="N341" s="45">
        <v>0.0</v>
      </c>
      <c r="O341" s="45" t="s">
        <v>3358</v>
      </c>
      <c r="P341" s="45" t="s">
        <v>46</v>
      </c>
      <c r="Q341" s="45" t="s">
        <v>1006</v>
      </c>
      <c r="R341" s="45">
        <v>100.0</v>
      </c>
      <c r="S341" s="45">
        <v>2019.0</v>
      </c>
      <c r="T341" s="45">
        <v>98.0</v>
      </c>
      <c r="U341" s="45">
        <v>2021.0</v>
      </c>
      <c r="V341" s="45">
        <v>9.0</v>
      </c>
      <c r="W341" s="45">
        <v>85.0</v>
      </c>
      <c r="X341" s="45">
        <v>2025.0</v>
      </c>
      <c r="Y341" s="45">
        <v>0.0</v>
      </c>
      <c r="Z341" s="45">
        <v>0.0</v>
      </c>
      <c r="AA341" s="45" t="s">
        <v>3359</v>
      </c>
      <c r="AB341" s="45" t="s">
        <v>3360</v>
      </c>
      <c r="AC341" s="45">
        <v>9.94957631E9</v>
      </c>
      <c r="AD341" s="45">
        <v>9.849091172E9</v>
      </c>
      <c r="AE341" s="45" t="s">
        <v>62</v>
      </c>
      <c r="AF341" s="45" t="s">
        <v>950</v>
      </c>
      <c r="AG341" s="45" t="s">
        <v>3361</v>
      </c>
      <c r="AH341" s="45" t="s">
        <v>3362</v>
      </c>
      <c r="AI341" s="45">
        <v>8.49</v>
      </c>
      <c r="AJ341" s="45">
        <v>9.0</v>
      </c>
      <c r="AK341" s="45">
        <v>8.55</v>
      </c>
      <c r="AL341" s="45">
        <v>0.0</v>
      </c>
      <c r="AM341" s="45">
        <v>8.98</v>
      </c>
      <c r="AN341" s="45">
        <v>9.0</v>
      </c>
      <c r="AO341" s="45" t="s">
        <v>27</v>
      </c>
      <c r="AQ341" s="45" t="s">
        <v>1011</v>
      </c>
      <c r="AT341" s="45" t="s">
        <v>1012</v>
      </c>
    </row>
    <row r="342">
      <c r="B342" s="45" t="s">
        <v>899</v>
      </c>
      <c r="C342" s="45" t="s">
        <v>3363</v>
      </c>
      <c r="D342" s="45" t="s">
        <v>3364</v>
      </c>
      <c r="E342" s="45" t="s">
        <v>900</v>
      </c>
      <c r="F342" s="45">
        <v>0.0</v>
      </c>
      <c r="G342" s="119">
        <v>7.21873E11</v>
      </c>
      <c r="H342" s="45" t="s">
        <v>1003</v>
      </c>
      <c r="I342" s="45" t="s">
        <v>1003</v>
      </c>
      <c r="J342" s="45" t="s">
        <v>1003</v>
      </c>
      <c r="K342" s="45" t="s">
        <v>1003</v>
      </c>
      <c r="L342" s="45" t="s">
        <v>1123</v>
      </c>
      <c r="M342" s="106">
        <v>0.0</v>
      </c>
      <c r="N342" s="45">
        <v>0.0</v>
      </c>
      <c r="O342" s="45" t="s">
        <v>1260</v>
      </c>
      <c r="P342" s="45" t="s">
        <v>46</v>
      </c>
      <c r="Q342" s="45" t="s">
        <v>1006</v>
      </c>
      <c r="R342" s="45">
        <v>66.2</v>
      </c>
      <c r="S342" s="45">
        <v>2019.0</v>
      </c>
      <c r="T342" s="45">
        <v>63.2</v>
      </c>
      <c r="U342" s="45">
        <v>2021.0</v>
      </c>
      <c r="V342" s="45">
        <v>0.0</v>
      </c>
      <c r="W342" s="45">
        <v>-5.0</v>
      </c>
      <c r="X342" s="45">
        <v>2025.0</v>
      </c>
      <c r="Y342" s="45">
        <v>7.0</v>
      </c>
      <c r="Z342" s="45">
        <v>13.0</v>
      </c>
      <c r="AA342" s="45" t="s">
        <v>3365</v>
      </c>
      <c r="AB342" s="45" t="s">
        <v>3366</v>
      </c>
      <c r="AC342" s="45">
        <v>9.133242426E9</v>
      </c>
      <c r="AD342" s="45">
        <v>9.885661901E9</v>
      </c>
      <c r="AE342" s="45">
        <v>0.0</v>
      </c>
      <c r="AF342" s="45">
        <v>0.0</v>
      </c>
      <c r="AG342" s="45" t="s">
        <v>3367</v>
      </c>
      <c r="AH342" s="45" t="s">
        <v>3368</v>
      </c>
      <c r="AI342" s="45">
        <v>0.0</v>
      </c>
      <c r="AJ342" s="45">
        <v>0.0</v>
      </c>
      <c r="AK342" s="45">
        <v>0.0</v>
      </c>
      <c r="AL342" s="45">
        <v>0.0</v>
      </c>
      <c r="AM342" s="45">
        <v>4.65</v>
      </c>
      <c r="AN342" s="45">
        <v>0.0</v>
      </c>
      <c r="AO342" s="45" t="s">
        <v>27</v>
      </c>
      <c r="AQ342" s="45" t="s">
        <v>1011</v>
      </c>
      <c r="AT342" s="45" t="s">
        <v>1012</v>
      </c>
    </row>
    <row r="343">
      <c r="B343" s="45" t="s">
        <v>901</v>
      </c>
      <c r="C343" s="45" t="s">
        <v>3369</v>
      </c>
      <c r="D343" s="45" t="s">
        <v>3370</v>
      </c>
      <c r="E343" s="45" t="s">
        <v>902</v>
      </c>
      <c r="F343" s="45">
        <v>0.0</v>
      </c>
      <c r="G343" s="119">
        <v>3.15386E11</v>
      </c>
      <c r="H343" s="45" t="s">
        <v>1003</v>
      </c>
      <c r="I343" s="45">
        <v>2541.0</v>
      </c>
      <c r="J343" s="45" t="s">
        <v>1003</v>
      </c>
      <c r="K343" s="45" t="s">
        <v>1003</v>
      </c>
      <c r="L343" s="45" t="s">
        <v>3371</v>
      </c>
      <c r="M343" s="106">
        <v>20107.0</v>
      </c>
      <c r="N343" s="45">
        <v>0.0</v>
      </c>
      <c r="O343" s="121">
        <v>37961.0</v>
      </c>
      <c r="P343" s="45" t="s">
        <v>60</v>
      </c>
      <c r="Q343" s="45" t="s">
        <v>1006</v>
      </c>
      <c r="R343" s="45">
        <v>98.0</v>
      </c>
      <c r="S343" s="45">
        <v>2019.0</v>
      </c>
      <c r="T343" s="45">
        <v>96.6</v>
      </c>
      <c r="U343" s="45">
        <v>2021.0</v>
      </c>
      <c r="V343" s="45">
        <v>8.91</v>
      </c>
      <c r="W343" s="45">
        <v>84.1</v>
      </c>
      <c r="X343" s="45">
        <v>2025.0</v>
      </c>
      <c r="Y343" s="45">
        <v>0.0</v>
      </c>
      <c r="Z343" s="45">
        <v>0.0</v>
      </c>
      <c r="AA343" s="45" t="s">
        <v>3372</v>
      </c>
      <c r="AB343" s="45" t="s">
        <v>3373</v>
      </c>
      <c r="AC343" s="45">
        <v>9.949390536E9</v>
      </c>
      <c r="AD343" s="45">
        <v>7.9891699E9</v>
      </c>
      <c r="AE343" s="45" t="s">
        <v>406</v>
      </c>
      <c r="AF343" s="45">
        <v>0.0</v>
      </c>
      <c r="AG343" s="45" t="s">
        <v>3374</v>
      </c>
      <c r="AH343" s="45" t="s">
        <v>3375</v>
      </c>
      <c r="AI343" s="45">
        <v>8.76</v>
      </c>
      <c r="AJ343" s="45">
        <v>9.0</v>
      </c>
      <c r="AK343" s="45">
        <v>8.45</v>
      </c>
      <c r="AL343" s="45">
        <v>0.0</v>
      </c>
      <c r="AM343" s="45">
        <v>8.84</v>
      </c>
      <c r="AN343" s="45">
        <v>8.91</v>
      </c>
      <c r="AO343" s="45" t="s">
        <v>27</v>
      </c>
      <c r="AQ343" s="45" t="s">
        <v>1011</v>
      </c>
      <c r="AT343" s="45" t="s">
        <v>1012</v>
      </c>
    </row>
    <row r="344">
      <c r="B344" s="45" t="s">
        <v>903</v>
      </c>
      <c r="C344" s="45" t="s">
        <v>3376</v>
      </c>
      <c r="D344" s="45" t="s">
        <v>3377</v>
      </c>
      <c r="E344" s="45" t="s">
        <v>904</v>
      </c>
      <c r="F344" s="45">
        <v>0.0</v>
      </c>
      <c r="G344" s="119">
        <v>8.85366E11</v>
      </c>
      <c r="H344" s="45" t="s">
        <v>1003</v>
      </c>
      <c r="I344" s="45">
        <v>1042.0</v>
      </c>
      <c r="J344" s="45" t="s">
        <v>1003</v>
      </c>
      <c r="K344" s="45" t="s">
        <v>1003</v>
      </c>
      <c r="L344" s="45" t="s">
        <v>3378</v>
      </c>
      <c r="M344" s="106">
        <v>0.0</v>
      </c>
      <c r="N344" s="45">
        <v>0.0</v>
      </c>
      <c r="O344" s="121">
        <v>37806.0</v>
      </c>
      <c r="P344" s="45" t="s">
        <v>46</v>
      </c>
      <c r="Q344" s="45" t="s">
        <v>1006</v>
      </c>
      <c r="R344" s="45">
        <v>83.2</v>
      </c>
      <c r="S344" s="45">
        <v>2019.0</v>
      </c>
      <c r="T344" s="45">
        <v>85.8</v>
      </c>
      <c r="U344" s="45">
        <v>2021.0</v>
      </c>
      <c r="V344" s="45">
        <v>8.12</v>
      </c>
      <c r="W344" s="45">
        <v>76.2</v>
      </c>
      <c r="X344" s="45">
        <v>2025.0</v>
      </c>
      <c r="Y344" s="45">
        <v>0.0</v>
      </c>
      <c r="Z344" s="45">
        <v>0.0</v>
      </c>
      <c r="AA344" s="45" t="s">
        <v>3379</v>
      </c>
      <c r="AB344" s="45" t="s">
        <v>3380</v>
      </c>
      <c r="AC344" s="45">
        <v>7.013215606E9</v>
      </c>
      <c r="AD344" s="45">
        <v>7.207664743E9</v>
      </c>
      <c r="AE344" s="45" t="s">
        <v>255</v>
      </c>
      <c r="AF344" s="45">
        <v>0.0</v>
      </c>
      <c r="AG344" s="45" t="s">
        <v>3381</v>
      </c>
      <c r="AH344" s="45" t="s">
        <v>3382</v>
      </c>
      <c r="AI344" s="45">
        <v>7.92</v>
      </c>
      <c r="AJ344" s="45">
        <v>7.15</v>
      </c>
      <c r="AK344" s="45">
        <v>7.73</v>
      </c>
      <c r="AL344" s="45">
        <v>0.0</v>
      </c>
      <c r="AM344" s="45">
        <v>7.99</v>
      </c>
      <c r="AN344" s="45">
        <v>8.12</v>
      </c>
      <c r="AO344" s="45" t="s">
        <v>27</v>
      </c>
      <c r="AQ344" s="45" t="s">
        <v>1011</v>
      </c>
      <c r="AT344" s="45" t="s">
        <v>1012</v>
      </c>
    </row>
    <row r="345">
      <c r="B345" s="45" t="s">
        <v>905</v>
      </c>
      <c r="C345" s="45" t="s">
        <v>3376</v>
      </c>
      <c r="D345" s="45" t="s">
        <v>3383</v>
      </c>
      <c r="E345" s="45" t="s">
        <v>906</v>
      </c>
      <c r="F345" s="45">
        <v>0.0</v>
      </c>
      <c r="G345" s="119">
        <v>9.95719E11</v>
      </c>
      <c r="H345" s="45" t="s">
        <v>1003</v>
      </c>
      <c r="I345" s="45">
        <v>5757.0</v>
      </c>
      <c r="J345" s="45">
        <v>8659.0</v>
      </c>
      <c r="K345" s="45" t="s">
        <v>1003</v>
      </c>
      <c r="L345" s="45" t="s">
        <v>3384</v>
      </c>
      <c r="M345" s="106">
        <v>0.0</v>
      </c>
      <c r="N345" s="45">
        <v>0.0</v>
      </c>
      <c r="O345" s="45" t="s">
        <v>2237</v>
      </c>
      <c r="P345" s="45" t="s">
        <v>46</v>
      </c>
      <c r="Q345" s="45" t="s">
        <v>1006</v>
      </c>
      <c r="R345" s="45">
        <v>93.0</v>
      </c>
      <c r="S345" s="45">
        <v>2019.0</v>
      </c>
      <c r="T345" s="45">
        <v>86.6</v>
      </c>
      <c r="U345" s="45">
        <v>2021.0</v>
      </c>
      <c r="V345" s="45">
        <v>8.39</v>
      </c>
      <c r="W345" s="45">
        <v>78.9</v>
      </c>
      <c r="X345" s="45">
        <v>2025.0</v>
      </c>
      <c r="Y345" s="45">
        <v>0.0</v>
      </c>
      <c r="Z345" s="45">
        <v>0.0</v>
      </c>
      <c r="AA345" s="45" t="s">
        <v>3385</v>
      </c>
      <c r="AB345" s="45" t="s">
        <v>3386</v>
      </c>
      <c r="AC345" s="45">
        <v>9.949073318E9</v>
      </c>
      <c r="AD345" s="45">
        <v>9.849311292E9</v>
      </c>
      <c r="AE345" s="45">
        <v>0.0</v>
      </c>
      <c r="AF345" s="45">
        <v>0.0</v>
      </c>
      <c r="AG345" s="45" t="s">
        <v>3387</v>
      </c>
      <c r="AH345" s="45" t="s">
        <v>3388</v>
      </c>
      <c r="AI345" s="45">
        <v>8.22</v>
      </c>
      <c r="AJ345" s="45">
        <v>7.8</v>
      </c>
      <c r="AK345" s="45">
        <v>8.34</v>
      </c>
      <c r="AL345" s="45">
        <v>0.0</v>
      </c>
      <c r="AM345" s="45">
        <v>8.35</v>
      </c>
      <c r="AN345" s="45">
        <v>8.39</v>
      </c>
      <c r="AO345" s="45" t="s">
        <v>27</v>
      </c>
      <c r="AQ345" s="45" t="s">
        <v>1011</v>
      </c>
      <c r="AT345" s="45" t="s">
        <v>1028</v>
      </c>
    </row>
    <row r="346">
      <c r="B346" s="45" t="s">
        <v>907</v>
      </c>
      <c r="C346" s="45" t="s">
        <v>908</v>
      </c>
      <c r="D346" s="45" t="s">
        <v>908</v>
      </c>
      <c r="E346" s="45" t="s">
        <v>908</v>
      </c>
      <c r="F346" s="45">
        <v>0.0</v>
      </c>
      <c r="G346" s="119">
        <v>4.60239E11</v>
      </c>
      <c r="H346" s="45" t="s">
        <v>1003</v>
      </c>
      <c r="I346" s="45">
        <v>1396.0</v>
      </c>
      <c r="J346" s="45" t="s">
        <v>1003</v>
      </c>
      <c r="K346" s="45" t="s">
        <v>1003</v>
      </c>
      <c r="L346" s="45" t="s">
        <v>1783</v>
      </c>
      <c r="M346" s="106">
        <v>0.0</v>
      </c>
      <c r="N346" s="45">
        <v>0.0</v>
      </c>
      <c r="O346" s="120">
        <v>37935.0</v>
      </c>
      <c r="P346" s="45" t="s">
        <v>60</v>
      </c>
      <c r="Q346" s="45" t="s">
        <v>1006</v>
      </c>
      <c r="R346" s="45">
        <v>82.65</v>
      </c>
      <c r="S346" s="45">
        <v>2019.0</v>
      </c>
      <c r="T346" s="45">
        <v>78.8</v>
      </c>
      <c r="U346" s="45">
        <v>2021.0</v>
      </c>
      <c r="V346" s="45">
        <v>8.53</v>
      </c>
      <c r="W346" s="45">
        <v>80.3</v>
      </c>
      <c r="X346" s="45">
        <v>2025.0</v>
      </c>
      <c r="Y346" s="45">
        <v>0.0</v>
      </c>
      <c r="Z346" s="45">
        <v>0.0</v>
      </c>
      <c r="AA346" s="45" t="s">
        <v>3389</v>
      </c>
      <c r="AB346" s="45" t="s">
        <v>3390</v>
      </c>
      <c r="AC346" s="45">
        <v>9.391086317E9</v>
      </c>
      <c r="AD346" s="45">
        <v>7.013974611E9</v>
      </c>
      <c r="AE346" s="45" t="s">
        <v>546</v>
      </c>
      <c r="AF346" s="45">
        <v>0.0</v>
      </c>
      <c r="AG346" s="45" t="s">
        <v>3391</v>
      </c>
      <c r="AH346" s="45" t="s">
        <v>3392</v>
      </c>
      <c r="AI346" s="45">
        <v>8.43</v>
      </c>
      <c r="AJ346" s="45">
        <v>7.93</v>
      </c>
      <c r="AK346" s="45">
        <v>8.27</v>
      </c>
      <c r="AL346" s="45">
        <v>0.0</v>
      </c>
      <c r="AM346" s="45">
        <v>8.45</v>
      </c>
      <c r="AN346" s="45">
        <v>8.53</v>
      </c>
      <c r="AO346" s="45" t="s">
        <v>27</v>
      </c>
      <c r="AQ346" s="45" t="s">
        <v>1011</v>
      </c>
      <c r="AT346" s="45" t="s">
        <v>1028</v>
      </c>
    </row>
    <row r="347">
      <c r="B347" s="45" t="s">
        <v>909</v>
      </c>
      <c r="C347" s="45" t="s">
        <v>3393</v>
      </c>
      <c r="D347" s="45" t="s">
        <v>3394</v>
      </c>
      <c r="E347" s="45" t="s">
        <v>910</v>
      </c>
      <c r="F347" s="45">
        <v>0.0</v>
      </c>
      <c r="G347" s="119">
        <v>5.04308E11</v>
      </c>
      <c r="H347" s="45" t="s">
        <v>1003</v>
      </c>
      <c r="I347" s="45" t="s">
        <v>1003</v>
      </c>
      <c r="J347" s="45" t="s">
        <v>1003</v>
      </c>
      <c r="K347" s="45" t="s">
        <v>1003</v>
      </c>
      <c r="L347" s="45" t="s">
        <v>1783</v>
      </c>
      <c r="M347" s="106">
        <v>6871.0</v>
      </c>
      <c r="N347" s="45">
        <v>0.0</v>
      </c>
      <c r="O347" s="45" t="s">
        <v>3395</v>
      </c>
      <c r="P347" s="45" t="s">
        <v>60</v>
      </c>
      <c r="Q347" s="45" t="s">
        <v>1006</v>
      </c>
      <c r="R347" s="45">
        <v>95.0</v>
      </c>
      <c r="S347" s="45">
        <v>2019.0</v>
      </c>
      <c r="T347" s="45">
        <v>98.0</v>
      </c>
      <c r="U347" s="45">
        <v>2021.0</v>
      </c>
      <c r="V347" s="45">
        <v>9.35</v>
      </c>
      <c r="W347" s="45">
        <v>88.5</v>
      </c>
      <c r="X347" s="45">
        <v>2025.0</v>
      </c>
      <c r="Y347" s="45">
        <v>0.0</v>
      </c>
      <c r="Z347" s="45">
        <v>0.0</v>
      </c>
      <c r="AA347" s="45" t="s">
        <v>3396</v>
      </c>
      <c r="AB347" s="45" t="s">
        <v>3397</v>
      </c>
      <c r="AC347" s="45">
        <v>9.51596052E9</v>
      </c>
      <c r="AD347" s="45">
        <v>7.997708173E9</v>
      </c>
      <c r="AE347" s="45" t="s">
        <v>57</v>
      </c>
      <c r="AF347" s="45">
        <v>0.0</v>
      </c>
      <c r="AG347" s="45" t="s">
        <v>3398</v>
      </c>
      <c r="AH347" s="45" t="s">
        <v>3399</v>
      </c>
      <c r="AI347" s="45">
        <v>10.0</v>
      </c>
      <c r="AJ347" s="45">
        <v>9.22</v>
      </c>
      <c r="AK347" s="45">
        <v>9.14</v>
      </c>
      <c r="AL347" s="45">
        <v>0.0</v>
      </c>
      <c r="AM347" s="45">
        <v>9.33</v>
      </c>
      <c r="AN347" s="45">
        <v>9.35</v>
      </c>
      <c r="AO347" s="45" t="s">
        <v>27</v>
      </c>
      <c r="AQ347" s="45" t="s">
        <v>1011</v>
      </c>
      <c r="AT347" s="45" t="s">
        <v>1028</v>
      </c>
    </row>
    <row r="348">
      <c r="B348" s="45" t="s">
        <v>911</v>
      </c>
      <c r="C348" s="45" t="s">
        <v>3400</v>
      </c>
      <c r="D348" s="45" t="s">
        <v>3401</v>
      </c>
      <c r="E348" s="45" t="s">
        <v>912</v>
      </c>
      <c r="F348" s="45">
        <v>0.0</v>
      </c>
      <c r="G348" s="119">
        <v>2.18029E11</v>
      </c>
      <c r="H348" s="45" t="s">
        <v>1003</v>
      </c>
      <c r="I348" s="45" t="s">
        <v>1003</v>
      </c>
      <c r="J348" s="45" t="s">
        <v>1003</v>
      </c>
      <c r="K348" s="45" t="s">
        <v>1003</v>
      </c>
      <c r="L348" s="45" t="s">
        <v>2372</v>
      </c>
      <c r="M348" s="106">
        <v>0.0</v>
      </c>
      <c r="N348" s="45">
        <v>0.0</v>
      </c>
      <c r="O348" s="45" t="s">
        <v>3402</v>
      </c>
      <c r="P348" s="45" t="s">
        <v>46</v>
      </c>
      <c r="Q348" s="45" t="s">
        <v>1006</v>
      </c>
      <c r="R348" s="45">
        <v>84.0</v>
      </c>
      <c r="S348" s="45">
        <v>2019.0</v>
      </c>
      <c r="T348" s="45">
        <v>93.0</v>
      </c>
      <c r="U348" s="45">
        <v>2021.0</v>
      </c>
      <c r="V348" s="45">
        <v>7.5</v>
      </c>
      <c r="W348" s="45">
        <v>70.0</v>
      </c>
      <c r="X348" s="45">
        <v>2025.0</v>
      </c>
      <c r="Y348" s="45">
        <v>0.0</v>
      </c>
      <c r="Z348" s="45">
        <v>0.0</v>
      </c>
      <c r="AA348" s="45" t="s">
        <v>3403</v>
      </c>
      <c r="AB348" s="45" t="s">
        <v>3404</v>
      </c>
      <c r="AC348" s="45">
        <v>8.328072299E9</v>
      </c>
      <c r="AD348" s="45">
        <v>9.440024397E9</v>
      </c>
      <c r="AE348" s="45" t="s">
        <v>440</v>
      </c>
      <c r="AF348" s="45" t="s">
        <v>440</v>
      </c>
      <c r="AG348" s="45" t="s">
        <v>3405</v>
      </c>
      <c r="AH348" s="45" t="s">
        <v>3406</v>
      </c>
      <c r="AI348" s="45">
        <v>6.86</v>
      </c>
      <c r="AJ348" s="45">
        <v>7.05</v>
      </c>
      <c r="AK348" s="45">
        <v>7.39</v>
      </c>
      <c r="AL348" s="45">
        <v>0.0</v>
      </c>
      <c r="AM348" s="45">
        <v>7.42</v>
      </c>
      <c r="AN348" s="45">
        <v>7.5</v>
      </c>
      <c r="AO348" s="45" t="s">
        <v>27</v>
      </c>
      <c r="AQ348" s="45" t="s">
        <v>1011</v>
      </c>
      <c r="AT348" s="45" t="s">
        <v>1028</v>
      </c>
    </row>
    <row r="349">
      <c r="B349" s="45" t="s">
        <v>913</v>
      </c>
      <c r="C349" s="45" t="s">
        <v>3407</v>
      </c>
      <c r="D349" s="45" t="s">
        <v>3408</v>
      </c>
      <c r="E349" s="45" t="s">
        <v>914</v>
      </c>
      <c r="F349" s="45">
        <v>0.0</v>
      </c>
      <c r="G349" s="119">
        <v>2.38324E11</v>
      </c>
      <c r="H349" s="45" t="s">
        <v>1003</v>
      </c>
      <c r="I349" s="45">
        <v>3617.0</v>
      </c>
      <c r="J349" s="45" t="s">
        <v>1003</v>
      </c>
      <c r="K349" s="45" t="s">
        <v>1003</v>
      </c>
      <c r="L349" s="45" t="s">
        <v>3208</v>
      </c>
      <c r="M349" s="106">
        <v>14264.0</v>
      </c>
      <c r="N349" s="45">
        <v>0.0</v>
      </c>
      <c r="O349" s="121">
        <v>38150.0</v>
      </c>
      <c r="P349" s="45" t="s">
        <v>60</v>
      </c>
      <c r="Q349" s="45" t="s">
        <v>1006</v>
      </c>
      <c r="R349" s="45">
        <v>92.0</v>
      </c>
      <c r="S349" s="45">
        <v>2019.0</v>
      </c>
      <c r="T349" s="45">
        <v>92.8</v>
      </c>
      <c r="U349" s="45">
        <v>2021.0</v>
      </c>
      <c r="V349" s="45">
        <v>8.09</v>
      </c>
      <c r="W349" s="45">
        <v>75.9</v>
      </c>
      <c r="X349" s="45">
        <v>2025.0</v>
      </c>
      <c r="Y349" s="45">
        <v>0.0</v>
      </c>
      <c r="Z349" s="45">
        <v>0.0</v>
      </c>
      <c r="AA349" s="45" t="s">
        <v>3409</v>
      </c>
      <c r="AB349" s="45" t="s">
        <v>3410</v>
      </c>
      <c r="AC349" s="45">
        <v>7.416353744E9</v>
      </c>
      <c r="AD349" s="45">
        <v>9.849612502E9</v>
      </c>
      <c r="AE349" s="45" t="s">
        <v>52</v>
      </c>
      <c r="AF349" s="45">
        <v>0.0</v>
      </c>
      <c r="AG349" s="45" t="s">
        <v>3411</v>
      </c>
      <c r="AH349" s="45" t="s">
        <v>3412</v>
      </c>
      <c r="AI349" s="45">
        <v>8.35</v>
      </c>
      <c r="AJ349" s="45">
        <v>7.71</v>
      </c>
      <c r="AK349" s="45">
        <v>7.8</v>
      </c>
      <c r="AL349" s="45">
        <v>0.0</v>
      </c>
      <c r="AM349" s="45">
        <v>8.04</v>
      </c>
      <c r="AN349" s="45">
        <v>8.09</v>
      </c>
      <c r="AO349" s="45" t="s">
        <v>27</v>
      </c>
      <c r="AQ349" s="45" t="s">
        <v>1011</v>
      </c>
      <c r="AT349" s="45" t="s">
        <v>1012</v>
      </c>
    </row>
    <row r="350">
      <c r="B350" s="45" t="s">
        <v>916</v>
      </c>
      <c r="C350" s="45" t="s">
        <v>3413</v>
      </c>
      <c r="D350" s="45" t="s">
        <v>3414</v>
      </c>
      <c r="E350" s="45" t="s">
        <v>917</v>
      </c>
      <c r="F350" s="45">
        <v>0.0</v>
      </c>
      <c r="G350" s="119">
        <v>9.53228E11</v>
      </c>
      <c r="H350" s="45" t="s">
        <v>1003</v>
      </c>
      <c r="I350" s="45">
        <v>1220.0</v>
      </c>
      <c r="J350" s="45" t="s">
        <v>1003</v>
      </c>
      <c r="K350" s="45" t="s">
        <v>1003</v>
      </c>
      <c r="L350" s="45" t="s">
        <v>1341</v>
      </c>
      <c r="M350" s="106">
        <v>16317.0</v>
      </c>
      <c r="N350" s="45">
        <v>0.0</v>
      </c>
      <c r="O350" s="45" t="s">
        <v>1326</v>
      </c>
      <c r="P350" s="45" t="s">
        <v>60</v>
      </c>
      <c r="Q350" s="45" t="s">
        <v>1006</v>
      </c>
      <c r="R350" s="45">
        <v>79.0</v>
      </c>
      <c r="S350" s="45">
        <v>2019.0</v>
      </c>
      <c r="T350" s="45">
        <v>83.0</v>
      </c>
      <c r="U350" s="45">
        <v>2021.0</v>
      </c>
      <c r="V350" s="45">
        <v>8.01</v>
      </c>
      <c r="W350" s="45">
        <v>75.1</v>
      </c>
      <c r="X350" s="45">
        <v>2025.0</v>
      </c>
      <c r="Y350" s="45">
        <v>0.0</v>
      </c>
      <c r="Z350" s="45">
        <v>0.0</v>
      </c>
      <c r="AA350" s="45" t="s">
        <v>3415</v>
      </c>
      <c r="AB350" s="45" t="s">
        <v>3416</v>
      </c>
      <c r="AC350" s="45">
        <v>9.963125106E9</v>
      </c>
      <c r="AD350" s="45">
        <v>8.106533806E9</v>
      </c>
      <c r="AE350" s="45">
        <v>0.0</v>
      </c>
      <c r="AF350" s="45">
        <v>0.0</v>
      </c>
      <c r="AG350" s="45" t="s">
        <v>3417</v>
      </c>
      <c r="AH350" s="45" t="s">
        <v>3418</v>
      </c>
      <c r="AI350" s="45">
        <v>7.76</v>
      </c>
      <c r="AJ350" s="45">
        <v>7.54</v>
      </c>
      <c r="AK350" s="45">
        <v>8.27</v>
      </c>
      <c r="AL350" s="45">
        <v>0.0</v>
      </c>
      <c r="AM350" s="45">
        <v>7.93</v>
      </c>
      <c r="AN350" s="45">
        <v>8.01</v>
      </c>
      <c r="AO350" s="45" t="s">
        <v>27</v>
      </c>
      <c r="AQ350" s="45" t="s">
        <v>1011</v>
      </c>
      <c r="AT350" s="45" t="s">
        <v>1012</v>
      </c>
    </row>
    <row r="351">
      <c r="B351" s="45" t="s">
        <v>919</v>
      </c>
      <c r="C351" s="45" t="s">
        <v>3419</v>
      </c>
      <c r="D351" s="45" t="s">
        <v>3420</v>
      </c>
      <c r="E351" s="45" t="s">
        <v>920</v>
      </c>
      <c r="F351" s="45">
        <v>0.0</v>
      </c>
      <c r="G351" s="119">
        <v>7.19024E11</v>
      </c>
      <c r="H351" s="45" t="s">
        <v>1003</v>
      </c>
      <c r="I351" s="45" t="s">
        <v>1003</v>
      </c>
      <c r="J351" s="45" t="s">
        <v>1003</v>
      </c>
      <c r="K351" s="45" t="s">
        <v>1003</v>
      </c>
      <c r="L351" s="45" t="s">
        <v>1047</v>
      </c>
      <c r="M351" s="106">
        <v>0.0</v>
      </c>
      <c r="N351" s="45">
        <v>0.0</v>
      </c>
      <c r="O351" s="45" t="s">
        <v>2986</v>
      </c>
      <c r="P351" s="45" t="s">
        <v>46</v>
      </c>
      <c r="Q351" s="45" t="s">
        <v>1006</v>
      </c>
      <c r="R351" s="45">
        <v>74.0</v>
      </c>
      <c r="S351" s="45">
        <v>2019.0</v>
      </c>
      <c r="T351" s="45">
        <v>80.0</v>
      </c>
      <c r="U351" s="45">
        <v>2021.0</v>
      </c>
      <c r="V351" s="45">
        <v>0.0</v>
      </c>
      <c r="W351" s="45">
        <v>-5.0</v>
      </c>
      <c r="X351" s="45">
        <v>2025.0</v>
      </c>
      <c r="Y351" s="45">
        <v>0.0</v>
      </c>
      <c r="Z351" s="45">
        <v>2.0</v>
      </c>
      <c r="AA351" s="45" t="s">
        <v>3421</v>
      </c>
      <c r="AB351" s="45" t="s">
        <v>3422</v>
      </c>
      <c r="AC351" s="45">
        <v>9.391125992E9</v>
      </c>
      <c r="AD351" s="45">
        <v>8.466961666E9</v>
      </c>
      <c r="AE351" s="45">
        <v>0.0</v>
      </c>
      <c r="AF351" s="45">
        <v>0.0</v>
      </c>
      <c r="AG351" s="45" t="s">
        <v>3423</v>
      </c>
      <c r="AH351" s="45" t="s">
        <v>3424</v>
      </c>
      <c r="AI351" s="45">
        <v>6.95</v>
      </c>
      <c r="AJ351" s="45">
        <v>0.0</v>
      </c>
      <c r="AK351" s="45">
        <v>0.0</v>
      </c>
      <c r="AL351" s="45">
        <v>0.0</v>
      </c>
      <c r="AM351" s="45">
        <v>6.79</v>
      </c>
      <c r="AN351" s="45">
        <v>0.0</v>
      </c>
      <c r="AO351" s="45" t="s">
        <v>27</v>
      </c>
      <c r="AQ351" s="45" t="s">
        <v>1011</v>
      </c>
      <c r="AT351" s="45" t="s">
        <v>1012</v>
      </c>
    </row>
    <row r="352">
      <c r="B352" s="45" t="s">
        <v>921</v>
      </c>
      <c r="C352" s="45" t="s">
        <v>3425</v>
      </c>
      <c r="D352" s="45" t="s">
        <v>3426</v>
      </c>
      <c r="E352" s="45" t="s">
        <v>922</v>
      </c>
      <c r="F352" s="45">
        <v>0.0</v>
      </c>
      <c r="G352" s="119">
        <v>7.94553E11</v>
      </c>
      <c r="H352" s="45" t="s">
        <v>1003</v>
      </c>
      <c r="I352" s="45" t="s">
        <v>1003</v>
      </c>
      <c r="J352" s="45" t="s">
        <v>1003</v>
      </c>
      <c r="K352" s="45" t="s">
        <v>1003</v>
      </c>
      <c r="L352" s="45" t="s">
        <v>1123</v>
      </c>
      <c r="M352" s="106">
        <v>0.0</v>
      </c>
      <c r="N352" s="45">
        <v>948.0</v>
      </c>
      <c r="O352" s="45" t="s">
        <v>3427</v>
      </c>
      <c r="P352" s="45" t="s">
        <v>46</v>
      </c>
      <c r="Q352" s="45" t="s">
        <v>1006</v>
      </c>
      <c r="R352" s="45">
        <v>90.0</v>
      </c>
      <c r="S352" s="45">
        <v>2019.0</v>
      </c>
      <c r="T352" s="45">
        <v>79.0</v>
      </c>
      <c r="U352" s="45">
        <v>2022.0</v>
      </c>
      <c r="V352" s="45">
        <v>7.47</v>
      </c>
      <c r="W352" s="45">
        <v>69.7</v>
      </c>
      <c r="X352" s="45">
        <v>2025.0</v>
      </c>
      <c r="Y352" s="45">
        <v>0.0</v>
      </c>
      <c r="Z352" s="45">
        <v>0.0</v>
      </c>
      <c r="AA352" s="45" t="s">
        <v>3428</v>
      </c>
      <c r="AB352" s="45" t="s">
        <v>3429</v>
      </c>
      <c r="AC352" s="45">
        <v>8.106051202E9</v>
      </c>
      <c r="AD352" s="45">
        <v>9.704314946E9</v>
      </c>
      <c r="AE352" s="45">
        <v>0.0</v>
      </c>
      <c r="AF352" s="45">
        <v>0.0</v>
      </c>
      <c r="AG352" s="45" t="s">
        <v>3430</v>
      </c>
      <c r="AH352" s="45" t="s">
        <v>3431</v>
      </c>
      <c r="AI352" s="45">
        <v>0.0</v>
      </c>
      <c r="AJ352" s="45">
        <v>0.0</v>
      </c>
      <c r="AK352" s="45">
        <v>6.84</v>
      </c>
      <c r="AL352" s="45">
        <v>0.0</v>
      </c>
      <c r="AM352" s="45">
        <v>7.32</v>
      </c>
      <c r="AN352" s="45">
        <v>7.47</v>
      </c>
      <c r="AO352" s="45" t="s">
        <v>27</v>
      </c>
      <c r="AQ352" s="45" t="s">
        <v>1011</v>
      </c>
      <c r="AT352" s="45" t="s">
        <v>1012</v>
      </c>
    </row>
    <row r="353">
      <c r="B353" s="45" t="s">
        <v>923</v>
      </c>
      <c r="C353" s="45" t="s">
        <v>2826</v>
      </c>
      <c r="D353" s="45" t="s">
        <v>3432</v>
      </c>
      <c r="E353" s="45" t="s">
        <v>924</v>
      </c>
      <c r="F353" s="45">
        <v>0.0</v>
      </c>
      <c r="G353" s="119">
        <v>6.80715E11</v>
      </c>
      <c r="H353" s="45" t="s">
        <v>1003</v>
      </c>
      <c r="I353" s="45" t="s">
        <v>1003</v>
      </c>
      <c r="J353" s="45" t="s">
        <v>1003</v>
      </c>
      <c r="K353" s="45" t="s">
        <v>1003</v>
      </c>
      <c r="L353" s="45" t="s">
        <v>1031</v>
      </c>
      <c r="M353" s="106">
        <v>0.0</v>
      </c>
      <c r="N353" s="45">
        <v>935.0</v>
      </c>
      <c r="O353" s="121">
        <v>37957.0</v>
      </c>
      <c r="P353" s="45" t="s">
        <v>46</v>
      </c>
      <c r="Q353" s="45" t="s">
        <v>1006</v>
      </c>
      <c r="R353" s="45">
        <v>92.0</v>
      </c>
      <c r="S353" s="45">
        <v>2019.0</v>
      </c>
      <c r="T353" s="45">
        <v>75.33</v>
      </c>
      <c r="U353" s="45">
        <v>2022.0</v>
      </c>
      <c r="V353" s="45">
        <v>7.92</v>
      </c>
      <c r="W353" s="45">
        <v>74.2</v>
      </c>
      <c r="X353" s="45">
        <v>2025.0</v>
      </c>
      <c r="Y353" s="45">
        <v>0.0</v>
      </c>
      <c r="Z353" s="45">
        <v>0.0</v>
      </c>
      <c r="AA353" s="45" t="s">
        <v>3433</v>
      </c>
      <c r="AB353" s="45" t="s">
        <v>3434</v>
      </c>
      <c r="AC353" s="45">
        <v>6.304384732E9</v>
      </c>
      <c r="AD353" s="45">
        <v>9.948991968E9</v>
      </c>
      <c r="AE353" s="45">
        <v>0.0</v>
      </c>
      <c r="AF353" s="45">
        <v>0.0</v>
      </c>
      <c r="AG353" s="45" t="s">
        <v>3435</v>
      </c>
      <c r="AH353" s="45" t="s">
        <v>3436</v>
      </c>
      <c r="AI353" s="45">
        <v>0.0</v>
      </c>
      <c r="AJ353" s="45">
        <v>0.0</v>
      </c>
      <c r="AK353" s="45">
        <v>7.73</v>
      </c>
      <c r="AL353" s="45">
        <v>0.0</v>
      </c>
      <c r="AM353" s="45">
        <v>7.87</v>
      </c>
      <c r="AN353" s="45">
        <v>7.92</v>
      </c>
      <c r="AO353" s="45" t="s">
        <v>27</v>
      </c>
      <c r="AQ353" s="45" t="s">
        <v>1011</v>
      </c>
      <c r="AT353" s="45" t="s">
        <v>1012</v>
      </c>
    </row>
    <row r="354">
      <c r="B354" s="45" t="s">
        <v>925</v>
      </c>
      <c r="C354" s="45" t="s">
        <v>3437</v>
      </c>
      <c r="D354" s="45" t="s">
        <v>1389</v>
      </c>
      <c r="E354" s="45" t="s">
        <v>926</v>
      </c>
      <c r="F354" s="45">
        <v>0.0</v>
      </c>
      <c r="G354" s="119">
        <v>7.43861E11</v>
      </c>
      <c r="H354" s="45" t="s">
        <v>1003</v>
      </c>
      <c r="I354" s="45" t="s">
        <v>1003</v>
      </c>
      <c r="J354" s="45" t="s">
        <v>1003</v>
      </c>
      <c r="K354" s="45" t="s">
        <v>1003</v>
      </c>
      <c r="L354" s="45" t="s">
        <v>3438</v>
      </c>
      <c r="M354" s="106">
        <v>0.0</v>
      </c>
      <c r="N354" s="45">
        <v>921.0</v>
      </c>
      <c r="O354" s="45" t="s">
        <v>1823</v>
      </c>
      <c r="P354" s="45" t="s">
        <v>60</v>
      </c>
      <c r="Q354" s="45" t="s">
        <v>1006</v>
      </c>
      <c r="R354" s="45">
        <v>93.0</v>
      </c>
      <c r="S354" s="45">
        <v>2019.0</v>
      </c>
      <c r="T354" s="45">
        <v>84.0</v>
      </c>
      <c r="U354" s="45">
        <v>2022.0</v>
      </c>
      <c r="V354" s="45">
        <v>7.61</v>
      </c>
      <c r="W354" s="45">
        <v>71.1</v>
      </c>
      <c r="X354" s="45">
        <v>2025.0</v>
      </c>
      <c r="Y354" s="45">
        <v>0.0</v>
      </c>
      <c r="Z354" s="45">
        <v>0.0</v>
      </c>
      <c r="AA354" s="45" t="s">
        <v>3439</v>
      </c>
      <c r="AB354" s="45" t="s">
        <v>3440</v>
      </c>
      <c r="AC354" s="45">
        <v>8.555070543E9</v>
      </c>
      <c r="AD354" s="45">
        <v>9.9082827E9</v>
      </c>
      <c r="AE354" s="45">
        <v>0.0</v>
      </c>
      <c r="AF354" s="45">
        <v>0.0</v>
      </c>
      <c r="AG354" s="45" t="s">
        <v>3441</v>
      </c>
      <c r="AH354" s="45" t="s">
        <v>3442</v>
      </c>
      <c r="AI354" s="45">
        <v>0.0</v>
      </c>
      <c r="AJ354" s="45">
        <v>0.0</v>
      </c>
      <c r="AK354" s="45">
        <v>7.8</v>
      </c>
      <c r="AL354" s="45">
        <v>0.0</v>
      </c>
      <c r="AM354" s="45">
        <v>7.54</v>
      </c>
      <c r="AN354" s="45">
        <v>7.61</v>
      </c>
      <c r="AO354" s="45" t="s">
        <v>27</v>
      </c>
      <c r="AQ354" s="45" t="s">
        <v>1011</v>
      </c>
      <c r="AT354" s="45" t="s">
        <v>1012</v>
      </c>
    </row>
    <row r="355">
      <c r="B355" s="45" t="s">
        <v>927</v>
      </c>
      <c r="C355" s="45" t="s">
        <v>1389</v>
      </c>
      <c r="D355" s="45" t="s">
        <v>3443</v>
      </c>
      <c r="E355" s="45" t="s">
        <v>928</v>
      </c>
      <c r="F355" s="45">
        <v>0.0</v>
      </c>
      <c r="G355" s="119">
        <v>4.49561E11</v>
      </c>
      <c r="H355" s="45" t="s">
        <v>1003</v>
      </c>
      <c r="I355" s="45" t="s">
        <v>1003</v>
      </c>
      <c r="J355" s="45" t="s">
        <v>1003</v>
      </c>
      <c r="K355" s="45" t="s">
        <v>1003</v>
      </c>
      <c r="L355" s="45" t="s">
        <v>1822</v>
      </c>
      <c r="M355" s="106">
        <v>11389.0</v>
      </c>
      <c r="N355" s="45">
        <v>1446.0</v>
      </c>
      <c r="O355" s="121">
        <v>38146.0</v>
      </c>
      <c r="P355" s="45" t="s">
        <v>60</v>
      </c>
      <c r="Q355" s="45" t="s">
        <v>1006</v>
      </c>
      <c r="R355" s="45">
        <v>75.2</v>
      </c>
      <c r="S355" s="45">
        <v>2019.0</v>
      </c>
      <c r="T355" s="45">
        <v>83.5</v>
      </c>
      <c r="U355" s="45">
        <v>2022.0</v>
      </c>
      <c r="V355" s="45">
        <v>7.5</v>
      </c>
      <c r="W355" s="45">
        <v>70.0</v>
      </c>
      <c r="X355" s="45">
        <v>2025.0</v>
      </c>
      <c r="Y355" s="45">
        <v>0.0</v>
      </c>
      <c r="Z355" s="45">
        <v>0.0</v>
      </c>
      <c r="AA355" s="45" t="s">
        <v>3444</v>
      </c>
      <c r="AB355" s="45" t="s">
        <v>3445</v>
      </c>
      <c r="AC355" s="45">
        <v>9.440398516E9</v>
      </c>
      <c r="AD355" s="45">
        <v>9.492301256E9</v>
      </c>
      <c r="AE355" s="45" t="s">
        <v>929</v>
      </c>
      <c r="AF355" s="45">
        <v>0.0</v>
      </c>
      <c r="AG355" s="45" t="s">
        <v>3446</v>
      </c>
      <c r="AH355" s="45" t="s">
        <v>3447</v>
      </c>
      <c r="AI355" s="45">
        <v>0.0</v>
      </c>
      <c r="AJ355" s="45">
        <v>0.0</v>
      </c>
      <c r="AK355" s="45">
        <v>7.45</v>
      </c>
      <c r="AL355" s="45">
        <v>0.0</v>
      </c>
      <c r="AM355" s="45">
        <v>7.41</v>
      </c>
      <c r="AN355" s="45">
        <v>7.5</v>
      </c>
      <c r="AO355" s="45" t="s">
        <v>27</v>
      </c>
      <c r="AQ355" s="45" t="s">
        <v>1011</v>
      </c>
      <c r="AT355" s="45" t="s">
        <v>1012</v>
      </c>
    </row>
    <row r="356">
      <c r="B356" s="45" t="s">
        <v>930</v>
      </c>
      <c r="C356" s="45" t="s">
        <v>3448</v>
      </c>
      <c r="D356" s="45" t="s">
        <v>1389</v>
      </c>
      <c r="E356" s="45" t="s">
        <v>931</v>
      </c>
      <c r="F356" s="45">
        <v>0.0</v>
      </c>
      <c r="G356" s="119">
        <v>5.36761E11</v>
      </c>
      <c r="H356" s="45" t="s">
        <v>1003</v>
      </c>
      <c r="I356" s="45" t="s">
        <v>1003</v>
      </c>
      <c r="J356" s="45" t="s">
        <v>1003</v>
      </c>
      <c r="K356" s="45" t="s">
        <v>1003</v>
      </c>
      <c r="L356" s="45" t="s">
        <v>2718</v>
      </c>
      <c r="M356" s="106">
        <v>0.0</v>
      </c>
      <c r="N356" s="45">
        <v>399.0</v>
      </c>
      <c r="O356" s="45" t="s">
        <v>3449</v>
      </c>
      <c r="P356" s="45" t="s">
        <v>60</v>
      </c>
      <c r="Q356" s="45" t="s">
        <v>1006</v>
      </c>
      <c r="R356" s="45">
        <v>92.0</v>
      </c>
      <c r="S356" s="45">
        <v>2019.0</v>
      </c>
      <c r="T356" s="45">
        <v>96.7</v>
      </c>
      <c r="U356" s="45">
        <v>2022.0</v>
      </c>
      <c r="V356" s="45">
        <v>8.49</v>
      </c>
      <c r="W356" s="45">
        <v>79.9</v>
      </c>
      <c r="X356" s="45">
        <v>2025.0</v>
      </c>
      <c r="Y356" s="45">
        <v>0.0</v>
      </c>
      <c r="Z356" s="45">
        <v>0.0</v>
      </c>
      <c r="AA356" s="45" t="s">
        <v>3450</v>
      </c>
      <c r="AB356" s="45" t="s">
        <v>3451</v>
      </c>
      <c r="AC356" s="45">
        <v>9.640087139E9</v>
      </c>
      <c r="AD356" s="45">
        <v>9.603679079E9</v>
      </c>
      <c r="AE356" s="45">
        <v>0.0</v>
      </c>
      <c r="AF356" s="45">
        <v>0.0</v>
      </c>
      <c r="AG356" s="45" t="s">
        <v>3452</v>
      </c>
      <c r="AH356" s="45" t="s">
        <v>3453</v>
      </c>
      <c r="AI356" s="45">
        <v>0.0</v>
      </c>
      <c r="AJ356" s="45">
        <v>0.0</v>
      </c>
      <c r="AK356" s="45">
        <v>8.39</v>
      </c>
      <c r="AL356" s="45">
        <v>0.0</v>
      </c>
      <c r="AM356" s="45">
        <v>8.41</v>
      </c>
      <c r="AN356" s="45">
        <v>8.49</v>
      </c>
      <c r="AO356" s="45" t="s">
        <v>27</v>
      </c>
      <c r="AQ356" s="45" t="s">
        <v>1011</v>
      </c>
      <c r="AT356" s="45" t="s">
        <v>1012</v>
      </c>
    </row>
    <row r="357">
      <c r="B357" s="45" t="s">
        <v>932</v>
      </c>
      <c r="C357" s="45" t="s">
        <v>3454</v>
      </c>
      <c r="D357" s="45" t="s">
        <v>3455</v>
      </c>
      <c r="E357" s="45" t="s">
        <v>933</v>
      </c>
      <c r="F357" s="45">
        <v>0.0</v>
      </c>
      <c r="G357" s="119">
        <v>4.93515E11</v>
      </c>
      <c r="H357" s="45" t="s">
        <v>1003</v>
      </c>
      <c r="I357" s="45">
        <v>5196.0</v>
      </c>
      <c r="J357" s="45">
        <v>9228.0</v>
      </c>
      <c r="K357" s="45">
        <v>11399.0</v>
      </c>
      <c r="L357" s="45" t="s">
        <v>2443</v>
      </c>
      <c r="M357" s="106">
        <v>0.0</v>
      </c>
      <c r="N357" s="45">
        <v>113.0</v>
      </c>
      <c r="O357" s="45" t="s">
        <v>3456</v>
      </c>
      <c r="P357" s="45" t="s">
        <v>46</v>
      </c>
      <c r="Q357" s="45" t="s">
        <v>1006</v>
      </c>
      <c r="R357" s="45">
        <v>88.0</v>
      </c>
      <c r="S357" s="45">
        <v>2018.0</v>
      </c>
      <c r="T357" s="45">
        <v>85.0</v>
      </c>
      <c r="U357" s="45">
        <v>2021.0</v>
      </c>
      <c r="V357" s="45">
        <v>8.11</v>
      </c>
      <c r="W357" s="45">
        <v>76.1</v>
      </c>
      <c r="X357" s="45">
        <v>2025.0</v>
      </c>
      <c r="Y357" s="45">
        <v>0.0</v>
      </c>
      <c r="Z357" s="45">
        <v>0.0</v>
      </c>
      <c r="AA357" s="45" t="s">
        <v>3457</v>
      </c>
      <c r="AB357" s="45" t="s">
        <v>3458</v>
      </c>
      <c r="AC357" s="45">
        <v>9.346488704E9</v>
      </c>
      <c r="AD357" s="45">
        <v>9.502041649E9</v>
      </c>
      <c r="AE357" s="45" t="s">
        <v>125</v>
      </c>
      <c r="AF357" s="45">
        <v>0.0</v>
      </c>
      <c r="AG357" s="45" t="s">
        <v>3459</v>
      </c>
      <c r="AH357" s="45" t="s">
        <v>3460</v>
      </c>
      <c r="AI357" s="45">
        <v>0.0</v>
      </c>
      <c r="AJ357" s="45">
        <v>0.0</v>
      </c>
      <c r="AK357" s="45">
        <v>8.18</v>
      </c>
      <c r="AL357" s="45">
        <v>0.0</v>
      </c>
      <c r="AM357" s="45">
        <v>7.98</v>
      </c>
      <c r="AN357" s="45">
        <v>8.11</v>
      </c>
      <c r="AO357" s="45" t="s">
        <v>27</v>
      </c>
      <c r="AQ357" s="45" t="s">
        <v>1011</v>
      </c>
      <c r="AT357" s="45" t="s">
        <v>1012</v>
      </c>
    </row>
    <row r="358">
      <c r="B358" s="45" t="s">
        <v>934</v>
      </c>
      <c r="C358" s="45" t="s">
        <v>3461</v>
      </c>
      <c r="D358" s="45" t="s">
        <v>1599</v>
      </c>
      <c r="E358" s="45" t="s">
        <v>935</v>
      </c>
      <c r="F358" s="45">
        <v>0.0</v>
      </c>
      <c r="G358" s="119">
        <v>7.83583E11</v>
      </c>
      <c r="H358" s="45" t="s">
        <v>1003</v>
      </c>
      <c r="I358" s="45">
        <v>9989.0</v>
      </c>
      <c r="J358" s="45">
        <v>11591.0</v>
      </c>
      <c r="K358" s="45">
        <v>16825.0</v>
      </c>
      <c r="L358" s="45" t="s">
        <v>1123</v>
      </c>
      <c r="M358" s="106">
        <v>0.0</v>
      </c>
      <c r="N358" s="45">
        <v>412.0</v>
      </c>
      <c r="O358" s="45" t="s">
        <v>1085</v>
      </c>
      <c r="P358" s="45" t="s">
        <v>46</v>
      </c>
      <c r="Q358" s="45" t="s">
        <v>1006</v>
      </c>
      <c r="R358" s="45">
        <v>98.0</v>
      </c>
      <c r="S358" s="45">
        <v>2019.0</v>
      </c>
      <c r="T358" s="45">
        <v>91.0</v>
      </c>
      <c r="U358" s="45">
        <v>2022.0</v>
      </c>
      <c r="V358" s="45">
        <v>8.49</v>
      </c>
      <c r="W358" s="45">
        <v>79.9</v>
      </c>
      <c r="X358" s="45">
        <v>2025.0</v>
      </c>
      <c r="Y358" s="45">
        <v>0.0</v>
      </c>
      <c r="Z358" s="45">
        <v>0.0</v>
      </c>
      <c r="AA358" s="45" t="s">
        <v>3462</v>
      </c>
      <c r="AB358" s="45" t="s">
        <v>3463</v>
      </c>
      <c r="AC358" s="45">
        <v>9.848864596E9</v>
      </c>
      <c r="AD358" s="45">
        <v>9.65237979E9</v>
      </c>
      <c r="AE358" s="45" t="s">
        <v>183</v>
      </c>
      <c r="AF358" s="45">
        <v>0.0</v>
      </c>
      <c r="AG358" s="45" t="s">
        <v>3464</v>
      </c>
      <c r="AH358" s="45" t="s">
        <v>3465</v>
      </c>
      <c r="AI358" s="45">
        <v>0.0</v>
      </c>
      <c r="AJ358" s="45">
        <v>0.0</v>
      </c>
      <c r="AK358" s="45">
        <v>8.86</v>
      </c>
      <c r="AL358" s="45">
        <v>0.0</v>
      </c>
      <c r="AM358" s="45">
        <v>8.54</v>
      </c>
      <c r="AN358" s="45">
        <v>8.49</v>
      </c>
      <c r="AO358" s="45" t="s">
        <v>936</v>
      </c>
      <c r="AQ358" s="45" t="s">
        <v>1011</v>
      </c>
      <c r="AT358" s="45" t="s">
        <v>1012</v>
      </c>
    </row>
    <row r="359">
      <c r="M359" s="122"/>
      <c r="AQ359" s="45" t="s">
        <v>1011</v>
      </c>
    </row>
    <row r="360">
      <c r="M360" s="122"/>
      <c r="AQ360" s="45" t="s">
        <v>1011</v>
      </c>
    </row>
    <row r="361">
      <c r="M361" s="122"/>
      <c r="AQ361" s="45" t="s">
        <v>1011</v>
      </c>
    </row>
    <row r="362">
      <c r="M362" s="122"/>
      <c r="AQ362" s="45" t="s">
        <v>1011</v>
      </c>
    </row>
    <row r="363">
      <c r="M363" s="122"/>
      <c r="AQ363" s="45" t="s">
        <v>1011</v>
      </c>
    </row>
    <row r="364">
      <c r="M364" s="122"/>
      <c r="AQ364" s="45" t="s">
        <v>1011</v>
      </c>
    </row>
    <row r="365">
      <c r="M365" s="122"/>
      <c r="AQ365" s="45" t="s">
        <v>1011</v>
      </c>
    </row>
    <row r="366">
      <c r="M366" s="122"/>
      <c r="AQ366" s="45" t="s">
        <v>1011</v>
      </c>
    </row>
    <row r="367">
      <c r="M367" s="122"/>
      <c r="AQ367" s="45" t="s">
        <v>1011</v>
      </c>
    </row>
    <row r="368">
      <c r="M368" s="122"/>
      <c r="AQ368" s="45" t="s">
        <v>1011</v>
      </c>
    </row>
    <row r="369">
      <c r="M369" s="122"/>
      <c r="AQ369" s="45" t="s">
        <v>1011</v>
      </c>
    </row>
    <row r="370">
      <c r="M370" s="122"/>
      <c r="AQ370" s="45" t="s">
        <v>1011</v>
      </c>
    </row>
    <row r="371">
      <c r="M371" s="122"/>
      <c r="AQ371" s="45" t="s">
        <v>1011</v>
      </c>
    </row>
    <row r="372">
      <c r="M372" s="122"/>
      <c r="AQ372" s="45" t="s">
        <v>1011</v>
      </c>
    </row>
    <row r="373">
      <c r="M373" s="122"/>
      <c r="AQ373" s="45" t="s">
        <v>1011</v>
      </c>
    </row>
    <row r="374">
      <c r="M374" s="122"/>
      <c r="AQ374" s="45" t="s">
        <v>1011</v>
      </c>
    </row>
    <row r="375">
      <c r="M375" s="122"/>
      <c r="AQ375" s="45" t="s">
        <v>1011</v>
      </c>
    </row>
    <row r="376">
      <c r="M376" s="122"/>
      <c r="AQ376" s="45" t="s">
        <v>1011</v>
      </c>
    </row>
    <row r="377">
      <c r="M377" s="122"/>
      <c r="AQ377" s="45" t="s">
        <v>1011</v>
      </c>
    </row>
    <row r="378">
      <c r="M378" s="122"/>
      <c r="AQ378" s="45" t="s">
        <v>1011</v>
      </c>
    </row>
    <row r="379">
      <c r="M379" s="122"/>
      <c r="AQ379" s="45" t="s">
        <v>1011</v>
      </c>
    </row>
    <row r="380">
      <c r="M380" s="122"/>
      <c r="AQ380" s="45" t="s">
        <v>1011</v>
      </c>
    </row>
    <row r="381">
      <c r="M381" s="122"/>
      <c r="AQ381" s="45" t="s">
        <v>1011</v>
      </c>
    </row>
    <row r="382">
      <c r="M382" s="122"/>
      <c r="AQ382" s="45" t="s">
        <v>1011</v>
      </c>
    </row>
    <row r="383">
      <c r="M383" s="122"/>
      <c r="AQ383" s="45" t="s">
        <v>1011</v>
      </c>
    </row>
    <row r="384">
      <c r="M384" s="122"/>
      <c r="AQ384" s="45" t="s">
        <v>1011</v>
      </c>
    </row>
    <row r="385">
      <c r="M385" s="122"/>
      <c r="AQ385" s="45" t="s">
        <v>1011</v>
      </c>
    </row>
    <row r="386">
      <c r="M386" s="122"/>
      <c r="AQ386" s="45" t="s">
        <v>1011</v>
      </c>
    </row>
    <row r="387">
      <c r="M387" s="122"/>
      <c r="AQ387" s="45" t="s">
        <v>1011</v>
      </c>
    </row>
    <row r="388">
      <c r="M388" s="122"/>
      <c r="AQ388" s="45" t="s">
        <v>1011</v>
      </c>
    </row>
    <row r="389">
      <c r="M389" s="122"/>
      <c r="AQ389" s="45" t="s">
        <v>1011</v>
      </c>
    </row>
    <row r="390">
      <c r="M390" s="122"/>
      <c r="AQ390" s="45" t="s">
        <v>1011</v>
      </c>
    </row>
    <row r="391">
      <c r="M391" s="122"/>
      <c r="AQ391" s="45" t="s">
        <v>1011</v>
      </c>
    </row>
    <row r="392">
      <c r="M392" s="122"/>
      <c r="AQ392" s="45" t="s">
        <v>1011</v>
      </c>
    </row>
    <row r="393">
      <c r="M393" s="122"/>
      <c r="AQ393" s="45" t="s">
        <v>1011</v>
      </c>
    </row>
    <row r="394">
      <c r="M394" s="122"/>
      <c r="AQ394" s="45" t="s">
        <v>1011</v>
      </c>
    </row>
    <row r="395">
      <c r="AQ395" s="45" t="s">
        <v>1011</v>
      </c>
    </row>
    <row r="396">
      <c r="AQ396" s="45" t="s">
        <v>1011</v>
      </c>
    </row>
    <row r="397">
      <c r="AQ397" s="45" t="s">
        <v>1011</v>
      </c>
    </row>
    <row r="398">
      <c r="AQ398" s="45" t="s">
        <v>1011</v>
      </c>
    </row>
    <row r="399">
      <c r="AQ399" s="45" t="s">
        <v>1011</v>
      </c>
    </row>
    <row r="400">
      <c r="AQ400" s="45" t="s">
        <v>1011</v>
      </c>
    </row>
    <row r="401">
      <c r="AQ401" s="45" t="s">
        <v>1011</v>
      </c>
    </row>
    <row r="402">
      <c r="AQ402" s="45" t="s">
        <v>1011</v>
      </c>
    </row>
    <row r="403">
      <c r="AQ403" s="45" t="s">
        <v>1011</v>
      </c>
    </row>
    <row r="404">
      <c r="AQ404" s="45" t="s">
        <v>1011</v>
      </c>
    </row>
    <row r="405">
      <c r="AQ405" s="45" t="s">
        <v>1011</v>
      </c>
    </row>
    <row r="406">
      <c r="AQ406" s="45" t="s">
        <v>1011</v>
      </c>
    </row>
    <row r="407">
      <c r="AQ407" s="45" t="s">
        <v>1011</v>
      </c>
    </row>
    <row r="408">
      <c r="AQ408" s="45" t="s">
        <v>1011</v>
      </c>
    </row>
    <row r="409">
      <c r="AQ409" s="45" t="s">
        <v>1011</v>
      </c>
    </row>
    <row r="410">
      <c r="AQ410" s="45" t="s">
        <v>1011</v>
      </c>
    </row>
    <row r="411">
      <c r="AQ411" s="45" t="s">
        <v>1011</v>
      </c>
    </row>
    <row r="412">
      <c r="AQ412" s="45" t="s">
        <v>1011</v>
      </c>
    </row>
    <row r="413">
      <c r="AQ413" s="45" t="s">
        <v>1011</v>
      </c>
    </row>
    <row r="414">
      <c r="AQ414" s="45" t="s">
        <v>1011</v>
      </c>
    </row>
    <row r="415">
      <c r="AQ415" s="45" t="s">
        <v>1011</v>
      </c>
    </row>
    <row r="416">
      <c r="AQ416" s="45" t="s">
        <v>1011</v>
      </c>
    </row>
    <row r="417">
      <c r="AQ417" s="45" t="s">
        <v>1011</v>
      </c>
    </row>
    <row r="418">
      <c r="AQ418" s="45" t="s">
        <v>1011</v>
      </c>
    </row>
    <row r="419">
      <c r="AQ419" s="45" t="s">
        <v>1011</v>
      </c>
    </row>
    <row r="420">
      <c r="AQ420" s="45" t="s">
        <v>1011</v>
      </c>
    </row>
    <row r="421">
      <c r="AQ421" s="45" t="s">
        <v>1011</v>
      </c>
    </row>
    <row r="422">
      <c r="AQ422" s="45" t="s">
        <v>1011</v>
      </c>
    </row>
    <row r="423">
      <c r="AQ423" s="45" t="s">
        <v>1011</v>
      </c>
    </row>
    <row r="424">
      <c r="AQ424" s="45" t="s">
        <v>1011</v>
      </c>
    </row>
    <row r="425">
      <c r="AQ425" s="45" t="s">
        <v>1011</v>
      </c>
    </row>
    <row r="426">
      <c r="AQ426" s="45" t="s">
        <v>1011</v>
      </c>
    </row>
    <row r="427">
      <c r="AQ427" s="45" t="s">
        <v>1011</v>
      </c>
    </row>
    <row r="428">
      <c r="AQ428" s="45" t="s">
        <v>1011</v>
      </c>
    </row>
    <row r="429">
      <c r="AQ429" s="45" t="s">
        <v>1011</v>
      </c>
    </row>
    <row r="430">
      <c r="AQ430" s="45" t="s">
        <v>1011</v>
      </c>
    </row>
    <row r="431">
      <c r="AQ431" s="45" t="s">
        <v>1011</v>
      </c>
    </row>
    <row r="432">
      <c r="AQ432" s="45" t="s">
        <v>1011</v>
      </c>
    </row>
    <row r="433">
      <c r="AQ433" s="45" t="s">
        <v>1011</v>
      </c>
    </row>
    <row r="434">
      <c r="AQ434" s="45" t="s">
        <v>1011</v>
      </c>
    </row>
    <row r="435">
      <c r="AQ435" s="45" t="s">
        <v>1011</v>
      </c>
    </row>
    <row r="436">
      <c r="AQ436" s="45" t="s">
        <v>1011</v>
      </c>
    </row>
    <row r="437">
      <c r="AQ437" s="45" t="s">
        <v>1011</v>
      </c>
    </row>
    <row r="438">
      <c r="AQ438" s="45" t="s">
        <v>1011</v>
      </c>
    </row>
    <row r="439">
      <c r="AQ439" s="45" t="s">
        <v>1011</v>
      </c>
    </row>
    <row r="440">
      <c r="AQ440" s="45" t="s">
        <v>1011</v>
      </c>
    </row>
    <row r="441">
      <c r="AQ441" s="45" t="s">
        <v>1011</v>
      </c>
    </row>
    <row r="442">
      <c r="AQ442" s="45" t="s">
        <v>1011</v>
      </c>
    </row>
    <row r="443">
      <c r="AQ443" s="45" t="s">
        <v>1011</v>
      </c>
    </row>
    <row r="444">
      <c r="AQ444" s="45" t="s">
        <v>1011</v>
      </c>
    </row>
    <row r="445">
      <c r="AQ445" s="45" t="s">
        <v>1011</v>
      </c>
    </row>
    <row r="446">
      <c r="AQ446" s="45" t="s">
        <v>1011</v>
      </c>
    </row>
    <row r="447">
      <c r="AQ447" s="45" t="s">
        <v>1011</v>
      </c>
    </row>
    <row r="448">
      <c r="AQ448" s="45" t="s">
        <v>1011</v>
      </c>
    </row>
    <row r="449">
      <c r="AQ449" s="45" t="s">
        <v>1011</v>
      </c>
    </row>
    <row r="450">
      <c r="AQ450" s="45" t="s">
        <v>1011</v>
      </c>
    </row>
    <row r="451">
      <c r="AQ451" s="45" t="s">
        <v>1011</v>
      </c>
    </row>
    <row r="452">
      <c r="AQ452" s="45" t="s">
        <v>1011</v>
      </c>
    </row>
    <row r="453">
      <c r="AQ453" s="45" t="s">
        <v>1011</v>
      </c>
    </row>
    <row r="454">
      <c r="AQ454" s="45" t="s">
        <v>1011</v>
      </c>
    </row>
    <row r="455">
      <c r="AQ455" s="45" t="s">
        <v>1011</v>
      </c>
    </row>
    <row r="456">
      <c r="AQ456" s="45" t="s">
        <v>1011</v>
      </c>
    </row>
    <row r="457">
      <c r="AQ457" s="45" t="s">
        <v>1011</v>
      </c>
    </row>
    <row r="458">
      <c r="AQ458" s="45" t="s">
        <v>1011</v>
      </c>
    </row>
    <row r="459">
      <c r="AQ459" s="45" t="s">
        <v>1011</v>
      </c>
    </row>
    <row r="460">
      <c r="AQ460" s="45" t="s">
        <v>1011</v>
      </c>
    </row>
    <row r="461">
      <c r="AQ461" s="45" t="s">
        <v>1011</v>
      </c>
    </row>
    <row r="462">
      <c r="AQ462" s="45" t="s">
        <v>1011</v>
      </c>
    </row>
    <row r="463">
      <c r="AQ463" s="45" t="s">
        <v>1011</v>
      </c>
    </row>
    <row r="464">
      <c r="AQ464" s="45" t="s">
        <v>1011</v>
      </c>
    </row>
    <row r="465">
      <c r="AQ465" s="45" t="s">
        <v>1011</v>
      </c>
    </row>
    <row r="466">
      <c r="AQ466" s="45" t="s">
        <v>1011</v>
      </c>
    </row>
    <row r="467">
      <c r="AQ467" s="45" t="s">
        <v>1011</v>
      </c>
    </row>
    <row r="468">
      <c r="AQ468" s="45" t="s">
        <v>1011</v>
      </c>
    </row>
    <row r="469">
      <c r="AQ469" s="45" t="s">
        <v>1011</v>
      </c>
    </row>
    <row r="470">
      <c r="AQ470" s="45" t="s">
        <v>1011</v>
      </c>
    </row>
    <row r="471">
      <c r="AQ471" s="45" t="s">
        <v>1011</v>
      </c>
    </row>
    <row r="472">
      <c r="AQ472" s="45" t="s">
        <v>1011</v>
      </c>
    </row>
    <row r="473">
      <c r="AQ473" s="45" t="s">
        <v>1011</v>
      </c>
    </row>
    <row r="474">
      <c r="AQ474" s="45" t="s">
        <v>1011</v>
      </c>
    </row>
    <row r="475">
      <c r="AQ475" s="45" t="s">
        <v>1011</v>
      </c>
    </row>
    <row r="476">
      <c r="AQ476" s="45" t="s">
        <v>1011</v>
      </c>
    </row>
    <row r="477">
      <c r="AQ477" s="45" t="s">
        <v>1011</v>
      </c>
    </row>
    <row r="478">
      <c r="AQ478" s="45" t="s">
        <v>1011</v>
      </c>
    </row>
    <row r="479">
      <c r="AQ479" s="45" t="s">
        <v>1011</v>
      </c>
    </row>
    <row r="480">
      <c r="AQ480" s="45" t="s">
        <v>1011</v>
      </c>
    </row>
    <row r="481">
      <c r="AQ481" s="45" t="s">
        <v>1011</v>
      </c>
    </row>
    <row r="482">
      <c r="AQ482" s="45" t="s">
        <v>1011</v>
      </c>
    </row>
    <row r="483">
      <c r="AQ483" s="45" t="s">
        <v>1011</v>
      </c>
    </row>
    <row r="484">
      <c r="AQ484" s="45" t="s">
        <v>1011</v>
      </c>
    </row>
    <row r="485">
      <c r="AQ485" s="45" t="s">
        <v>1011</v>
      </c>
    </row>
    <row r="486">
      <c r="AQ486" s="45" t="s">
        <v>1011</v>
      </c>
    </row>
    <row r="487">
      <c r="AQ487" s="45" t="s">
        <v>1011</v>
      </c>
    </row>
    <row r="488">
      <c r="AQ488" s="45" t="s">
        <v>1011</v>
      </c>
    </row>
    <row r="489">
      <c r="AQ489" s="45" t="s">
        <v>1011</v>
      </c>
    </row>
    <row r="490">
      <c r="AQ490" s="45" t="s">
        <v>1011</v>
      </c>
    </row>
    <row r="491">
      <c r="AQ491" s="45" t="s">
        <v>1011</v>
      </c>
    </row>
    <row r="492">
      <c r="AQ492" s="45" t="s">
        <v>1011</v>
      </c>
    </row>
    <row r="493">
      <c r="AQ493" s="45" t="s">
        <v>1011</v>
      </c>
    </row>
    <row r="494">
      <c r="AQ494" s="45" t="s">
        <v>1011</v>
      </c>
    </row>
    <row r="495">
      <c r="AQ495" s="45" t="s">
        <v>1011</v>
      </c>
    </row>
    <row r="496">
      <c r="AQ496" s="45" t="s">
        <v>1011</v>
      </c>
    </row>
    <row r="497">
      <c r="AQ497" s="45" t="s">
        <v>1011</v>
      </c>
    </row>
    <row r="498">
      <c r="AQ498" s="45" t="s">
        <v>1011</v>
      </c>
    </row>
    <row r="499">
      <c r="AQ499" s="45" t="s">
        <v>1011</v>
      </c>
    </row>
    <row r="500">
      <c r="AQ500" s="45" t="s">
        <v>1011</v>
      </c>
    </row>
    <row r="501">
      <c r="AQ501" s="45" t="s">
        <v>1011</v>
      </c>
    </row>
    <row r="502">
      <c r="AQ502" s="45" t="s">
        <v>1011</v>
      </c>
    </row>
    <row r="503">
      <c r="AQ503" s="45" t="s">
        <v>1011</v>
      </c>
    </row>
    <row r="504">
      <c r="AQ504" s="45" t="s">
        <v>1011</v>
      </c>
    </row>
    <row r="505">
      <c r="AQ505" s="45" t="s">
        <v>1011</v>
      </c>
    </row>
    <row r="506">
      <c r="AQ506" s="45" t="s">
        <v>1011</v>
      </c>
    </row>
    <row r="507">
      <c r="AQ507" s="45" t="s">
        <v>1011</v>
      </c>
    </row>
    <row r="508">
      <c r="AQ508" s="45" t="s">
        <v>1011</v>
      </c>
    </row>
    <row r="509">
      <c r="AQ509" s="45" t="s">
        <v>1011</v>
      </c>
    </row>
    <row r="510">
      <c r="AQ510" s="45" t="s">
        <v>1011</v>
      </c>
    </row>
    <row r="511">
      <c r="AQ511" s="45" t="s">
        <v>1011</v>
      </c>
    </row>
    <row r="512">
      <c r="AQ512" s="45" t="s">
        <v>1011</v>
      </c>
    </row>
    <row r="513">
      <c r="AQ513" s="45" t="s">
        <v>1011</v>
      </c>
    </row>
    <row r="514">
      <c r="AQ514" s="45" t="s">
        <v>1011</v>
      </c>
    </row>
    <row r="515">
      <c r="AQ515" s="45" t="s">
        <v>1011</v>
      </c>
    </row>
    <row r="516">
      <c r="AQ516" s="45" t="s">
        <v>1011</v>
      </c>
    </row>
    <row r="517">
      <c r="AQ517" s="45" t="s">
        <v>1011</v>
      </c>
    </row>
    <row r="518">
      <c r="AQ518" s="45" t="s">
        <v>1011</v>
      </c>
    </row>
    <row r="519">
      <c r="AQ519" s="45" t="s">
        <v>1011</v>
      </c>
    </row>
    <row r="520">
      <c r="AQ520" s="45" t="s">
        <v>1011</v>
      </c>
    </row>
    <row r="521">
      <c r="AQ521" s="45" t="s">
        <v>1011</v>
      </c>
    </row>
    <row r="522">
      <c r="AQ522" s="45" t="s">
        <v>1011</v>
      </c>
    </row>
    <row r="523">
      <c r="AQ523" s="45" t="s">
        <v>1011</v>
      </c>
    </row>
    <row r="524">
      <c r="AQ524" s="45" t="s">
        <v>1011</v>
      </c>
    </row>
    <row r="525">
      <c r="AQ525" s="45" t="s">
        <v>1011</v>
      </c>
    </row>
    <row r="526">
      <c r="AQ526" s="45" t="s">
        <v>1011</v>
      </c>
    </row>
    <row r="527">
      <c r="AQ527" s="45" t="s">
        <v>1011</v>
      </c>
    </row>
    <row r="528">
      <c r="AQ528" s="45" t="s">
        <v>1011</v>
      </c>
    </row>
    <row r="529">
      <c r="AQ529" s="45" t="s">
        <v>1011</v>
      </c>
    </row>
    <row r="530">
      <c r="AQ530" s="45" t="s">
        <v>1011</v>
      </c>
    </row>
    <row r="531">
      <c r="AQ531" s="45" t="s">
        <v>1011</v>
      </c>
    </row>
    <row r="532">
      <c r="AQ532" s="45" t="s">
        <v>1011</v>
      </c>
    </row>
    <row r="533">
      <c r="AQ533" s="45" t="s">
        <v>1011</v>
      </c>
    </row>
    <row r="534">
      <c r="AQ534" s="45" t="s">
        <v>1011</v>
      </c>
    </row>
    <row r="535">
      <c r="AQ535" s="45" t="s">
        <v>1011</v>
      </c>
    </row>
    <row r="536">
      <c r="AQ536" s="45" t="s">
        <v>1011</v>
      </c>
    </row>
    <row r="537">
      <c r="AQ537" s="45" t="s">
        <v>1011</v>
      </c>
    </row>
    <row r="538">
      <c r="AQ538" s="45" t="s">
        <v>1011</v>
      </c>
    </row>
    <row r="539">
      <c r="AQ539" s="45" t="s">
        <v>1011</v>
      </c>
    </row>
    <row r="540">
      <c r="AQ540" s="45" t="s">
        <v>1011</v>
      </c>
    </row>
    <row r="541">
      <c r="AQ541" s="45" t="s">
        <v>1011</v>
      </c>
    </row>
    <row r="542">
      <c r="AQ542" s="45" t="s">
        <v>1011</v>
      </c>
    </row>
    <row r="543">
      <c r="AQ543" s="45" t="s">
        <v>1011</v>
      </c>
    </row>
    <row r="544">
      <c r="AQ544" s="45" t="s">
        <v>1011</v>
      </c>
    </row>
    <row r="545">
      <c r="AQ545" s="45" t="s">
        <v>1011</v>
      </c>
    </row>
    <row r="546">
      <c r="AQ546" s="45" t="s">
        <v>1011</v>
      </c>
    </row>
    <row r="547">
      <c r="AQ547" s="45" t="s">
        <v>1011</v>
      </c>
    </row>
    <row r="548">
      <c r="AQ548" s="45" t="s">
        <v>1011</v>
      </c>
    </row>
    <row r="549">
      <c r="AQ549" s="45" t="s">
        <v>1011</v>
      </c>
    </row>
    <row r="550">
      <c r="AQ550" s="45" t="s">
        <v>1011</v>
      </c>
    </row>
    <row r="551">
      <c r="AQ551" s="45" t="s">
        <v>1011</v>
      </c>
    </row>
    <row r="552">
      <c r="AQ552" s="45" t="s">
        <v>1011</v>
      </c>
    </row>
    <row r="553">
      <c r="AQ553" s="45" t="s">
        <v>1011</v>
      </c>
    </row>
    <row r="554">
      <c r="AQ554" s="45" t="s">
        <v>1011</v>
      </c>
    </row>
    <row r="555">
      <c r="AQ555" s="45" t="s">
        <v>1011</v>
      </c>
    </row>
    <row r="556">
      <c r="AQ556" s="45" t="s">
        <v>1011</v>
      </c>
    </row>
    <row r="557">
      <c r="AQ557" s="45" t="s">
        <v>1011</v>
      </c>
    </row>
    <row r="558">
      <c r="AQ558" s="45" t="s">
        <v>1011</v>
      </c>
    </row>
    <row r="559">
      <c r="AQ559" s="45" t="s">
        <v>1011</v>
      </c>
    </row>
    <row r="560">
      <c r="AQ560" s="45" t="s">
        <v>1011</v>
      </c>
    </row>
    <row r="561">
      <c r="AQ561" s="45" t="s">
        <v>1011</v>
      </c>
    </row>
    <row r="562">
      <c r="AQ562" s="45" t="s">
        <v>1011</v>
      </c>
    </row>
    <row r="563">
      <c r="AQ563" s="45" t="s">
        <v>1011</v>
      </c>
    </row>
    <row r="564">
      <c r="AQ564" s="45" t="s">
        <v>1011</v>
      </c>
    </row>
    <row r="565">
      <c r="AQ565" s="45" t="s">
        <v>1011</v>
      </c>
    </row>
    <row r="566">
      <c r="AQ566" s="45" t="s">
        <v>1011</v>
      </c>
    </row>
    <row r="567">
      <c r="AQ567" s="45" t="s">
        <v>1011</v>
      </c>
    </row>
    <row r="568">
      <c r="AQ568" s="45" t="s">
        <v>1011</v>
      </c>
    </row>
    <row r="569">
      <c r="AQ569" s="45" t="s">
        <v>1011</v>
      </c>
    </row>
    <row r="570">
      <c r="AQ570" s="45" t="s">
        <v>1011</v>
      </c>
    </row>
    <row r="571">
      <c r="AQ571" s="45" t="s">
        <v>1011</v>
      </c>
    </row>
    <row r="572">
      <c r="AQ572" s="45" t="s">
        <v>1011</v>
      </c>
    </row>
    <row r="573">
      <c r="AQ573" s="45" t="s">
        <v>1011</v>
      </c>
    </row>
    <row r="574">
      <c r="AQ574" s="45" t="s">
        <v>1011</v>
      </c>
    </row>
    <row r="575">
      <c r="AQ575" s="45" t="s">
        <v>1011</v>
      </c>
    </row>
    <row r="576">
      <c r="AQ576" s="45" t="s">
        <v>1011</v>
      </c>
    </row>
    <row r="577">
      <c r="AQ577" s="45" t="s">
        <v>1011</v>
      </c>
    </row>
    <row r="578">
      <c r="AQ578" s="45" t="s">
        <v>1011</v>
      </c>
    </row>
    <row r="579">
      <c r="AQ579" s="45" t="s">
        <v>1011</v>
      </c>
    </row>
    <row r="580">
      <c r="AQ580" s="45" t="s">
        <v>1011</v>
      </c>
    </row>
    <row r="581">
      <c r="AQ581" s="45" t="s">
        <v>1011</v>
      </c>
    </row>
    <row r="582">
      <c r="AQ582" s="45" t="s">
        <v>1011</v>
      </c>
    </row>
    <row r="583">
      <c r="AQ583" s="45" t="s">
        <v>1011</v>
      </c>
    </row>
    <row r="584">
      <c r="AQ584" s="45" t="s">
        <v>1011</v>
      </c>
    </row>
    <row r="585">
      <c r="AQ585" s="45" t="s">
        <v>1011</v>
      </c>
    </row>
    <row r="586">
      <c r="AQ586" s="45" t="s">
        <v>1011</v>
      </c>
    </row>
    <row r="587">
      <c r="AQ587" s="45" t="s">
        <v>1011</v>
      </c>
    </row>
    <row r="588">
      <c r="AQ588" s="45" t="s">
        <v>1011</v>
      </c>
    </row>
    <row r="589">
      <c r="AQ589" s="45" t="s">
        <v>1011</v>
      </c>
    </row>
    <row r="590">
      <c r="AQ590" s="45" t="s">
        <v>1011</v>
      </c>
    </row>
    <row r="591">
      <c r="AQ591" s="45" t="s">
        <v>1011</v>
      </c>
    </row>
    <row r="592">
      <c r="AQ592" s="45" t="s">
        <v>1011</v>
      </c>
    </row>
    <row r="593">
      <c r="AQ593" s="45" t="s">
        <v>1011</v>
      </c>
    </row>
    <row r="594">
      <c r="AQ594" s="45" t="s">
        <v>1011</v>
      </c>
    </row>
    <row r="595">
      <c r="AQ595" s="45" t="s">
        <v>1011</v>
      </c>
    </row>
    <row r="596">
      <c r="AQ596" s="45" t="s">
        <v>1011</v>
      </c>
    </row>
    <row r="597">
      <c r="AQ597" s="45" t="s">
        <v>1011</v>
      </c>
    </row>
    <row r="598">
      <c r="AQ598" s="45" t="s">
        <v>1011</v>
      </c>
    </row>
    <row r="599">
      <c r="AQ599" s="45" t="s">
        <v>1011</v>
      </c>
    </row>
    <row r="600">
      <c r="AQ600" s="45" t="s">
        <v>1011</v>
      </c>
    </row>
    <row r="601">
      <c r="AQ601" s="45" t="s">
        <v>1011</v>
      </c>
    </row>
    <row r="602">
      <c r="AQ602" s="45" t="s">
        <v>1011</v>
      </c>
    </row>
    <row r="603">
      <c r="AQ603" s="45" t="s">
        <v>1011</v>
      </c>
    </row>
    <row r="604">
      <c r="AQ604" s="45" t="s">
        <v>1011</v>
      </c>
    </row>
    <row r="605">
      <c r="AQ605" s="45" t="s">
        <v>1011</v>
      </c>
    </row>
    <row r="606">
      <c r="AQ606" s="45" t="s">
        <v>1011</v>
      </c>
    </row>
    <row r="607">
      <c r="AQ607" s="45" t="s">
        <v>1011</v>
      </c>
    </row>
    <row r="608">
      <c r="AQ608" s="45" t="s">
        <v>1011</v>
      </c>
    </row>
    <row r="609">
      <c r="AQ609" s="45" t="s">
        <v>1011</v>
      </c>
    </row>
    <row r="610">
      <c r="AQ610" s="45" t="s">
        <v>1011</v>
      </c>
    </row>
    <row r="611">
      <c r="AQ611" s="45" t="s">
        <v>1011</v>
      </c>
    </row>
    <row r="612">
      <c r="AQ612" s="45" t="s">
        <v>1011</v>
      </c>
    </row>
    <row r="613">
      <c r="AQ613" s="45" t="s">
        <v>1011</v>
      </c>
    </row>
    <row r="614">
      <c r="AQ614" s="45" t="s">
        <v>1011</v>
      </c>
    </row>
    <row r="615">
      <c r="AQ615" s="45" t="s">
        <v>1011</v>
      </c>
    </row>
    <row r="616">
      <c r="AQ616" s="45" t="s">
        <v>1011</v>
      </c>
    </row>
    <row r="617">
      <c r="AQ617" s="45" t="s">
        <v>1011</v>
      </c>
    </row>
    <row r="618">
      <c r="AQ618" s="45" t="s">
        <v>1011</v>
      </c>
    </row>
    <row r="619">
      <c r="AQ619" s="45" t="s">
        <v>1011</v>
      </c>
    </row>
    <row r="620">
      <c r="AQ620" s="45" t="s">
        <v>1011</v>
      </c>
    </row>
    <row r="621">
      <c r="AQ621" s="45" t="s">
        <v>1011</v>
      </c>
    </row>
    <row r="622">
      <c r="AQ622" s="45" t="s">
        <v>1011</v>
      </c>
    </row>
    <row r="623">
      <c r="AQ623" s="45" t="s">
        <v>1011</v>
      </c>
    </row>
    <row r="624">
      <c r="AQ624" s="45" t="s">
        <v>1011</v>
      </c>
    </row>
    <row r="625">
      <c r="AQ625" s="45" t="s">
        <v>1011</v>
      </c>
    </row>
    <row r="626">
      <c r="AQ626" s="45" t="s">
        <v>1011</v>
      </c>
    </row>
    <row r="627">
      <c r="AQ627" s="45" t="s">
        <v>1011</v>
      </c>
    </row>
    <row r="628">
      <c r="AQ628" s="45" t="s">
        <v>1011</v>
      </c>
    </row>
    <row r="629">
      <c r="AQ629" s="45" t="s">
        <v>1011</v>
      </c>
    </row>
    <row r="630">
      <c r="AQ630" s="45" t="s">
        <v>1011</v>
      </c>
    </row>
    <row r="631">
      <c r="AQ631" s="45" t="s">
        <v>1011</v>
      </c>
    </row>
    <row r="632">
      <c r="AQ632" s="45" t="s">
        <v>1011</v>
      </c>
    </row>
    <row r="633">
      <c r="AQ633" s="45" t="s">
        <v>1011</v>
      </c>
    </row>
    <row r="634">
      <c r="AQ634" s="45" t="s">
        <v>1011</v>
      </c>
    </row>
    <row r="635">
      <c r="AQ635" s="45" t="s">
        <v>1011</v>
      </c>
    </row>
    <row r="636">
      <c r="AQ636" s="45" t="s">
        <v>1011</v>
      </c>
    </row>
    <row r="637">
      <c r="AQ637" s="45" t="s">
        <v>1011</v>
      </c>
    </row>
    <row r="638">
      <c r="AQ638" s="45" t="s">
        <v>1011</v>
      </c>
    </row>
    <row r="639">
      <c r="AQ639" s="45" t="s">
        <v>1011</v>
      </c>
    </row>
    <row r="640">
      <c r="AQ640" s="45" t="s">
        <v>1011</v>
      </c>
    </row>
    <row r="641">
      <c r="AQ641" s="45" t="s">
        <v>1011</v>
      </c>
    </row>
    <row r="642">
      <c r="AQ642" s="45" t="s">
        <v>1011</v>
      </c>
    </row>
    <row r="643">
      <c r="AQ643" s="45" t="s">
        <v>1011</v>
      </c>
    </row>
    <row r="644">
      <c r="AQ644" s="45" t="s">
        <v>1011</v>
      </c>
    </row>
    <row r="645">
      <c r="AQ645" s="45" t="s">
        <v>1011</v>
      </c>
    </row>
    <row r="646">
      <c r="AQ646" s="45" t="s">
        <v>1011</v>
      </c>
    </row>
    <row r="647">
      <c r="AQ647" s="45" t="s">
        <v>1011</v>
      </c>
    </row>
    <row r="648">
      <c r="AQ648" s="45" t="s">
        <v>1011</v>
      </c>
    </row>
    <row r="649">
      <c r="AQ649" s="45" t="s">
        <v>1011</v>
      </c>
    </row>
    <row r="650">
      <c r="AQ650" s="45" t="s">
        <v>1011</v>
      </c>
    </row>
    <row r="651">
      <c r="AQ651" s="45" t="s">
        <v>1011</v>
      </c>
    </row>
    <row r="652">
      <c r="AQ652" s="45" t="s">
        <v>1011</v>
      </c>
    </row>
    <row r="653">
      <c r="AQ653" s="45" t="s">
        <v>1011</v>
      </c>
    </row>
    <row r="654">
      <c r="AQ654" s="45" t="s">
        <v>1011</v>
      </c>
    </row>
    <row r="655">
      <c r="AQ655" s="45" t="s">
        <v>1011</v>
      </c>
    </row>
    <row r="656">
      <c r="AQ656" s="45" t="s">
        <v>1011</v>
      </c>
    </row>
    <row r="657">
      <c r="AQ657" s="45" t="s">
        <v>1011</v>
      </c>
    </row>
    <row r="658">
      <c r="AQ658" s="45" t="s">
        <v>1011</v>
      </c>
    </row>
    <row r="659">
      <c r="AQ659" s="45" t="s">
        <v>1011</v>
      </c>
    </row>
    <row r="660">
      <c r="AQ660" s="45" t="s">
        <v>1011</v>
      </c>
    </row>
    <row r="661">
      <c r="AQ661" s="45" t="s">
        <v>1011</v>
      </c>
    </row>
    <row r="662">
      <c r="AQ662" s="45" t="s">
        <v>1011</v>
      </c>
    </row>
    <row r="663">
      <c r="AQ663" s="45" t="s">
        <v>1011</v>
      </c>
    </row>
    <row r="664">
      <c r="AQ664" s="45" t="s">
        <v>1011</v>
      </c>
    </row>
    <row r="665">
      <c r="AQ665" s="45" t="s">
        <v>1011</v>
      </c>
    </row>
    <row r="666">
      <c r="AQ666" s="45" t="s">
        <v>1011</v>
      </c>
    </row>
    <row r="667">
      <c r="AQ667" s="45" t="s">
        <v>1011</v>
      </c>
    </row>
    <row r="668">
      <c r="AQ668" s="45" t="s">
        <v>1011</v>
      </c>
    </row>
    <row r="669">
      <c r="AQ669" s="45" t="s">
        <v>1011</v>
      </c>
    </row>
    <row r="670">
      <c r="AQ670" s="45" t="s">
        <v>1011</v>
      </c>
    </row>
    <row r="671">
      <c r="AQ671" s="45" t="s">
        <v>1011</v>
      </c>
    </row>
    <row r="672">
      <c r="AQ672" s="45" t="s">
        <v>1011</v>
      </c>
    </row>
    <row r="673">
      <c r="AQ673" s="45" t="s">
        <v>1011</v>
      </c>
    </row>
    <row r="674">
      <c r="AQ674" s="45" t="s">
        <v>1011</v>
      </c>
    </row>
    <row r="675">
      <c r="AQ675" s="45" t="s">
        <v>1011</v>
      </c>
    </row>
    <row r="676">
      <c r="AQ676" s="45" t="s">
        <v>1011</v>
      </c>
    </row>
    <row r="677">
      <c r="AQ677" s="45" t="s">
        <v>1011</v>
      </c>
    </row>
    <row r="678">
      <c r="AQ678" s="45" t="s">
        <v>1011</v>
      </c>
    </row>
    <row r="679">
      <c r="AQ679" s="45" t="s">
        <v>1011</v>
      </c>
    </row>
    <row r="680">
      <c r="AQ680" s="45" t="s">
        <v>1011</v>
      </c>
    </row>
    <row r="681">
      <c r="AQ681" s="45" t="s">
        <v>1011</v>
      </c>
    </row>
    <row r="682">
      <c r="AQ682" s="45" t="s">
        <v>1011</v>
      </c>
    </row>
    <row r="683">
      <c r="AQ683" s="45" t="s">
        <v>1011</v>
      </c>
    </row>
    <row r="684">
      <c r="AQ684" s="45" t="s">
        <v>1011</v>
      </c>
    </row>
    <row r="685">
      <c r="AQ685" s="45" t="s">
        <v>1011</v>
      </c>
    </row>
    <row r="686">
      <c r="AQ686" s="45" t="s">
        <v>1011</v>
      </c>
    </row>
    <row r="687">
      <c r="AQ687" s="45" t="s">
        <v>1011</v>
      </c>
    </row>
    <row r="688">
      <c r="AQ688" s="45" t="s">
        <v>1011</v>
      </c>
    </row>
    <row r="689">
      <c r="AQ689" s="45" t="s">
        <v>1011</v>
      </c>
    </row>
    <row r="690">
      <c r="AQ690" s="45" t="s">
        <v>1011</v>
      </c>
    </row>
    <row r="691">
      <c r="AQ691" s="45" t="s">
        <v>1011</v>
      </c>
    </row>
    <row r="692">
      <c r="AQ692" s="45" t="s">
        <v>1011</v>
      </c>
    </row>
    <row r="693">
      <c r="AQ693" s="45" t="s">
        <v>1011</v>
      </c>
    </row>
    <row r="694">
      <c r="AQ694" s="45" t="s">
        <v>1011</v>
      </c>
    </row>
    <row r="695">
      <c r="AQ695" s="45" t="s">
        <v>1011</v>
      </c>
    </row>
    <row r="696">
      <c r="AQ696" s="45" t="s">
        <v>1011</v>
      </c>
    </row>
    <row r="697">
      <c r="AQ697" s="45" t="s">
        <v>1011</v>
      </c>
    </row>
    <row r="698">
      <c r="AQ698" s="45" t="s">
        <v>1011</v>
      </c>
    </row>
    <row r="699">
      <c r="AQ699" s="45" t="s">
        <v>1011</v>
      </c>
    </row>
    <row r="700">
      <c r="AQ700" s="45" t="s">
        <v>1011</v>
      </c>
    </row>
    <row r="701">
      <c r="AQ701" s="45" t="s">
        <v>1011</v>
      </c>
    </row>
    <row r="702">
      <c r="AQ702" s="45" t="s">
        <v>1011</v>
      </c>
    </row>
    <row r="703">
      <c r="AQ703" s="45" t="s">
        <v>1011</v>
      </c>
    </row>
    <row r="704">
      <c r="AQ704" s="45" t="s">
        <v>1011</v>
      </c>
    </row>
    <row r="705">
      <c r="AQ705" s="45" t="s">
        <v>1011</v>
      </c>
    </row>
    <row r="706">
      <c r="AQ706" s="45" t="s">
        <v>1011</v>
      </c>
    </row>
    <row r="707">
      <c r="AQ707" s="45" t="s">
        <v>1011</v>
      </c>
    </row>
    <row r="708">
      <c r="AQ708" s="45" t="s">
        <v>1011</v>
      </c>
    </row>
    <row r="709">
      <c r="AQ709" s="45" t="s">
        <v>1011</v>
      </c>
    </row>
    <row r="710">
      <c r="AQ710" s="45" t="s">
        <v>1011</v>
      </c>
    </row>
    <row r="711">
      <c r="AQ711" s="45" t="s">
        <v>1011</v>
      </c>
    </row>
    <row r="712">
      <c r="AQ712" s="45" t="s">
        <v>1011</v>
      </c>
    </row>
    <row r="713">
      <c r="AQ713" s="45" t="s">
        <v>1011</v>
      </c>
    </row>
    <row r="714">
      <c r="AQ714" s="45" t="s">
        <v>1011</v>
      </c>
    </row>
    <row r="715">
      <c r="AQ715" s="45" t="s">
        <v>1011</v>
      </c>
    </row>
    <row r="716">
      <c r="AQ716" s="45" t="s">
        <v>1011</v>
      </c>
    </row>
    <row r="717">
      <c r="AQ717" s="45" t="s">
        <v>1011</v>
      </c>
    </row>
    <row r="718">
      <c r="AQ718" s="45" t="s">
        <v>1011</v>
      </c>
    </row>
    <row r="719">
      <c r="AQ719" s="45" t="s">
        <v>1011</v>
      </c>
    </row>
    <row r="720">
      <c r="AQ720" s="45" t="s">
        <v>1011</v>
      </c>
    </row>
    <row r="721">
      <c r="AQ721" s="45" t="s">
        <v>1011</v>
      </c>
    </row>
    <row r="722">
      <c r="AQ722" s="45" t="s">
        <v>1011</v>
      </c>
    </row>
    <row r="723">
      <c r="AQ723" s="45" t="s">
        <v>1011</v>
      </c>
    </row>
    <row r="724">
      <c r="AQ724" s="45" t="s">
        <v>1011</v>
      </c>
    </row>
    <row r="725">
      <c r="AQ725" s="45" t="s">
        <v>1011</v>
      </c>
    </row>
    <row r="726">
      <c r="AQ726" s="45" t="s">
        <v>1011</v>
      </c>
    </row>
    <row r="727">
      <c r="AQ727" s="45" t="s">
        <v>1011</v>
      </c>
    </row>
    <row r="728">
      <c r="AQ728" s="45" t="s">
        <v>1011</v>
      </c>
    </row>
    <row r="729">
      <c r="AQ729" s="45" t="s">
        <v>1011</v>
      </c>
    </row>
    <row r="730">
      <c r="AQ730" s="45" t="s">
        <v>1011</v>
      </c>
    </row>
    <row r="731">
      <c r="AQ731" s="45" t="s">
        <v>1011</v>
      </c>
    </row>
    <row r="732">
      <c r="AQ732" s="45" t="s">
        <v>1011</v>
      </c>
    </row>
    <row r="733">
      <c r="AQ733" s="45" t="s">
        <v>1011</v>
      </c>
    </row>
    <row r="734">
      <c r="AQ734" s="45" t="s">
        <v>1011</v>
      </c>
    </row>
    <row r="735">
      <c r="AQ735" s="45" t="s">
        <v>1011</v>
      </c>
    </row>
    <row r="736">
      <c r="AQ736" s="45" t="s">
        <v>1011</v>
      </c>
    </row>
    <row r="737">
      <c r="AQ737" s="45" t="s">
        <v>1011</v>
      </c>
    </row>
    <row r="738">
      <c r="AQ738" s="45" t="s">
        <v>1011</v>
      </c>
    </row>
    <row r="739">
      <c r="AQ739" s="45" t="s">
        <v>1011</v>
      </c>
    </row>
    <row r="740">
      <c r="AQ740" s="45" t="s">
        <v>1011</v>
      </c>
    </row>
    <row r="741">
      <c r="AQ741" s="45" t="s">
        <v>1011</v>
      </c>
    </row>
    <row r="742">
      <c r="AQ742" s="45" t="s">
        <v>1011</v>
      </c>
    </row>
    <row r="743">
      <c r="AQ743" s="45" t="s">
        <v>1011</v>
      </c>
    </row>
    <row r="744">
      <c r="AQ744" s="45" t="s">
        <v>1011</v>
      </c>
    </row>
    <row r="745">
      <c r="AQ745" s="45" t="s">
        <v>1011</v>
      </c>
    </row>
    <row r="746">
      <c r="AQ746" s="45" t="s">
        <v>1011</v>
      </c>
    </row>
    <row r="747">
      <c r="AQ747" s="45" t="s">
        <v>1011</v>
      </c>
    </row>
    <row r="748">
      <c r="AQ748" s="45" t="s">
        <v>1011</v>
      </c>
    </row>
    <row r="749">
      <c r="AQ749" s="45" t="s">
        <v>1011</v>
      </c>
    </row>
    <row r="750">
      <c r="AQ750" s="45" t="s">
        <v>1011</v>
      </c>
    </row>
    <row r="751">
      <c r="AQ751" s="45" t="s">
        <v>1011</v>
      </c>
    </row>
    <row r="752">
      <c r="AQ752" s="45" t="s">
        <v>1011</v>
      </c>
    </row>
    <row r="753">
      <c r="AQ753" s="45" t="s">
        <v>1011</v>
      </c>
    </row>
    <row r="754">
      <c r="AQ754" s="45" t="s">
        <v>1011</v>
      </c>
    </row>
    <row r="755">
      <c r="AQ755" s="45" t="s">
        <v>1011</v>
      </c>
    </row>
    <row r="756">
      <c r="AQ756" s="45" t="s">
        <v>1011</v>
      </c>
    </row>
    <row r="757">
      <c r="AQ757" s="45" t="s">
        <v>1011</v>
      </c>
    </row>
    <row r="758">
      <c r="AQ758" s="45" t="s">
        <v>1011</v>
      </c>
    </row>
    <row r="759">
      <c r="AQ759" s="45" t="s">
        <v>1011</v>
      </c>
    </row>
    <row r="760">
      <c r="AQ760" s="45" t="s">
        <v>1011</v>
      </c>
    </row>
    <row r="761">
      <c r="AQ761" s="45" t="s">
        <v>1011</v>
      </c>
    </row>
    <row r="762">
      <c r="AQ762" s="45" t="s">
        <v>1011</v>
      </c>
    </row>
    <row r="763">
      <c r="AQ763" s="45" t="s">
        <v>1011</v>
      </c>
    </row>
    <row r="764">
      <c r="AQ764" s="45" t="s">
        <v>1011</v>
      </c>
    </row>
    <row r="765">
      <c r="AQ765" s="45" t="s">
        <v>1011</v>
      </c>
    </row>
    <row r="766">
      <c r="AQ766" s="45" t="s">
        <v>1011</v>
      </c>
    </row>
    <row r="767">
      <c r="AQ767" s="45" t="s">
        <v>1011</v>
      </c>
    </row>
    <row r="768">
      <c r="AQ768" s="45" t="s">
        <v>1011</v>
      </c>
    </row>
    <row r="769">
      <c r="AQ769" s="45" t="s">
        <v>1011</v>
      </c>
    </row>
    <row r="770">
      <c r="AQ770" s="45" t="s">
        <v>1011</v>
      </c>
    </row>
    <row r="771">
      <c r="AQ771" s="45" t="s">
        <v>1011</v>
      </c>
    </row>
    <row r="772">
      <c r="AQ772" s="45" t="s">
        <v>1011</v>
      </c>
    </row>
    <row r="773">
      <c r="AQ773" s="45" t="s">
        <v>1011</v>
      </c>
    </row>
    <row r="774">
      <c r="AQ774" s="45" t="s">
        <v>1011</v>
      </c>
    </row>
    <row r="775">
      <c r="AQ775" s="45" t="s">
        <v>1011</v>
      </c>
    </row>
    <row r="776">
      <c r="AQ776" s="45" t="s">
        <v>1011</v>
      </c>
    </row>
    <row r="777">
      <c r="AQ777" s="45" t="s">
        <v>1011</v>
      </c>
    </row>
    <row r="778">
      <c r="AQ778" s="45" t="s">
        <v>1011</v>
      </c>
    </row>
    <row r="779">
      <c r="AQ779" s="45" t="s">
        <v>1011</v>
      </c>
    </row>
    <row r="780">
      <c r="AQ780" s="45" t="s">
        <v>1011</v>
      </c>
    </row>
    <row r="781">
      <c r="AQ781" s="45" t="s">
        <v>1011</v>
      </c>
    </row>
    <row r="782">
      <c r="AQ782" s="45" t="s">
        <v>1011</v>
      </c>
    </row>
    <row r="783">
      <c r="AQ783" s="45" t="s">
        <v>1011</v>
      </c>
    </row>
    <row r="784">
      <c r="AQ784" s="45" t="s">
        <v>1011</v>
      </c>
    </row>
    <row r="785">
      <c r="AQ785" s="45" t="s">
        <v>1011</v>
      </c>
    </row>
    <row r="786">
      <c r="AQ786" s="45" t="s">
        <v>1011</v>
      </c>
    </row>
    <row r="787">
      <c r="AQ787" s="45" t="s">
        <v>1011</v>
      </c>
    </row>
    <row r="788">
      <c r="AQ788" s="45" t="s">
        <v>1011</v>
      </c>
    </row>
    <row r="789">
      <c r="AQ789" s="45" t="s">
        <v>1011</v>
      </c>
    </row>
    <row r="790">
      <c r="AQ790" s="45" t="s">
        <v>1011</v>
      </c>
    </row>
    <row r="791">
      <c r="AQ791" s="45" t="s">
        <v>1011</v>
      </c>
    </row>
    <row r="792">
      <c r="AQ792" s="45" t="s">
        <v>1011</v>
      </c>
    </row>
    <row r="793">
      <c r="AQ793" s="45" t="s">
        <v>1011</v>
      </c>
    </row>
    <row r="794">
      <c r="AQ794" s="45" t="s">
        <v>1011</v>
      </c>
    </row>
    <row r="795">
      <c r="AQ795" s="45" t="s">
        <v>1011</v>
      </c>
    </row>
    <row r="796">
      <c r="AQ796" s="45" t="s">
        <v>1011</v>
      </c>
    </row>
    <row r="797">
      <c r="AQ797" s="45" t="s">
        <v>1011</v>
      </c>
    </row>
    <row r="798">
      <c r="AQ798" s="45" t="s">
        <v>1011</v>
      </c>
    </row>
    <row r="799">
      <c r="AQ799" s="45" t="s">
        <v>1011</v>
      </c>
    </row>
    <row r="800">
      <c r="AQ800" s="45" t="s">
        <v>1011</v>
      </c>
    </row>
    <row r="801">
      <c r="AQ801" s="45" t="s">
        <v>1011</v>
      </c>
    </row>
    <row r="802">
      <c r="AQ802" s="45" t="s">
        <v>1011</v>
      </c>
    </row>
    <row r="803">
      <c r="AQ803" s="45" t="s">
        <v>1011</v>
      </c>
    </row>
    <row r="804">
      <c r="AQ804" s="45" t="s">
        <v>1011</v>
      </c>
    </row>
    <row r="805">
      <c r="AQ805" s="45" t="s">
        <v>1011</v>
      </c>
    </row>
    <row r="806">
      <c r="AQ806" s="45" t="s">
        <v>1011</v>
      </c>
    </row>
    <row r="807">
      <c r="AQ807" s="45" t="s">
        <v>1011</v>
      </c>
    </row>
    <row r="808">
      <c r="AQ808" s="45" t="s">
        <v>1011</v>
      </c>
    </row>
    <row r="809">
      <c r="AQ809" s="45" t="s">
        <v>1011</v>
      </c>
    </row>
    <row r="810">
      <c r="AQ810" s="45" t="s">
        <v>1011</v>
      </c>
    </row>
    <row r="811">
      <c r="AQ811" s="45" t="s">
        <v>1011</v>
      </c>
    </row>
    <row r="812">
      <c r="AQ812" s="45" t="s">
        <v>1011</v>
      </c>
    </row>
    <row r="813">
      <c r="AQ813" s="45" t="s">
        <v>1011</v>
      </c>
    </row>
    <row r="814">
      <c r="AQ814" s="45" t="s">
        <v>1011</v>
      </c>
    </row>
    <row r="815">
      <c r="AQ815" s="45" t="s">
        <v>1011</v>
      </c>
    </row>
    <row r="816">
      <c r="AQ816" s="45" t="s">
        <v>1011</v>
      </c>
    </row>
    <row r="817">
      <c r="AQ817" s="45" t="s">
        <v>1011</v>
      </c>
    </row>
    <row r="818">
      <c r="AQ818" s="45" t="s">
        <v>1011</v>
      </c>
    </row>
    <row r="819">
      <c r="AQ819" s="45" t="s">
        <v>1011</v>
      </c>
    </row>
    <row r="820">
      <c r="AQ820" s="45" t="s">
        <v>1011</v>
      </c>
    </row>
    <row r="821">
      <c r="AQ821" s="45" t="s">
        <v>1011</v>
      </c>
    </row>
    <row r="822">
      <c r="AQ822" s="45" t="s">
        <v>1011</v>
      </c>
    </row>
    <row r="823">
      <c r="AQ823" s="45" t="s">
        <v>1011</v>
      </c>
    </row>
    <row r="824">
      <c r="AQ824" s="45" t="s">
        <v>1011</v>
      </c>
    </row>
    <row r="825">
      <c r="AQ825" s="45" t="s">
        <v>1011</v>
      </c>
    </row>
    <row r="826">
      <c r="AQ826" s="45" t="s">
        <v>1011</v>
      </c>
    </row>
    <row r="827">
      <c r="AQ827" s="45" t="s">
        <v>1011</v>
      </c>
    </row>
    <row r="828">
      <c r="AQ828" s="45" t="s">
        <v>1011</v>
      </c>
    </row>
    <row r="829">
      <c r="AQ829" s="45" t="s">
        <v>1011</v>
      </c>
    </row>
    <row r="830">
      <c r="AQ830" s="45" t="s">
        <v>1011</v>
      </c>
    </row>
    <row r="831">
      <c r="AQ831" s="45" t="s">
        <v>1011</v>
      </c>
    </row>
    <row r="832">
      <c r="AQ832" s="45" t="s">
        <v>1011</v>
      </c>
    </row>
    <row r="833">
      <c r="AQ833" s="45" t="s">
        <v>1011</v>
      </c>
    </row>
    <row r="834">
      <c r="AQ834" s="45" t="s">
        <v>1011</v>
      </c>
    </row>
    <row r="835">
      <c r="AQ835" s="45" t="s">
        <v>1011</v>
      </c>
    </row>
    <row r="836">
      <c r="AQ836" s="45" t="s">
        <v>1011</v>
      </c>
    </row>
    <row r="837">
      <c r="AQ837" s="45" t="s">
        <v>1011</v>
      </c>
    </row>
    <row r="838">
      <c r="AQ838" s="45" t="s">
        <v>1011</v>
      </c>
    </row>
    <row r="839">
      <c r="AQ839" s="45" t="s">
        <v>1011</v>
      </c>
    </row>
    <row r="840">
      <c r="AQ840" s="45" t="s">
        <v>1011</v>
      </c>
    </row>
    <row r="841">
      <c r="AQ841" s="45" t="s">
        <v>1011</v>
      </c>
    </row>
    <row r="842">
      <c r="AQ842" s="45" t="s">
        <v>1011</v>
      </c>
    </row>
    <row r="843">
      <c r="AQ843" s="45" t="s">
        <v>1011</v>
      </c>
    </row>
    <row r="844">
      <c r="AQ844" s="45" t="s">
        <v>1011</v>
      </c>
    </row>
    <row r="845">
      <c r="AQ845" s="45" t="s">
        <v>1011</v>
      </c>
    </row>
    <row r="846">
      <c r="AQ846" s="45" t="s">
        <v>1011</v>
      </c>
    </row>
    <row r="847">
      <c r="AQ847" s="45" t="s">
        <v>1011</v>
      </c>
    </row>
    <row r="848">
      <c r="AQ848" s="45" t="s">
        <v>1011</v>
      </c>
    </row>
    <row r="849">
      <c r="AQ849" s="45" t="s">
        <v>1011</v>
      </c>
    </row>
    <row r="850">
      <c r="AQ850" s="45" t="s">
        <v>1011</v>
      </c>
    </row>
    <row r="851">
      <c r="AQ851" s="45" t="s">
        <v>1011</v>
      </c>
    </row>
    <row r="852">
      <c r="AQ852" s="45" t="s">
        <v>1011</v>
      </c>
    </row>
    <row r="853">
      <c r="AQ853" s="45" t="s">
        <v>1011</v>
      </c>
    </row>
    <row r="854">
      <c r="AQ854" s="45" t="s">
        <v>1011</v>
      </c>
    </row>
    <row r="855">
      <c r="AQ855" s="45" t="s">
        <v>1011</v>
      </c>
    </row>
    <row r="856">
      <c r="AQ856" s="45" t="s">
        <v>1011</v>
      </c>
    </row>
    <row r="857">
      <c r="AQ857" s="45" t="s">
        <v>1011</v>
      </c>
    </row>
    <row r="858">
      <c r="AQ858" s="45" t="s">
        <v>1011</v>
      </c>
    </row>
    <row r="859">
      <c r="AQ859" s="45" t="s">
        <v>1011</v>
      </c>
    </row>
    <row r="860">
      <c r="AQ860" s="45" t="s">
        <v>1011</v>
      </c>
    </row>
    <row r="861">
      <c r="AQ861" s="45" t="s">
        <v>1011</v>
      </c>
    </row>
    <row r="862">
      <c r="AQ862" s="45" t="s">
        <v>1011</v>
      </c>
    </row>
    <row r="863">
      <c r="AQ863" s="45" t="s">
        <v>1011</v>
      </c>
    </row>
    <row r="864">
      <c r="AQ864" s="45" t="s">
        <v>1011</v>
      </c>
    </row>
    <row r="865">
      <c r="AQ865" s="45" t="s">
        <v>1011</v>
      </c>
    </row>
    <row r="866">
      <c r="AQ866" s="45" t="s">
        <v>1011</v>
      </c>
    </row>
    <row r="867">
      <c r="AQ867" s="45" t="s">
        <v>1011</v>
      </c>
    </row>
    <row r="868">
      <c r="AQ868" s="45" t="s">
        <v>1011</v>
      </c>
    </row>
    <row r="869">
      <c r="AQ869" s="45" t="s">
        <v>1011</v>
      </c>
    </row>
    <row r="870">
      <c r="AQ870" s="45" t="s">
        <v>1011</v>
      </c>
    </row>
    <row r="871">
      <c r="AQ871" s="45" t="s">
        <v>1011</v>
      </c>
    </row>
    <row r="872">
      <c r="AQ872" s="45" t="s">
        <v>1011</v>
      </c>
    </row>
    <row r="873">
      <c r="AQ873" s="45" t="s">
        <v>1011</v>
      </c>
    </row>
    <row r="874">
      <c r="AQ874" s="45" t="s">
        <v>1011</v>
      </c>
    </row>
    <row r="875">
      <c r="AQ875" s="45" t="s">
        <v>1011</v>
      </c>
    </row>
    <row r="876">
      <c r="AQ876" s="45" t="s">
        <v>1011</v>
      </c>
    </row>
    <row r="877">
      <c r="AQ877" s="45" t="s">
        <v>1011</v>
      </c>
    </row>
    <row r="878">
      <c r="AQ878" s="45" t="s">
        <v>1011</v>
      </c>
    </row>
    <row r="879">
      <c r="AQ879" s="45" t="s">
        <v>1011</v>
      </c>
    </row>
    <row r="880">
      <c r="AQ880" s="45" t="s">
        <v>1011</v>
      </c>
    </row>
    <row r="881">
      <c r="AQ881" s="45" t="s">
        <v>1011</v>
      </c>
    </row>
    <row r="882">
      <c r="AQ882" s="45" t="s">
        <v>1011</v>
      </c>
    </row>
    <row r="883">
      <c r="AQ883" s="45" t="s">
        <v>1011</v>
      </c>
    </row>
    <row r="884">
      <c r="AQ884" s="45" t="s">
        <v>1011</v>
      </c>
    </row>
    <row r="885">
      <c r="AQ885" s="45" t="s">
        <v>1011</v>
      </c>
    </row>
    <row r="886">
      <c r="AQ886" s="45" t="s">
        <v>1011</v>
      </c>
    </row>
    <row r="887">
      <c r="AQ887" s="45" t="s">
        <v>1011</v>
      </c>
    </row>
    <row r="888">
      <c r="AQ888" s="45" t="s">
        <v>1011</v>
      </c>
    </row>
    <row r="889">
      <c r="AQ889" s="45" t="s">
        <v>1011</v>
      </c>
    </row>
    <row r="890">
      <c r="AQ890" s="45" t="s">
        <v>1011</v>
      </c>
    </row>
    <row r="891">
      <c r="AQ891" s="45" t="s">
        <v>1011</v>
      </c>
    </row>
    <row r="892">
      <c r="AQ892" s="45" t="s">
        <v>1011</v>
      </c>
    </row>
    <row r="893">
      <c r="AQ893" s="45" t="s">
        <v>1011</v>
      </c>
    </row>
    <row r="894">
      <c r="AQ894" s="45" t="s">
        <v>1011</v>
      </c>
    </row>
    <row r="895">
      <c r="AQ895" s="45" t="s">
        <v>1011</v>
      </c>
    </row>
    <row r="896">
      <c r="AQ896" s="45" t="s">
        <v>1011</v>
      </c>
    </row>
    <row r="897">
      <c r="AQ897" s="45" t="s">
        <v>1011</v>
      </c>
    </row>
    <row r="898">
      <c r="AQ898" s="45" t="s">
        <v>1011</v>
      </c>
    </row>
    <row r="899">
      <c r="AQ899" s="45" t="s">
        <v>1011</v>
      </c>
    </row>
    <row r="900">
      <c r="AQ900" s="45" t="s">
        <v>1011</v>
      </c>
    </row>
    <row r="901">
      <c r="AQ901" s="45" t="s">
        <v>1011</v>
      </c>
    </row>
    <row r="902">
      <c r="AQ902" s="45" t="s">
        <v>1011</v>
      </c>
    </row>
    <row r="903">
      <c r="AQ903" s="45" t="s">
        <v>1011</v>
      </c>
    </row>
    <row r="904">
      <c r="AQ904" s="45" t="s">
        <v>1011</v>
      </c>
    </row>
    <row r="905">
      <c r="AQ905" s="45" t="s">
        <v>1011</v>
      </c>
    </row>
    <row r="906">
      <c r="AQ906" s="45" t="s">
        <v>1011</v>
      </c>
    </row>
    <row r="907">
      <c r="AQ907" s="45" t="s">
        <v>1011</v>
      </c>
    </row>
    <row r="908">
      <c r="AQ908" s="45" t="s">
        <v>1011</v>
      </c>
    </row>
    <row r="909">
      <c r="AQ909" s="45" t="s">
        <v>1011</v>
      </c>
    </row>
    <row r="910">
      <c r="AQ910" s="45" t="s">
        <v>1011</v>
      </c>
    </row>
    <row r="911">
      <c r="AQ911" s="45" t="s">
        <v>1011</v>
      </c>
    </row>
    <row r="912">
      <c r="AQ912" s="45" t="s">
        <v>1011</v>
      </c>
    </row>
    <row r="913">
      <c r="AQ913" s="45" t="s">
        <v>1011</v>
      </c>
    </row>
    <row r="914">
      <c r="AQ914" s="45" t="s">
        <v>1011</v>
      </c>
    </row>
    <row r="915">
      <c r="AQ915" s="45" t="s">
        <v>1011</v>
      </c>
    </row>
    <row r="916">
      <c r="AQ916" s="45" t="s">
        <v>1011</v>
      </c>
    </row>
    <row r="917">
      <c r="AQ917" s="45" t="s">
        <v>1011</v>
      </c>
    </row>
    <row r="918">
      <c r="AQ918" s="45" t="s">
        <v>1011</v>
      </c>
    </row>
    <row r="919">
      <c r="AQ919" s="45" t="s">
        <v>1011</v>
      </c>
    </row>
    <row r="920">
      <c r="AQ920" s="45" t="s">
        <v>1011</v>
      </c>
    </row>
    <row r="921">
      <c r="AQ921" s="45" t="s">
        <v>1011</v>
      </c>
    </row>
    <row r="922">
      <c r="AQ922" s="45" t="s">
        <v>1011</v>
      </c>
    </row>
    <row r="923">
      <c r="AQ923" s="45" t="s">
        <v>1011</v>
      </c>
    </row>
    <row r="924">
      <c r="AQ924" s="45" t="s">
        <v>1011</v>
      </c>
    </row>
    <row r="925">
      <c r="AQ925" s="45" t="s">
        <v>1011</v>
      </c>
    </row>
    <row r="926">
      <c r="AQ926" s="45" t="s">
        <v>1011</v>
      </c>
    </row>
    <row r="927">
      <c r="AQ927" s="45" t="s">
        <v>1011</v>
      </c>
    </row>
    <row r="928">
      <c r="AQ928" s="45" t="s">
        <v>1011</v>
      </c>
    </row>
    <row r="929">
      <c r="AQ929" s="45" t="s">
        <v>1011</v>
      </c>
    </row>
    <row r="930">
      <c r="AQ930" s="45" t="s">
        <v>1011</v>
      </c>
    </row>
    <row r="931">
      <c r="AQ931" s="45" t="s">
        <v>1011</v>
      </c>
    </row>
    <row r="932">
      <c r="AQ932" s="45" t="s">
        <v>1011</v>
      </c>
    </row>
    <row r="933">
      <c r="AQ933" s="45" t="s">
        <v>1011</v>
      </c>
    </row>
    <row r="934">
      <c r="AQ934" s="45" t="s">
        <v>1011</v>
      </c>
    </row>
    <row r="935">
      <c r="AQ935" s="45" t="s">
        <v>1011</v>
      </c>
    </row>
    <row r="936">
      <c r="AQ936" s="45" t="s">
        <v>1011</v>
      </c>
    </row>
    <row r="937">
      <c r="AQ937" s="45" t="s">
        <v>1011</v>
      </c>
    </row>
    <row r="938">
      <c r="AQ938" s="45" t="s">
        <v>1011</v>
      </c>
    </row>
    <row r="939">
      <c r="AQ939" s="45" t="s">
        <v>1011</v>
      </c>
    </row>
    <row r="940">
      <c r="AQ940" s="45" t="s">
        <v>1011</v>
      </c>
    </row>
    <row r="941">
      <c r="AQ941" s="45" t="s">
        <v>1011</v>
      </c>
    </row>
    <row r="942">
      <c r="AQ942" s="45" t="s">
        <v>1011</v>
      </c>
    </row>
    <row r="943">
      <c r="AQ943" s="45" t="s">
        <v>1011</v>
      </c>
    </row>
    <row r="944">
      <c r="AQ944" s="45" t="s">
        <v>1011</v>
      </c>
    </row>
    <row r="945">
      <c r="AQ945" s="45" t="s">
        <v>1011</v>
      </c>
    </row>
    <row r="946">
      <c r="AQ946" s="45" t="s">
        <v>1011</v>
      </c>
    </row>
    <row r="947">
      <c r="AQ947" s="45" t="s">
        <v>1011</v>
      </c>
    </row>
    <row r="948">
      <c r="AQ948" s="45" t="s">
        <v>1011</v>
      </c>
    </row>
    <row r="949">
      <c r="AQ949" s="45" t="s">
        <v>1011</v>
      </c>
    </row>
    <row r="950">
      <c r="AQ950" s="45" t="s">
        <v>1011</v>
      </c>
    </row>
    <row r="951">
      <c r="AQ951" s="45" t="s">
        <v>1011</v>
      </c>
    </row>
    <row r="952">
      <c r="AQ952" s="45" t="s">
        <v>1011</v>
      </c>
    </row>
    <row r="953">
      <c r="AQ953" s="45" t="s">
        <v>1011</v>
      </c>
    </row>
    <row r="954">
      <c r="AQ954" s="45" t="s">
        <v>1011</v>
      </c>
    </row>
    <row r="955">
      <c r="AQ955" s="45" t="s">
        <v>1011</v>
      </c>
    </row>
    <row r="956">
      <c r="AQ956" s="45" t="s">
        <v>1011</v>
      </c>
    </row>
    <row r="957">
      <c r="AQ957" s="45" t="s">
        <v>1011</v>
      </c>
    </row>
    <row r="958">
      <c r="AQ958" s="45" t="s">
        <v>1011</v>
      </c>
    </row>
    <row r="959">
      <c r="AQ959" s="45" t="s">
        <v>1011</v>
      </c>
    </row>
    <row r="960">
      <c r="AQ960" s="45" t="s">
        <v>1011</v>
      </c>
    </row>
    <row r="961">
      <c r="AQ961" s="45" t="s">
        <v>1011</v>
      </c>
    </row>
    <row r="962">
      <c r="AQ962" s="45" t="s">
        <v>1011</v>
      </c>
    </row>
    <row r="963">
      <c r="AQ963" s="45" t="s">
        <v>1011</v>
      </c>
    </row>
    <row r="964">
      <c r="AQ964" s="45" t="s">
        <v>1011</v>
      </c>
    </row>
    <row r="965">
      <c r="AQ965" s="45" t="s">
        <v>1011</v>
      </c>
    </row>
    <row r="966">
      <c r="AQ966" s="45" t="s">
        <v>1011</v>
      </c>
    </row>
    <row r="967">
      <c r="AQ967" s="45" t="s">
        <v>1011</v>
      </c>
    </row>
    <row r="968">
      <c r="AQ968" s="45" t="s">
        <v>1011</v>
      </c>
    </row>
    <row r="969">
      <c r="AQ969" s="45" t="s">
        <v>1011</v>
      </c>
    </row>
    <row r="970">
      <c r="AQ970" s="45" t="s">
        <v>1011</v>
      </c>
    </row>
    <row r="971">
      <c r="AQ971" s="45" t="s">
        <v>1011</v>
      </c>
    </row>
    <row r="972">
      <c r="AQ972" s="45" t="s">
        <v>1011</v>
      </c>
    </row>
    <row r="973">
      <c r="AQ973" s="45" t="s">
        <v>1011</v>
      </c>
    </row>
    <row r="974">
      <c r="AQ974" s="45" t="s">
        <v>1011</v>
      </c>
    </row>
    <row r="975">
      <c r="AQ975" s="45" t="s">
        <v>1011</v>
      </c>
    </row>
    <row r="976">
      <c r="AQ976" s="45" t="s">
        <v>1011</v>
      </c>
    </row>
    <row r="977">
      <c r="AQ977" s="45" t="s">
        <v>1011</v>
      </c>
    </row>
    <row r="978">
      <c r="AQ978" s="45" t="s">
        <v>1011</v>
      </c>
    </row>
    <row r="979">
      <c r="AQ979" s="45" t="s">
        <v>1011</v>
      </c>
    </row>
    <row r="980">
      <c r="AQ980" s="45" t="s">
        <v>1011</v>
      </c>
    </row>
    <row r="981">
      <c r="AQ981" s="45" t="s">
        <v>1011</v>
      </c>
    </row>
    <row r="982">
      <c r="AQ982" s="45" t="s">
        <v>1011</v>
      </c>
    </row>
    <row r="983">
      <c r="AQ983" s="45" t="s">
        <v>1011</v>
      </c>
    </row>
    <row r="984">
      <c r="AQ984" s="45" t="s">
        <v>1011</v>
      </c>
    </row>
    <row r="985">
      <c r="AQ985" s="45" t="s">
        <v>1011</v>
      </c>
    </row>
    <row r="986">
      <c r="AQ986" s="45" t="s">
        <v>1011</v>
      </c>
    </row>
    <row r="987">
      <c r="AQ987" s="45" t="s">
        <v>1011</v>
      </c>
    </row>
    <row r="988">
      <c r="AQ988" s="45" t="s">
        <v>1011</v>
      </c>
    </row>
    <row r="989">
      <c r="AQ989" s="45" t="s">
        <v>1011</v>
      </c>
    </row>
    <row r="990">
      <c r="AQ990" s="45" t="s">
        <v>1011</v>
      </c>
    </row>
    <row r="991">
      <c r="AQ991" s="45" t="s">
        <v>1011</v>
      </c>
    </row>
    <row r="992">
      <c r="AQ992" s="45" t="s">
        <v>1011</v>
      </c>
    </row>
    <row r="993">
      <c r="AQ993" s="45" t="s">
        <v>1011</v>
      </c>
    </row>
    <row r="994">
      <c r="AQ994" s="45" t="s">
        <v>1011</v>
      </c>
    </row>
    <row r="995">
      <c r="AQ995" s="45" t="s">
        <v>1011</v>
      </c>
    </row>
    <row r="996">
      <c r="AQ996" s="45" t="s">
        <v>1011</v>
      </c>
    </row>
    <row r="997">
      <c r="AQ997" s="45" t="s">
        <v>1011</v>
      </c>
    </row>
    <row r="998">
      <c r="AQ998" s="45" t="s">
        <v>1011</v>
      </c>
    </row>
    <row r="999">
      <c r="AQ999" s="45" t="s">
        <v>1011</v>
      </c>
    </row>
    <row r="1000">
      <c r="AQ1000" s="45" t="s">
        <v>1011</v>
      </c>
    </row>
    <row r="1001">
      <c r="AQ1001" s="45" t="s">
        <v>1011</v>
      </c>
    </row>
    <row r="1002">
      <c r="AQ1002" s="45" t="s">
        <v>1011</v>
      </c>
    </row>
    <row r="1003">
      <c r="AQ1003" s="45" t="s">
        <v>1011</v>
      </c>
    </row>
    <row r="1004">
      <c r="AQ1004" s="45" t="s">
        <v>1011</v>
      </c>
    </row>
    <row r="1005">
      <c r="AQ1005" s="45" t="s">
        <v>1011</v>
      </c>
    </row>
    <row r="1006">
      <c r="AQ1006" s="45" t="s">
        <v>1011</v>
      </c>
    </row>
    <row r="1007">
      <c r="AQ1007" s="45" t="s">
        <v>1011</v>
      </c>
    </row>
    <row r="1008">
      <c r="AQ1008" s="45" t="s">
        <v>1011</v>
      </c>
    </row>
    <row r="1009">
      <c r="AQ1009" s="45" t="s">
        <v>1011</v>
      </c>
    </row>
    <row r="1010">
      <c r="AQ1010" s="45" t="s">
        <v>1011</v>
      </c>
    </row>
    <row r="1011">
      <c r="AQ1011" s="45" t="s">
        <v>1011</v>
      </c>
    </row>
    <row r="1012">
      <c r="AQ1012" s="45" t="s">
        <v>1011</v>
      </c>
    </row>
    <row r="1013">
      <c r="AQ1013" s="45" t="s">
        <v>1011</v>
      </c>
    </row>
    <row r="1014">
      <c r="AQ1014" s="45" t="s">
        <v>1011</v>
      </c>
    </row>
    <row r="1015">
      <c r="AQ1015" s="45" t="s">
        <v>1011</v>
      </c>
    </row>
    <row r="1016">
      <c r="AQ1016" s="45" t="s">
        <v>1011</v>
      </c>
    </row>
    <row r="1017">
      <c r="AQ1017" s="45" t="s">
        <v>1011</v>
      </c>
    </row>
    <row r="1018">
      <c r="AQ1018" s="45" t="s">
        <v>1011</v>
      </c>
    </row>
    <row r="1019">
      <c r="AQ1019" s="45" t="s">
        <v>1011</v>
      </c>
    </row>
    <row r="1020">
      <c r="AQ1020" s="45" t="s">
        <v>1011</v>
      </c>
    </row>
    <row r="1021">
      <c r="AQ1021" s="45" t="s">
        <v>1011</v>
      </c>
    </row>
    <row r="1022">
      <c r="AQ1022" s="45" t="s">
        <v>1011</v>
      </c>
    </row>
    <row r="1023">
      <c r="AQ1023" s="45" t="s">
        <v>1011</v>
      </c>
    </row>
    <row r="1024">
      <c r="AQ1024" s="45" t="s">
        <v>1011</v>
      </c>
    </row>
    <row r="1025">
      <c r="AQ1025" s="45" t="s">
        <v>1011</v>
      </c>
    </row>
    <row r="1026">
      <c r="AQ1026" s="45" t="s">
        <v>1011</v>
      </c>
    </row>
    <row r="1027">
      <c r="AQ1027" s="45" t="s">
        <v>1011</v>
      </c>
    </row>
    <row r="1028">
      <c r="AQ1028" s="45" t="s">
        <v>1011</v>
      </c>
    </row>
    <row r="1029">
      <c r="AQ1029" s="45" t="s">
        <v>1011</v>
      </c>
    </row>
    <row r="1030">
      <c r="AQ1030" s="45" t="s">
        <v>1011</v>
      </c>
    </row>
    <row r="1031">
      <c r="AQ1031" s="45" t="s">
        <v>1011</v>
      </c>
    </row>
    <row r="1032">
      <c r="AQ1032" s="45" t="s">
        <v>1011</v>
      </c>
    </row>
    <row r="1033">
      <c r="AQ1033" s="45" t="s">
        <v>1011</v>
      </c>
    </row>
    <row r="1034">
      <c r="AQ1034" s="45" t="s">
        <v>1011</v>
      </c>
    </row>
    <row r="1035">
      <c r="AQ1035" s="45" t="s">
        <v>1011</v>
      </c>
    </row>
    <row r="1036">
      <c r="AQ1036" s="45" t="s">
        <v>1011</v>
      </c>
    </row>
    <row r="1037">
      <c r="AQ1037" s="45" t="s">
        <v>1011</v>
      </c>
    </row>
    <row r="1038">
      <c r="AQ1038" s="45" t="s">
        <v>1011</v>
      </c>
    </row>
    <row r="1039">
      <c r="AQ1039" s="45" t="s">
        <v>1011</v>
      </c>
    </row>
    <row r="1040">
      <c r="AQ1040" s="45" t="s">
        <v>1011</v>
      </c>
    </row>
    <row r="1041">
      <c r="AQ1041" s="45" t="s">
        <v>1011</v>
      </c>
    </row>
    <row r="1042">
      <c r="AQ1042" s="45" t="s">
        <v>1011</v>
      </c>
    </row>
    <row r="1043">
      <c r="AQ1043" s="45" t="s">
        <v>1011</v>
      </c>
    </row>
    <row r="1044">
      <c r="AQ1044" s="45" t="s">
        <v>1011</v>
      </c>
    </row>
    <row r="1045">
      <c r="AQ1045" s="45" t="s">
        <v>1011</v>
      </c>
    </row>
    <row r="1046">
      <c r="AQ1046" s="45" t="s">
        <v>1011</v>
      </c>
    </row>
    <row r="1047">
      <c r="AQ1047" s="45" t="s">
        <v>1011</v>
      </c>
    </row>
    <row r="1048">
      <c r="AQ1048" s="45" t="s">
        <v>1011</v>
      </c>
    </row>
    <row r="1049">
      <c r="AQ1049" s="45" t="s">
        <v>1011</v>
      </c>
    </row>
    <row r="1050">
      <c r="AQ1050" s="45" t="s">
        <v>1011</v>
      </c>
    </row>
    <row r="1051">
      <c r="AQ1051" s="45" t="s">
        <v>1011</v>
      </c>
    </row>
    <row r="1052">
      <c r="AQ1052" s="45" t="s">
        <v>1011</v>
      </c>
    </row>
    <row r="1053">
      <c r="AQ1053" s="45" t="s">
        <v>1011</v>
      </c>
    </row>
    <row r="1054">
      <c r="AQ1054" s="45" t="s">
        <v>1011</v>
      </c>
    </row>
    <row r="1055">
      <c r="AQ1055" s="45" t="s">
        <v>1011</v>
      </c>
    </row>
    <row r="1056">
      <c r="AQ1056" s="45" t="s">
        <v>1011</v>
      </c>
    </row>
    <row r="1057">
      <c r="AQ1057" s="45" t="s">
        <v>1011</v>
      </c>
    </row>
    <row r="1058">
      <c r="AQ1058" s="45" t="s">
        <v>1011</v>
      </c>
    </row>
    <row r="1059">
      <c r="AQ1059" s="45" t="s">
        <v>1011</v>
      </c>
    </row>
    <row r="1060">
      <c r="AQ1060" s="45" t="s">
        <v>1011</v>
      </c>
    </row>
    <row r="1061">
      <c r="AQ1061" s="45" t="s">
        <v>1011</v>
      </c>
    </row>
    <row r="1062">
      <c r="AQ1062" s="45" t="s">
        <v>1011</v>
      </c>
    </row>
    <row r="1063">
      <c r="AQ1063" s="45" t="s">
        <v>1011</v>
      </c>
    </row>
    <row r="1064">
      <c r="AQ1064" s="45" t="s">
        <v>1011</v>
      </c>
    </row>
    <row r="1065">
      <c r="AQ1065" s="45" t="s">
        <v>1011</v>
      </c>
    </row>
    <row r="1066">
      <c r="AQ1066" s="45" t="s">
        <v>1011</v>
      </c>
    </row>
    <row r="1067">
      <c r="AQ1067" s="45" t="s">
        <v>1011</v>
      </c>
    </row>
    <row r="1068">
      <c r="AQ1068" s="45" t="s">
        <v>1011</v>
      </c>
    </row>
    <row r="1069">
      <c r="AQ1069" s="45" t="s">
        <v>1011</v>
      </c>
    </row>
    <row r="1070">
      <c r="AQ1070" s="45" t="s">
        <v>1011</v>
      </c>
    </row>
    <row r="1071">
      <c r="AQ1071" s="45" t="s">
        <v>1011</v>
      </c>
    </row>
    <row r="1072">
      <c r="AQ1072" s="45" t="s">
        <v>1011</v>
      </c>
    </row>
    <row r="1073">
      <c r="AQ1073" s="45" t="s">
        <v>1011</v>
      </c>
    </row>
    <row r="1074">
      <c r="AQ1074" s="45" t="s">
        <v>1011</v>
      </c>
    </row>
    <row r="1075">
      <c r="AQ1075" s="45" t="s">
        <v>1011</v>
      </c>
    </row>
    <row r="1076">
      <c r="AQ1076" s="45" t="s">
        <v>1011</v>
      </c>
    </row>
    <row r="1077">
      <c r="AQ1077" s="45" t="s">
        <v>1011</v>
      </c>
    </row>
    <row r="1078">
      <c r="AQ1078" s="45" t="s">
        <v>1011</v>
      </c>
    </row>
    <row r="1079">
      <c r="AQ1079" s="45" t="s">
        <v>1011</v>
      </c>
    </row>
    <row r="1080">
      <c r="AQ1080" s="45" t="s">
        <v>1011</v>
      </c>
    </row>
    <row r="1081">
      <c r="AQ1081" s="45" t="s">
        <v>1011</v>
      </c>
    </row>
    <row r="1082">
      <c r="AQ1082" s="45" t="s">
        <v>1011</v>
      </c>
    </row>
    <row r="1083">
      <c r="AQ1083" s="45" t="s">
        <v>1011</v>
      </c>
    </row>
    <row r="1084">
      <c r="AQ1084" s="45" t="s">
        <v>1011</v>
      </c>
    </row>
    <row r="1085">
      <c r="AQ1085" s="45" t="s">
        <v>1011</v>
      </c>
    </row>
    <row r="1086">
      <c r="AQ1086" s="45" t="s">
        <v>1011</v>
      </c>
    </row>
    <row r="1087">
      <c r="AQ1087" s="45" t="s">
        <v>1011</v>
      </c>
    </row>
    <row r="1088">
      <c r="AQ1088" s="45" t="s">
        <v>1011</v>
      </c>
    </row>
    <row r="1089">
      <c r="AQ1089" s="45" t="s">
        <v>1011</v>
      </c>
    </row>
    <row r="1090">
      <c r="AQ1090" s="45" t="s">
        <v>1011</v>
      </c>
    </row>
    <row r="1091">
      <c r="AQ1091" s="45" t="s">
        <v>1011</v>
      </c>
    </row>
    <row r="1092">
      <c r="AQ1092" s="45" t="s">
        <v>1011</v>
      </c>
    </row>
    <row r="1093">
      <c r="AQ1093" s="45" t="s">
        <v>1011</v>
      </c>
    </row>
    <row r="1094">
      <c r="AQ1094" s="45" t="s">
        <v>1011</v>
      </c>
    </row>
    <row r="1095">
      <c r="AQ1095" s="45" t="s">
        <v>1011</v>
      </c>
    </row>
    <row r="1096">
      <c r="AQ1096" s="45" t="s">
        <v>1011</v>
      </c>
    </row>
    <row r="1097">
      <c r="AQ1097" s="45" t="s">
        <v>1011</v>
      </c>
    </row>
    <row r="1098">
      <c r="AQ1098" s="45" t="s">
        <v>1011</v>
      </c>
    </row>
    <row r="1099">
      <c r="AQ1099" s="45" t="s">
        <v>1011</v>
      </c>
    </row>
    <row r="1100">
      <c r="AQ1100" s="45" t="s">
        <v>1011</v>
      </c>
    </row>
    <row r="1101">
      <c r="AQ1101" s="45" t="s">
        <v>1011</v>
      </c>
    </row>
    <row r="1102">
      <c r="AQ1102" s="45" t="s">
        <v>1011</v>
      </c>
    </row>
    <row r="1103">
      <c r="AQ1103" s="45" t="s">
        <v>1011</v>
      </c>
    </row>
    <row r="1104">
      <c r="AQ1104" s="45" t="s">
        <v>1011</v>
      </c>
    </row>
    <row r="1105">
      <c r="AQ1105" s="45" t="s">
        <v>1011</v>
      </c>
    </row>
    <row r="1106">
      <c r="AQ1106" s="45" t="s">
        <v>1011</v>
      </c>
    </row>
    <row r="1107">
      <c r="AQ1107" s="45" t="s">
        <v>1011</v>
      </c>
    </row>
    <row r="1108">
      <c r="AQ1108" s="45" t="s">
        <v>1011</v>
      </c>
    </row>
    <row r="1109">
      <c r="AQ1109" s="45" t="s">
        <v>1011</v>
      </c>
    </row>
    <row r="1110">
      <c r="AQ1110" s="45" t="s">
        <v>1011</v>
      </c>
    </row>
    <row r="1111">
      <c r="AQ1111" s="45" t="s">
        <v>1011</v>
      </c>
    </row>
    <row r="1112">
      <c r="AQ1112" s="45" t="s">
        <v>1011</v>
      </c>
    </row>
    <row r="1113">
      <c r="AQ1113" s="45" t="s">
        <v>1011</v>
      </c>
    </row>
    <row r="1114">
      <c r="AQ1114" s="45" t="s">
        <v>1011</v>
      </c>
    </row>
    <row r="1115">
      <c r="AQ1115" s="45" t="s">
        <v>1011</v>
      </c>
    </row>
    <row r="1116">
      <c r="AQ1116" s="45" t="s">
        <v>1011</v>
      </c>
    </row>
    <row r="1117">
      <c r="AQ1117" s="45" t="s">
        <v>1011</v>
      </c>
    </row>
    <row r="1118">
      <c r="AQ1118" s="45" t="s">
        <v>1011</v>
      </c>
    </row>
    <row r="1119">
      <c r="AQ1119" s="45" t="s">
        <v>1011</v>
      </c>
    </row>
    <row r="1120">
      <c r="AQ1120" s="45" t="s">
        <v>1011</v>
      </c>
    </row>
    <row r="1121">
      <c r="AQ1121" s="45" t="s">
        <v>1011</v>
      </c>
    </row>
    <row r="1122">
      <c r="AQ1122" s="45" t="s">
        <v>1011</v>
      </c>
    </row>
    <row r="1123">
      <c r="AQ1123" s="45" t="s">
        <v>1011</v>
      </c>
    </row>
    <row r="1124">
      <c r="AQ1124" s="45" t="s">
        <v>1011</v>
      </c>
    </row>
    <row r="1125">
      <c r="AQ1125" s="45" t="s">
        <v>1011</v>
      </c>
    </row>
    <row r="1126">
      <c r="AQ1126" s="45" t="s">
        <v>1011</v>
      </c>
    </row>
    <row r="1127">
      <c r="AQ1127" s="45" t="s">
        <v>1011</v>
      </c>
    </row>
    <row r="1128">
      <c r="AQ1128" s="45" t="s">
        <v>1011</v>
      </c>
    </row>
    <row r="1129">
      <c r="AQ1129" s="45" t="s">
        <v>1011</v>
      </c>
    </row>
    <row r="1130">
      <c r="AQ1130" s="45" t="s">
        <v>1011</v>
      </c>
    </row>
    <row r="1131">
      <c r="AQ1131" s="45" t="s">
        <v>1011</v>
      </c>
    </row>
    <row r="1132">
      <c r="AQ1132" s="45" t="s">
        <v>1011</v>
      </c>
    </row>
    <row r="1133">
      <c r="AQ1133" s="45" t="s">
        <v>1011</v>
      </c>
    </row>
    <row r="1134">
      <c r="AQ1134" s="45" t="s">
        <v>1011</v>
      </c>
    </row>
    <row r="1135">
      <c r="AQ1135" s="45" t="s">
        <v>1011</v>
      </c>
    </row>
    <row r="1136">
      <c r="AQ1136" s="45" t="s">
        <v>1011</v>
      </c>
    </row>
    <row r="1137">
      <c r="AQ1137" s="45" t="s">
        <v>1011</v>
      </c>
    </row>
    <row r="1138">
      <c r="AQ1138" s="45" t="s">
        <v>1011</v>
      </c>
    </row>
    <row r="1139">
      <c r="AQ1139" s="45" t="s">
        <v>1011</v>
      </c>
    </row>
    <row r="1140">
      <c r="AQ1140" s="45" t="s">
        <v>1011</v>
      </c>
    </row>
    <row r="1141">
      <c r="AQ1141" s="45" t="s">
        <v>1011</v>
      </c>
    </row>
    <row r="1142">
      <c r="AQ1142" s="45" t="s">
        <v>1011</v>
      </c>
    </row>
    <row r="1143">
      <c r="AQ1143" s="45" t="s">
        <v>1011</v>
      </c>
    </row>
    <row r="1144">
      <c r="AQ1144" s="45" t="s">
        <v>1011</v>
      </c>
    </row>
    <row r="1145">
      <c r="AQ1145" s="45" t="s">
        <v>1011</v>
      </c>
    </row>
    <row r="1146">
      <c r="AQ1146" s="45" t="s">
        <v>1011</v>
      </c>
    </row>
    <row r="1147">
      <c r="AQ1147" s="45" t="s">
        <v>1011</v>
      </c>
    </row>
    <row r="1148">
      <c r="AQ1148" s="45" t="s">
        <v>1011</v>
      </c>
    </row>
    <row r="1149">
      <c r="AQ1149" s="45" t="s">
        <v>1011</v>
      </c>
    </row>
    <row r="1150">
      <c r="AQ1150" s="45" t="s">
        <v>1011</v>
      </c>
    </row>
    <row r="1151">
      <c r="AQ1151" s="45" t="s">
        <v>1011</v>
      </c>
    </row>
    <row r="1152">
      <c r="AQ1152" s="45" t="s">
        <v>1011</v>
      </c>
    </row>
    <row r="1153">
      <c r="AQ1153" s="45" t="s">
        <v>1011</v>
      </c>
    </row>
    <row r="1154">
      <c r="AQ1154" s="45" t="s">
        <v>1011</v>
      </c>
    </row>
    <row r="1155">
      <c r="AQ1155" s="45" t="s">
        <v>1011</v>
      </c>
    </row>
    <row r="1156">
      <c r="AQ1156" s="45" t="s">
        <v>1011</v>
      </c>
    </row>
    <row r="1157">
      <c r="AQ1157" s="45" t="s">
        <v>1011</v>
      </c>
    </row>
    <row r="1158">
      <c r="AQ1158" s="45" t="s">
        <v>1011</v>
      </c>
    </row>
    <row r="1159">
      <c r="AQ1159" s="45" t="s">
        <v>1011</v>
      </c>
    </row>
    <row r="1160">
      <c r="AQ1160" s="45" t="s">
        <v>1011</v>
      </c>
    </row>
    <row r="1161">
      <c r="AQ1161" s="45" t="s">
        <v>1011</v>
      </c>
    </row>
    <row r="1162">
      <c r="AQ1162" s="45" t="s">
        <v>1011</v>
      </c>
    </row>
    <row r="1163">
      <c r="AQ1163" s="45" t="s">
        <v>1011</v>
      </c>
    </row>
    <row r="1164">
      <c r="AQ1164" s="45" t="s">
        <v>1011</v>
      </c>
    </row>
    <row r="1165">
      <c r="AQ1165" s="45" t="s">
        <v>1011</v>
      </c>
    </row>
    <row r="1166">
      <c r="AQ1166" s="45" t="s">
        <v>1011</v>
      </c>
    </row>
    <row r="1167">
      <c r="AQ1167" s="45" t="s">
        <v>1011</v>
      </c>
    </row>
    <row r="1168">
      <c r="AQ1168" s="45" t="s">
        <v>1011</v>
      </c>
    </row>
    <row r="1169">
      <c r="AQ1169" s="45" t="s">
        <v>1011</v>
      </c>
    </row>
    <row r="1170">
      <c r="AQ1170" s="45" t="s">
        <v>1011</v>
      </c>
    </row>
    <row r="1171">
      <c r="AQ1171" s="45" t="s">
        <v>1011</v>
      </c>
    </row>
    <row r="1172">
      <c r="AQ1172" s="45" t="s">
        <v>1011</v>
      </c>
    </row>
    <row r="1173">
      <c r="AQ1173" s="45" t="s">
        <v>1011</v>
      </c>
    </row>
    <row r="1174">
      <c r="AQ1174" s="45" t="s">
        <v>1011</v>
      </c>
    </row>
    <row r="1175">
      <c r="AQ1175" s="45" t="s">
        <v>1011</v>
      </c>
    </row>
    <row r="1176">
      <c r="AQ1176" s="45" t="s">
        <v>1011</v>
      </c>
    </row>
    <row r="1177">
      <c r="AQ1177" s="45" t="s">
        <v>1011</v>
      </c>
    </row>
    <row r="1178">
      <c r="AQ1178" s="45" t="s">
        <v>1011</v>
      </c>
    </row>
    <row r="1179">
      <c r="AQ1179" s="45" t="s">
        <v>1011</v>
      </c>
    </row>
    <row r="1180">
      <c r="AQ1180" s="45" t="s">
        <v>1011</v>
      </c>
    </row>
    <row r="1181">
      <c r="AQ1181" s="45" t="s">
        <v>1011</v>
      </c>
    </row>
    <row r="1182">
      <c r="AQ1182" s="45" t="s">
        <v>1011</v>
      </c>
    </row>
    <row r="1183">
      <c r="AQ1183" s="45" t="s">
        <v>1011</v>
      </c>
    </row>
    <row r="1184">
      <c r="AQ1184" s="45" t="s">
        <v>1011</v>
      </c>
    </row>
    <row r="1185">
      <c r="AQ1185" s="45" t="s">
        <v>1011</v>
      </c>
    </row>
    <row r="1186">
      <c r="AQ1186" s="45" t="s">
        <v>1011</v>
      </c>
    </row>
    <row r="1187">
      <c r="AQ1187" s="45" t="s">
        <v>1011</v>
      </c>
    </row>
    <row r="1188">
      <c r="AQ1188" s="45" t="s">
        <v>1011</v>
      </c>
    </row>
    <row r="1189">
      <c r="AQ1189" s="45" t="s">
        <v>1011</v>
      </c>
    </row>
    <row r="1190">
      <c r="AQ1190" s="45" t="s">
        <v>1011</v>
      </c>
    </row>
    <row r="1191">
      <c r="AQ1191" s="45" t="s">
        <v>1011</v>
      </c>
    </row>
    <row r="1192">
      <c r="AQ1192" s="45" t="s">
        <v>1011</v>
      </c>
    </row>
    <row r="1193">
      <c r="AQ1193" s="45" t="s">
        <v>1011</v>
      </c>
    </row>
    <row r="1194">
      <c r="AQ1194" s="45" t="s">
        <v>1011</v>
      </c>
    </row>
    <row r="1195">
      <c r="AQ1195" s="45" t="s">
        <v>1011</v>
      </c>
    </row>
    <row r="1196">
      <c r="AQ1196" s="45" t="s">
        <v>1011</v>
      </c>
    </row>
    <row r="1197">
      <c r="AQ1197" s="45" t="s">
        <v>1011</v>
      </c>
    </row>
    <row r="1198">
      <c r="AQ1198" s="45" t="s">
        <v>1011</v>
      </c>
    </row>
    <row r="1199">
      <c r="AQ1199" s="45" t="s">
        <v>1011</v>
      </c>
    </row>
    <row r="1200">
      <c r="AQ1200" s="45" t="s">
        <v>1011</v>
      </c>
    </row>
    <row r="1201">
      <c r="AQ1201" s="45" t="s">
        <v>1011</v>
      </c>
    </row>
    <row r="1202">
      <c r="AQ1202" s="45" t="s">
        <v>1011</v>
      </c>
    </row>
    <row r="1203">
      <c r="AQ1203" s="45" t="s">
        <v>1011</v>
      </c>
    </row>
    <row r="1204">
      <c r="AQ1204" s="45" t="s">
        <v>1011</v>
      </c>
    </row>
    <row r="1205">
      <c r="AQ1205" s="45" t="s">
        <v>1011</v>
      </c>
    </row>
    <row r="1206">
      <c r="AQ1206" s="45" t="s">
        <v>1011</v>
      </c>
    </row>
    <row r="1207">
      <c r="AQ1207" s="45" t="s">
        <v>1011</v>
      </c>
    </row>
    <row r="1208">
      <c r="AQ1208" s="45" t="s">
        <v>1011</v>
      </c>
    </row>
    <row r="1209">
      <c r="AQ1209" s="45" t="s">
        <v>1011</v>
      </c>
    </row>
    <row r="1210">
      <c r="AQ1210" s="45" t="s">
        <v>1011</v>
      </c>
    </row>
    <row r="1211">
      <c r="AQ1211" s="45" t="s">
        <v>1011</v>
      </c>
    </row>
    <row r="1212">
      <c r="AQ1212" s="45" t="s">
        <v>1011</v>
      </c>
    </row>
    <row r="1213">
      <c r="AQ1213" s="45" t="s">
        <v>1011</v>
      </c>
    </row>
    <row r="1214">
      <c r="AQ1214" s="45" t="s">
        <v>1011</v>
      </c>
    </row>
    <row r="1215">
      <c r="AQ1215" s="45" t="s">
        <v>1011</v>
      </c>
    </row>
    <row r="1216">
      <c r="AQ1216" s="45" t="s">
        <v>1011</v>
      </c>
    </row>
    <row r="1217">
      <c r="AQ1217" s="45" t="s">
        <v>1011</v>
      </c>
    </row>
    <row r="1218">
      <c r="AQ1218" s="45" t="s">
        <v>1011</v>
      </c>
    </row>
    <row r="1219">
      <c r="AQ1219" s="45" t="s">
        <v>1011</v>
      </c>
    </row>
    <row r="1220">
      <c r="AQ1220" s="45" t="s">
        <v>1011</v>
      </c>
    </row>
    <row r="1221">
      <c r="AQ1221" s="45" t="s">
        <v>1011</v>
      </c>
    </row>
    <row r="1222">
      <c r="AQ1222" s="45" t="s">
        <v>1011</v>
      </c>
    </row>
    <row r="1223">
      <c r="AQ1223" s="45" t="s">
        <v>1011</v>
      </c>
    </row>
    <row r="1224">
      <c r="AQ1224" s="45" t="s">
        <v>1011</v>
      </c>
    </row>
    <row r="1225">
      <c r="AQ1225" s="45" t="s">
        <v>1011</v>
      </c>
    </row>
    <row r="1226">
      <c r="AQ1226" s="45" t="s">
        <v>1011</v>
      </c>
    </row>
    <row r="1227">
      <c r="AQ1227" s="45" t="s">
        <v>1011</v>
      </c>
    </row>
    <row r="1228">
      <c r="AQ1228" s="45" t="s">
        <v>1011</v>
      </c>
    </row>
    <row r="1229">
      <c r="AQ1229" s="45" t="s">
        <v>1011</v>
      </c>
    </row>
    <row r="1230">
      <c r="AQ1230" s="45" t="s">
        <v>1011</v>
      </c>
    </row>
    <row r="1231">
      <c r="AQ1231" s="45" t="s">
        <v>1011</v>
      </c>
    </row>
    <row r="1232">
      <c r="AQ1232" s="45" t="s">
        <v>1011</v>
      </c>
    </row>
    <row r="1233">
      <c r="AQ1233" s="45" t="s">
        <v>1011</v>
      </c>
    </row>
    <row r="1234">
      <c r="AQ1234" s="45" t="s">
        <v>1011</v>
      </c>
    </row>
    <row r="1235">
      <c r="AQ1235" s="45" t="s">
        <v>1011</v>
      </c>
    </row>
    <row r="1236">
      <c r="AQ1236" s="45" t="s">
        <v>1011</v>
      </c>
    </row>
    <row r="1237">
      <c r="AQ1237" s="45" t="s">
        <v>1011</v>
      </c>
    </row>
    <row r="1238">
      <c r="AQ1238" s="45" t="s">
        <v>1011</v>
      </c>
    </row>
    <row r="1239">
      <c r="AQ1239" s="45" t="s">
        <v>1011</v>
      </c>
    </row>
    <row r="1240">
      <c r="AQ1240" s="45" t="s">
        <v>1011</v>
      </c>
    </row>
    <row r="1241">
      <c r="AQ1241" s="45" t="s">
        <v>1011</v>
      </c>
    </row>
    <row r="1242">
      <c r="AQ1242" s="45" t="s">
        <v>1011</v>
      </c>
    </row>
    <row r="1243">
      <c r="AQ1243" s="45" t="s">
        <v>1011</v>
      </c>
    </row>
    <row r="1244">
      <c r="AQ1244" s="45" t="s">
        <v>1011</v>
      </c>
    </row>
    <row r="1245">
      <c r="AQ1245" s="45" t="s">
        <v>1011</v>
      </c>
    </row>
    <row r="1246">
      <c r="AQ1246" s="45" t="s">
        <v>1011</v>
      </c>
    </row>
    <row r="1247">
      <c r="AQ1247" s="45" t="s">
        <v>1011</v>
      </c>
    </row>
    <row r="1248">
      <c r="AQ1248" s="45" t="s">
        <v>1011</v>
      </c>
    </row>
    <row r="1249">
      <c r="AQ1249" s="45" t="s">
        <v>1011</v>
      </c>
    </row>
    <row r="1250">
      <c r="AQ1250" s="45" t="s">
        <v>1011</v>
      </c>
    </row>
    <row r="1251">
      <c r="AQ1251" s="45" t="s">
        <v>1011</v>
      </c>
    </row>
    <row r="1252">
      <c r="AQ1252" s="45" t="s">
        <v>1011</v>
      </c>
    </row>
    <row r="1253">
      <c r="AQ1253" s="45" t="s">
        <v>1011</v>
      </c>
    </row>
    <row r="1254">
      <c r="AQ1254" s="45" t="s">
        <v>1011</v>
      </c>
    </row>
    <row r="1255">
      <c r="AQ1255" s="45" t="s">
        <v>1011</v>
      </c>
    </row>
    <row r="1256">
      <c r="AQ1256" s="45" t="s">
        <v>1011</v>
      </c>
    </row>
    <row r="1257">
      <c r="AQ1257" s="45" t="s">
        <v>1011</v>
      </c>
    </row>
    <row r="1258">
      <c r="AQ1258" s="45" t="s">
        <v>1011</v>
      </c>
    </row>
    <row r="1259">
      <c r="AQ1259" s="45" t="s">
        <v>1011</v>
      </c>
    </row>
    <row r="1260">
      <c r="AQ1260" s="45" t="s">
        <v>1011</v>
      </c>
    </row>
    <row r="1261">
      <c r="AQ1261" s="45" t="s">
        <v>1011</v>
      </c>
    </row>
    <row r="1262">
      <c r="AQ1262" s="45" t="s">
        <v>1011</v>
      </c>
    </row>
    <row r="1263">
      <c r="AQ1263" s="45" t="s">
        <v>1011</v>
      </c>
    </row>
    <row r="1264">
      <c r="AQ1264" s="45" t="s">
        <v>1011</v>
      </c>
    </row>
    <row r="1265">
      <c r="AQ1265" s="45" t="s">
        <v>1011</v>
      </c>
    </row>
    <row r="1266">
      <c r="AQ1266" s="45" t="s">
        <v>1011</v>
      </c>
    </row>
    <row r="1267">
      <c r="AQ1267" s="45" t="s">
        <v>1011</v>
      </c>
    </row>
    <row r="1268">
      <c r="AQ1268" s="45" t="s">
        <v>1011</v>
      </c>
    </row>
    <row r="1269">
      <c r="AQ1269" s="45" t="s">
        <v>1011</v>
      </c>
    </row>
    <row r="1270">
      <c r="AQ1270" s="45" t="s">
        <v>1011</v>
      </c>
    </row>
    <row r="1271">
      <c r="AQ1271" s="45" t="s">
        <v>1011</v>
      </c>
    </row>
    <row r="1272">
      <c r="AQ1272" s="45" t="s">
        <v>1011</v>
      </c>
    </row>
    <row r="1273">
      <c r="AQ1273" s="45" t="s">
        <v>1011</v>
      </c>
    </row>
    <row r="1274">
      <c r="AQ1274" s="45" t="s">
        <v>1011</v>
      </c>
    </row>
    <row r="1275">
      <c r="AQ1275" s="45" t="s">
        <v>1011</v>
      </c>
    </row>
    <row r="1276">
      <c r="AQ1276" s="45" t="s">
        <v>1011</v>
      </c>
    </row>
    <row r="1277">
      <c r="AQ1277" s="45" t="s">
        <v>1011</v>
      </c>
    </row>
    <row r="1278">
      <c r="AQ1278" s="45" t="s">
        <v>1011</v>
      </c>
    </row>
    <row r="1279">
      <c r="AQ1279" s="45" t="s">
        <v>1011</v>
      </c>
    </row>
    <row r="1280">
      <c r="AQ1280" s="45" t="s">
        <v>1011</v>
      </c>
    </row>
    <row r="1281">
      <c r="AQ1281" s="45" t="s">
        <v>1011</v>
      </c>
    </row>
    <row r="1282">
      <c r="AQ1282" s="45" t="s">
        <v>1011</v>
      </c>
    </row>
    <row r="1283">
      <c r="AQ1283" s="45" t="s">
        <v>1011</v>
      </c>
    </row>
    <row r="1284">
      <c r="AQ1284" s="45" t="s">
        <v>1011</v>
      </c>
    </row>
    <row r="1285">
      <c r="AQ1285" s="45" t="s">
        <v>1011</v>
      </c>
    </row>
    <row r="1286">
      <c r="AQ1286" s="45" t="s">
        <v>1011</v>
      </c>
    </row>
    <row r="1287">
      <c r="AQ1287" s="45" t="s">
        <v>1011</v>
      </c>
    </row>
    <row r="1288">
      <c r="AQ1288" s="45" t="s">
        <v>1011</v>
      </c>
    </row>
    <row r="1289">
      <c r="AQ1289" s="45" t="s">
        <v>1011</v>
      </c>
    </row>
    <row r="1290">
      <c r="AQ1290" s="45" t="s">
        <v>1011</v>
      </c>
    </row>
    <row r="1291">
      <c r="AQ1291" s="45" t="s">
        <v>1011</v>
      </c>
    </row>
    <row r="1292">
      <c r="AQ1292" s="45" t="s">
        <v>1011</v>
      </c>
    </row>
    <row r="1293">
      <c r="AQ1293" s="45" t="s">
        <v>1011</v>
      </c>
    </row>
    <row r="1294">
      <c r="AQ1294" s="45" t="s">
        <v>1011</v>
      </c>
    </row>
    <row r="1295">
      <c r="AQ1295" s="45" t="s">
        <v>1011</v>
      </c>
    </row>
    <row r="1296">
      <c r="AQ1296" s="45" t="s">
        <v>1011</v>
      </c>
    </row>
    <row r="1297">
      <c r="AQ1297" s="45" t="s">
        <v>1011</v>
      </c>
    </row>
    <row r="1298">
      <c r="AQ1298" s="45" t="s">
        <v>1011</v>
      </c>
    </row>
    <row r="1299">
      <c r="AQ1299" s="45" t="s">
        <v>1011</v>
      </c>
    </row>
    <row r="1300">
      <c r="AQ1300" s="45" t="s">
        <v>1011</v>
      </c>
    </row>
    <row r="1301">
      <c r="AQ1301" s="45" t="s">
        <v>1011</v>
      </c>
    </row>
    <row r="1302">
      <c r="AQ1302" s="45" t="s">
        <v>1011</v>
      </c>
    </row>
    <row r="1303">
      <c r="AQ1303" s="45" t="s">
        <v>1011</v>
      </c>
    </row>
    <row r="1304">
      <c r="AQ1304" s="45" t="s">
        <v>1011</v>
      </c>
    </row>
    <row r="1305">
      <c r="AQ1305" s="45" t="s">
        <v>1011</v>
      </c>
    </row>
    <row r="1306">
      <c r="AQ1306" s="45" t="s">
        <v>1011</v>
      </c>
    </row>
    <row r="1307">
      <c r="AQ1307" s="45" t="s">
        <v>1011</v>
      </c>
    </row>
    <row r="1308">
      <c r="AQ1308" s="45" t="s">
        <v>1011</v>
      </c>
    </row>
    <row r="1309">
      <c r="AQ1309" s="45" t="s">
        <v>1011</v>
      </c>
    </row>
    <row r="1310">
      <c r="AQ1310" s="45" t="s">
        <v>1011</v>
      </c>
    </row>
    <row r="1311">
      <c r="AQ1311" s="45" t="s">
        <v>1011</v>
      </c>
    </row>
    <row r="1312">
      <c r="AQ1312" s="45" t="s">
        <v>1011</v>
      </c>
    </row>
    <row r="1313">
      <c r="AQ1313" s="45" t="s">
        <v>1011</v>
      </c>
    </row>
    <row r="1314">
      <c r="AQ1314" s="45" t="s">
        <v>1011</v>
      </c>
    </row>
    <row r="1315">
      <c r="AQ1315" s="45" t="s">
        <v>1011</v>
      </c>
    </row>
    <row r="1316">
      <c r="AQ1316" s="45" t="s">
        <v>1011</v>
      </c>
    </row>
    <row r="1317">
      <c r="AQ1317" s="45" t="s">
        <v>1011</v>
      </c>
    </row>
    <row r="1318">
      <c r="AQ1318" s="45" t="s">
        <v>1011</v>
      </c>
    </row>
    <row r="1319">
      <c r="AQ1319" s="45" t="s">
        <v>1011</v>
      </c>
    </row>
    <row r="1320">
      <c r="AQ1320" s="45" t="s">
        <v>1011</v>
      </c>
    </row>
    <row r="1321">
      <c r="AQ1321" s="45" t="s">
        <v>1011</v>
      </c>
    </row>
    <row r="1322">
      <c r="AQ1322" s="45" t="s">
        <v>1011</v>
      </c>
    </row>
    <row r="1323">
      <c r="AQ1323" s="45" t="s">
        <v>1011</v>
      </c>
    </row>
    <row r="1324">
      <c r="AQ1324" s="45" t="s">
        <v>1011</v>
      </c>
    </row>
    <row r="1325">
      <c r="AQ1325" s="45" t="s">
        <v>1011</v>
      </c>
    </row>
    <row r="1326">
      <c r="AQ1326" s="45" t="s">
        <v>1011</v>
      </c>
    </row>
    <row r="1327">
      <c r="AQ1327" s="45" t="s">
        <v>1011</v>
      </c>
    </row>
    <row r="1328">
      <c r="AQ1328" s="45" t="s">
        <v>1011</v>
      </c>
    </row>
    <row r="1329">
      <c r="AQ1329" s="45" t="s">
        <v>1011</v>
      </c>
    </row>
    <row r="1330">
      <c r="AQ1330" s="45" t="s">
        <v>1011</v>
      </c>
    </row>
    <row r="1331">
      <c r="AQ1331" s="45" t="s">
        <v>1011</v>
      </c>
    </row>
    <row r="1332">
      <c r="AQ1332" s="45" t="s">
        <v>1011</v>
      </c>
    </row>
    <row r="1333">
      <c r="AQ1333" s="45" t="s">
        <v>1011</v>
      </c>
    </row>
    <row r="1334">
      <c r="AQ1334" s="45" t="s">
        <v>1011</v>
      </c>
    </row>
    <row r="1335">
      <c r="AQ1335" s="45" t="s">
        <v>1011</v>
      </c>
    </row>
    <row r="1336">
      <c r="AQ1336" s="45" t="s">
        <v>1011</v>
      </c>
    </row>
    <row r="1337">
      <c r="AQ1337" s="45" t="s">
        <v>1011</v>
      </c>
    </row>
    <row r="1338">
      <c r="AQ1338" s="45" t="s">
        <v>1011</v>
      </c>
    </row>
    <row r="1339">
      <c r="AQ1339" s="45" t="s">
        <v>1011</v>
      </c>
    </row>
    <row r="1340">
      <c r="AQ1340" s="45" t="s">
        <v>1011</v>
      </c>
    </row>
    <row r="1341">
      <c r="AQ1341" s="45" t="s">
        <v>1011</v>
      </c>
    </row>
    <row r="1342">
      <c r="AQ1342" s="45" t="s">
        <v>1011</v>
      </c>
    </row>
    <row r="1343">
      <c r="AQ1343" s="45" t="s">
        <v>1011</v>
      </c>
    </row>
    <row r="1344">
      <c r="AQ1344" s="45" t="s">
        <v>1011</v>
      </c>
    </row>
    <row r="1345">
      <c r="AQ1345" s="45" t="s">
        <v>1011</v>
      </c>
    </row>
    <row r="1346">
      <c r="AQ1346" s="45" t="s">
        <v>1011</v>
      </c>
    </row>
    <row r="1347">
      <c r="AQ1347" s="45" t="s">
        <v>1011</v>
      </c>
    </row>
    <row r="1348">
      <c r="AQ1348" s="45" t="s">
        <v>1011</v>
      </c>
    </row>
    <row r="1349">
      <c r="AQ1349" s="45" t="s">
        <v>1011</v>
      </c>
    </row>
    <row r="1350">
      <c r="AQ1350" s="45" t="s">
        <v>1011</v>
      </c>
    </row>
    <row r="1351">
      <c r="AQ1351" s="45" t="s">
        <v>1011</v>
      </c>
    </row>
    <row r="1352">
      <c r="AQ1352" s="45" t="s">
        <v>1011</v>
      </c>
    </row>
    <row r="1353">
      <c r="AQ1353" s="45" t="s">
        <v>1011</v>
      </c>
    </row>
    <row r="1354">
      <c r="AQ1354" s="45" t="s">
        <v>1011</v>
      </c>
    </row>
    <row r="1355">
      <c r="AQ1355" s="45" t="s">
        <v>1011</v>
      </c>
    </row>
    <row r="1356">
      <c r="AQ1356" s="45" t="s">
        <v>1011</v>
      </c>
    </row>
    <row r="1357">
      <c r="AQ1357" s="45" t="s">
        <v>1011</v>
      </c>
    </row>
    <row r="1358">
      <c r="AQ1358" s="45" t="s">
        <v>1011</v>
      </c>
    </row>
    <row r="1359">
      <c r="AQ1359" s="45" t="s">
        <v>1011</v>
      </c>
    </row>
    <row r="1360">
      <c r="AQ1360" s="45" t="s">
        <v>1011</v>
      </c>
    </row>
    <row r="1361">
      <c r="AQ1361" s="45" t="s">
        <v>1011</v>
      </c>
    </row>
    <row r="1362">
      <c r="AQ1362" s="45" t="s">
        <v>1011</v>
      </c>
    </row>
    <row r="1363">
      <c r="AQ1363" s="45" t="s">
        <v>1011</v>
      </c>
    </row>
    <row r="1364">
      <c r="AQ1364" s="45" t="s">
        <v>1011</v>
      </c>
    </row>
    <row r="1365">
      <c r="AQ1365" s="45" t="s">
        <v>1011</v>
      </c>
    </row>
    <row r="1366">
      <c r="AQ1366" s="45" t="s">
        <v>1011</v>
      </c>
    </row>
    <row r="1367">
      <c r="AQ1367" s="45" t="s">
        <v>1011</v>
      </c>
    </row>
    <row r="1368">
      <c r="AQ1368" s="45" t="s">
        <v>1011</v>
      </c>
    </row>
    <row r="1369">
      <c r="AQ1369" s="45" t="s">
        <v>1011</v>
      </c>
    </row>
    <row r="1370">
      <c r="AQ1370" s="45" t="s">
        <v>1011</v>
      </c>
    </row>
    <row r="1371">
      <c r="AQ1371" s="45" t="s">
        <v>1011</v>
      </c>
    </row>
    <row r="1372">
      <c r="AQ1372" s="45" t="s">
        <v>1011</v>
      </c>
    </row>
    <row r="1373">
      <c r="AQ1373" s="45" t="s">
        <v>1011</v>
      </c>
    </row>
    <row r="1374">
      <c r="AQ1374" s="45" t="s">
        <v>1011</v>
      </c>
    </row>
    <row r="1375">
      <c r="AQ1375" s="45" t="s">
        <v>1011</v>
      </c>
    </row>
    <row r="1376">
      <c r="AQ1376" s="45" t="s">
        <v>1011</v>
      </c>
    </row>
    <row r="1377">
      <c r="AQ1377" s="45" t="s">
        <v>1011</v>
      </c>
    </row>
    <row r="1378">
      <c r="AQ1378" s="45" t="s">
        <v>1011</v>
      </c>
    </row>
    <row r="1379">
      <c r="AQ1379" s="45" t="s">
        <v>1011</v>
      </c>
    </row>
    <row r="1380">
      <c r="AQ1380" s="45" t="s">
        <v>1011</v>
      </c>
    </row>
    <row r="1381">
      <c r="AQ1381" s="45" t="s">
        <v>1011</v>
      </c>
    </row>
    <row r="1382">
      <c r="AQ1382" s="45" t="s">
        <v>1011</v>
      </c>
    </row>
    <row r="1383">
      <c r="AQ1383" s="45" t="s">
        <v>1011</v>
      </c>
    </row>
    <row r="1384">
      <c r="AQ1384" s="45" t="s">
        <v>1011</v>
      </c>
    </row>
    <row r="1385">
      <c r="AQ1385" s="45" t="s">
        <v>1011</v>
      </c>
    </row>
    <row r="1386">
      <c r="AQ1386" s="45" t="s">
        <v>1011</v>
      </c>
    </row>
    <row r="1387">
      <c r="AQ1387" s="45" t="s">
        <v>1011</v>
      </c>
    </row>
    <row r="1388">
      <c r="AQ1388" s="45" t="s">
        <v>1011</v>
      </c>
    </row>
    <row r="1389">
      <c r="AQ1389" s="45" t="s">
        <v>1011</v>
      </c>
    </row>
    <row r="1390">
      <c r="AQ1390" s="45" t="s">
        <v>1011</v>
      </c>
    </row>
    <row r="1391">
      <c r="AQ1391" s="45" t="s">
        <v>1011</v>
      </c>
    </row>
    <row r="1392">
      <c r="AQ1392" s="45" t="s">
        <v>1011</v>
      </c>
    </row>
    <row r="1393">
      <c r="AQ1393" s="45" t="s">
        <v>1011</v>
      </c>
    </row>
    <row r="1394">
      <c r="AQ1394" s="45" t="s">
        <v>1011</v>
      </c>
    </row>
    <row r="1395">
      <c r="AQ1395" s="45" t="s">
        <v>1011</v>
      </c>
    </row>
    <row r="1396">
      <c r="AQ1396" s="45" t="s">
        <v>1011</v>
      </c>
    </row>
    <row r="1397">
      <c r="AQ1397" s="45" t="s">
        <v>1011</v>
      </c>
    </row>
    <row r="1398">
      <c r="AQ1398" s="45" t="s">
        <v>1011</v>
      </c>
    </row>
    <row r="1399">
      <c r="AQ1399" s="45" t="s">
        <v>1011</v>
      </c>
    </row>
    <row r="1400">
      <c r="AQ1400" s="45" t="s">
        <v>1011</v>
      </c>
    </row>
    <row r="1401">
      <c r="AQ1401" s="45" t="s">
        <v>1011</v>
      </c>
    </row>
    <row r="1402">
      <c r="AQ1402" s="45" t="s">
        <v>1011</v>
      </c>
    </row>
    <row r="1403">
      <c r="AQ1403" s="45" t="s">
        <v>1011</v>
      </c>
    </row>
    <row r="1404">
      <c r="AQ1404" s="45" t="s">
        <v>1011</v>
      </c>
    </row>
    <row r="1405">
      <c r="AQ1405" s="45" t="s">
        <v>1011</v>
      </c>
    </row>
    <row r="1406">
      <c r="AQ1406" s="45" t="s">
        <v>1011</v>
      </c>
    </row>
    <row r="1407">
      <c r="AQ1407" s="45" t="s">
        <v>1011</v>
      </c>
    </row>
    <row r="1408">
      <c r="AQ1408" s="45" t="s">
        <v>1011</v>
      </c>
    </row>
    <row r="1409">
      <c r="AQ1409" s="45" t="s">
        <v>1011</v>
      </c>
    </row>
    <row r="1410">
      <c r="AQ1410" s="45" t="s">
        <v>1011</v>
      </c>
    </row>
    <row r="1411">
      <c r="AQ1411" s="45" t="s">
        <v>1011</v>
      </c>
    </row>
    <row r="1412">
      <c r="AQ1412" s="45" t="s">
        <v>1011</v>
      </c>
    </row>
    <row r="1413">
      <c r="AQ1413" s="45" t="s">
        <v>1011</v>
      </c>
    </row>
    <row r="1414">
      <c r="AQ1414" s="45" t="s">
        <v>1011</v>
      </c>
    </row>
    <row r="1415">
      <c r="AQ1415" s="45" t="s">
        <v>1011</v>
      </c>
    </row>
    <row r="1416">
      <c r="AQ1416" s="45" t="s">
        <v>1011</v>
      </c>
    </row>
    <row r="1417">
      <c r="AQ1417" s="45" t="s">
        <v>1011</v>
      </c>
    </row>
    <row r="1418">
      <c r="AQ1418" s="45" t="s">
        <v>1011</v>
      </c>
    </row>
    <row r="1419">
      <c r="AQ1419" s="45" t="s">
        <v>1011</v>
      </c>
    </row>
    <row r="1420">
      <c r="AQ1420" s="45" t="s">
        <v>1011</v>
      </c>
    </row>
    <row r="1421">
      <c r="AQ1421" s="45" t="s">
        <v>1011</v>
      </c>
    </row>
    <row r="1422">
      <c r="AQ1422" s="45" t="s">
        <v>1011</v>
      </c>
    </row>
    <row r="1423">
      <c r="AQ1423" s="45" t="s">
        <v>1011</v>
      </c>
    </row>
    <row r="1424">
      <c r="AQ1424" s="45" t="s">
        <v>1011</v>
      </c>
    </row>
    <row r="1425">
      <c r="AQ1425" s="45" t="s">
        <v>1011</v>
      </c>
    </row>
    <row r="1426">
      <c r="AQ1426" s="45" t="s">
        <v>1011</v>
      </c>
    </row>
    <row r="1427">
      <c r="AQ1427" s="45" t="s">
        <v>1011</v>
      </c>
    </row>
    <row r="1428">
      <c r="AQ1428" s="45" t="s">
        <v>1011</v>
      </c>
    </row>
    <row r="1429">
      <c r="AQ1429" s="45" t="s">
        <v>1011</v>
      </c>
    </row>
    <row r="1430">
      <c r="AQ1430" s="45" t="s">
        <v>1011</v>
      </c>
    </row>
    <row r="1431">
      <c r="AQ1431" s="45" t="s">
        <v>1011</v>
      </c>
    </row>
    <row r="1432">
      <c r="AQ1432" s="45" t="s">
        <v>1011</v>
      </c>
    </row>
    <row r="1433">
      <c r="AQ1433" s="45" t="s">
        <v>1011</v>
      </c>
    </row>
    <row r="1434">
      <c r="AQ1434" s="45" t="s">
        <v>1011</v>
      </c>
    </row>
    <row r="1435">
      <c r="AQ1435" s="45" t="s">
        <v>1011</v>
      </c>
    </row>
    <row r="1436">
      <c r="AQ1436" s="45" t="s">
        <v>1011</v>
      </c>
    </row>
    <row r="1437">
      <c r="AQ1437" s="45" t="s">
        <v>1011</v>
      </c>
    </row>
    <row r="1438">
      <c r="AQ1438" s="45" t="s">
        <v>1011</v>
      </c>
    </row>
    <row r="1439">
      <c r="AQ1439" s="45" t="s">
        <v>1011</v>
      </c>
    </row>
    <row r="1440">
      <c r="AQ1440" s="45" t="s">
        <v>1011</v>
      </c>
    </row>
    <row r="1441">
      <c r="AQ1441" s="45" t="s">
        <v>1011</v>
      </c>
    </row>
    <row r="1442">
      <c r="AQ1442" s="45" t="s">
        <v>1011</v>
      </c>
    </row>
    <row r="1443">
      <c r="AQ1443" s="45" t="s">
        <v>1011</v>
      </c>
    </row>
    <row r="1444">
      <c r="AQ1444" s="45" t="s">
        <v>1011</v>
      </c>
    </row>
    <row r="1445">
      <c r="AQ1445" s="45" t="s">
        <v>1011</v>
      </c>
    </row>
    <row r="1446">
      <c r="AQ1446" s="45" t="s">
        <v>1011</v>
      </c>
    </row>
    <row r="1447">
      <c r="AQ1447" s="45" t="s">
        <v>1011</v>
      </c>
    </row>
    <row r="1448">
      <c r="AQ1448" s="45" t="s">
        <v>1011</v>
      </c>
    </row>
    <row r="1449">
      <c r="AQ1449" s="45" t="s">
        <v>1011</v>
      </c>
    </row>
    <row r="1450">
      <c r="AQ1450" s="45" t="s">
        <v>1011</v>
      </c>
    </row>
    <row r="1451">
      <c r="AQ1451" s="45" t="s">
        <v>1011</v>
      </c>
    </row>
    <row r="1452">
      <c r="AQ1452" s="45" t="s">
        <v>1011</v>
      </c>
    </row>
    <row r="1453">
      <c r="AQ1453" s="45" t="s">
        <v>1011</v>
      </c>
    </row>
    <row r="1454">
      <c r="AQ1454" s="45" t="s">
        <v>1011</v>
      </c>
    </row>
    <row r="1455">
      <c r="AQ1455" s="45" t="s">
        <v>1011</v>
      </c>
    </row>
    <row r="1456">
      <c r="AQ1456" s="45" t="s">
        <v>1011</v>
      </c>
    </row>
    <row r="1457">
      <c r="AQ1457" s="45" t="s">
        <v>1011</v>
      </c>
    </row>
    <row r="1458">
      <c r="AQ1458" s="45" t="s">
        <v>1011</v>
      </c>
    </row>
    <row r="1459">
      <c r="AQ1459" s="45" t="s">
        <v>1011</v>
      </c>
    </row>
    <row r="1460">
      <c r="AQ1460" s="45" t="s">
        <v>1011</v>
      </c>
    </row>
    <row r="1461">
      <c r="AQ1461" s="45" t="s">
        <v>1011</v>
      </c>
    </row>
    <row r="1462">
      <c r="AQ1462" s="45" t="s">
        <v>1011</v>
      </c>
    </row>
    <row r="1463">
      <c r="AQ1463" s="45" t="s">
        <v>1011</v>
      </c>
    </row>
    <row r="1464">
      <c r="AQ1464" s="45" t="s">
        <v>1011</v>
      </c>
    </row>
    <row r="1465">
      <c r="AQ1465" s="45" t="s">
        <v>1011</v>
      </c>
    </row>
    <row r="1466">
      <c r="AQ1466" s="45" t="s">
        <v>1011</v>
      </c>
    </row>
    <row r="1467">
      <c r="AQ1467" s="45" t="s">
        <v>1011</v>
      </c>
    </row>
    <row r="1468">
      <c r="AQ1468" s="45" t="s">
        <v>1011</v>
      </c>
    </row>
    <row r="1469">
      <c r="AQ1469" s="45" t="s">
        <v>1011</v>
      </c>
    </row>
    <row r="1470">
      <c r="AQ1470" s="45" t="s">
        <v>1011</v>
      </c>
    </row>
    <row r="1471">
      <c r="AQ1471" s="45" t="s">
        <v>1011</v>
      </c>
    </row>
    <row r="1472">
      <c r="AQ1472" s="45" t="s">
        <v>1011</v>
      </c>
    </row>
    <row r="1473">
      <c r="AQ1473" s="45" t="s">
        <v>1011</v>
      </c>
    </row>
    <row r="1474">
      <c r="AQ1474" s="45" t="s">
        <v>1011</v>
      </c>
    </row>
    <row r="1475">
      <c r="AQ1475" s="45" t="s">
        <v>1011</v>
      </c>
    </row>
    <row r="1476">
      <c r="AQ1476" s="45" t="s">
        <v>1011</v>
      </c>
    </row>
    <row r="1477">
      <c r="AQ1477" s="45" t="s">
        <v>1011</v>
      </c>
    </row>
    <row r="1478">
      <c r="AQ1478" s="45" t="s">
        <v>1011</v>
      </c>
    </row>
    <row r="1479">
      <c r="AQ1479" s="45" t="s">
        <v>1011</v>
      </c>
    </row>
    <row r="1480">
      <c r="AQ1480" s="45" t="s">
        <v>1011</v>
      </c>
    </row>
    <row r="1481">
      <c r="AQ1481" s="45" t="s">
        <v>1011</v>
      </c>
    </row>
    <row r="1482">
      <c r="AQ1482" s="45" t="s">
        <v>1011</v>
      </c>
    </row>
    <row r="1483">
      <c r="AQ1483" s="45" t="s">
        <v>1011</v>
      </c>
    </row>
    <row r="1484">
      <c r="AQ1484" s="45" t="s">
        <v>1011</v>
      </c>
    </row>
    <row r="1485">
      <c r="AQ1485" s="45" t="s">
        <v>1011</v>
      </c>
    </row>
    <row r="1486">
      <c r="AQ1486" s="45" t="s">
        <v>1011</v>
      </c>
    </row>
    <row r="1487">
      <c r="AQ1487" s="45" t="s">
        <v>1011</v>
      </c>
    </row>
    <row r="1488">
      <c r="AQ1488" s="45" t="s">
        <v>1011</v>
      </c>
    </row>
    <row r="1489">
      <c r="AQ1489" s="45" t="s">
        <v>1011</v>
      </c>
    </row>
    <row r="1490">
      <c r="AQ1490" s="45" t="s">
        <v>1011</v>
      </c>
    </row>
    <row r="1491">
      <c r="AQ1491" s="45" t="s">
        <v>1011</v>
      </c>
    </row>
    <row r="1492">
      <c r="AQ1492" s="45" t="s">
        <v>1011</v>
      </c>
    </row>
    <row r="1493">
      <c r="AQ1493" s="45" t="s">
        <v>1011</v>
      </c>
    </row>
    <row r="1494">
      <c r="AQ1494" s="45" t="s">
        <v>1011</v>
      </c>
    </row>
    <row r="1495">
      <c r="AQ1495" s="45" t="s">
        <v>1011</v>
      </c>
    </row>
    <row r="1496">
      <c r="AQ1496" s="45" t="s">
        <v>1011</v>
      </c>
    </row>
    <row r="1497">
      <c r="AQ1497" s="45" t="s">
        <v>1011</v>
      </c>
    </row>
    <row r="1498">
      <c r="AQ1498" s="45" t="s">
        <v>1011</v>
      </c>
    </row>
    <row r="1499">
      <c r="AQ1499" s="45" t="s">
        <v>1011</v>
      </c>
    </row>
    <row r="1500">
      <c r="AQ1500" s="45" t="s">
        <v>1011</v>
      </c>
    </row>
    <row r="1501">
      <c r="AQ1501" s="45" t="s">
        <v>1011</v>
      </c>
    </row>
    <row r="1502">
      <c r="AQ1502" s="45" t="s">
        <v>1011</v>
      </c>
    </row>
    <row r="1503">
      <c r="AQ1503" s="45" t="s">
        <v>1011</v>
      </c>
    </row>
    <row r="1504">
      <c r="AQ1504" s="45" t="s">
        <v>1011</v>
      </c>
    </row>
    <row r="1505">
      <c r="AQ1505" s="45" t="s">
        <v>1011</v>
      </c>
    </row>
    <row r="1506">
      <c r="AQ1506" s="45" t="s">
        <v>1011</v>
      </c>
    </row>
    <row r="1507">
      <c r="AQ1507" s="45" t="s">
        <v>1011</v>
      </c>
    </row>
    <row r="1508">
      <c r="AQ1508" s="45" t="s">
        <v>1011</v>
      </c>
    </row>
    <row r="1509">
      <c r="AQ1509" s="45" t="s">
        <v>1011</v>
      </c>
    </row>
    <row r="1510">
      <c r="AQ1510" s="45" t="s">
        <v>1011</v>
      </c>
    </row>
    <row r="1511">
      <c r="AQ1511" s="45" t="s">
        <v>1011</v>
      </c>
    </row>
    <row r="1512">
      <c r="AQ1512" s="45" t="s">
        <v>1011</v>
      </c>
    </row>
    <row r="1513">
      <c r="AQ1513" s="45" t="s">
        <v>1011</v>
      </c>
    </row>
    <row r="1514">
      <c r="AQ1514" s="45" t="s">
        <v>1011</v>
      </c>
    </row>
    <row r="1515">
      <c r="AQ1515" s="45" t="s">
        <v>1011</v>
      </c>
    </row>
    <row r="1516">
      <c r="AQ1516" s="45" t="s">
        <v>1011</v>
      </c>
    </row>
    <row r="1517">
      <c r="AQ1517" s="45" t="s">
        <v>1011</v>
      </c>
    </row>
    <row r="1518">
      <c r="AQ1518" s="45" t="s">
        <v>1011</v>
      </c>
    </row>
    <row r="1519">
      <c r="AQ1519" s="45" t="s">
        <v>1011</v>
      </c>
    </row>
    <row r="1520">
      <c r="AQ1520" s="45" t="s">
        <v>1011</v>
      </c>
    </row>
    <row r="1521">
      <c r="AQ1521" s="45" t="s">
        <v>1011</v>
      </c>
    </row>
    <row r="1522">
      <c r="AQ1522" s="45" t="s">
        <v>1011</v>
      </c>
    </row>
    <row r="1523">
      <c r="AQ1523" s="45" t="s">
        <v>1011</v>
      </c>
    </row>
    <row r="1524">
      <c r="AQ1524" s="45" t="s">
        <v>1011</v>
      </c>
    </row>
    <row r="1525">
      <c r="AQ1525" s="45" t="s">
        <v>1011</v>
      </c>
    </row>
    <row r="1526">
      <c r="AQ1526" s="45" t="s">
        <v>1011</v>
      </c>
    </row>
    <row r="1527">
      <c r="AQ1527" s="45" t="s">
        <v>1011</v>
      </c>
    </row>
    <row r="1528">
      <c r="AQ1528" s="45" t="s">
        <v>1011</v>
      </c>
    </row>
    <row r="1529">
      <c r="AQ1529" s="45" t="s">
        <v>1011</v>
      </c>
    </row>
    <row r="1530">
      <c r="AQ1530" s="45" t="s">
        <v>1011</v>
      </c>
    </row>
    <row r="1531">
      <c r="AQ1531" s="45" t="s">
        <v>1011</v>
      </c>
    </row>
    <row r="1532">
      <c r="AQ1532" s="45" t="s">
        <v>1011</v>
      </c>
    </row>
    <row r="1533">
      <c r="AQ1533" s="45" t="s">
        <v>1011</v>
      </c>
    </row>
    <row r="1534">
      <c r="AQ1534" s="45" t="s">
        <v>1011</v>
      </c>
    </row>
    <row r="1535">
      <c r="AQ1535" s="45" t="s">
        <v>1011</v>
      </c>
    </row>
    <row r="1536">
      <c r="AQ1536" s="45" t="s">
        <v>1011</v>
      </c>
    </row>
    <row r="1537">
      <c r="AQ1537" s="45" t="s">
        <v>1011</v>
      </c>
    </row>
    <row r="1538">
      <c r="AQ1538" s="45" t="s">
        <v>1011</v>
      </c>
    </row>
    <row r="1539">
      <c r="AQ1539" s="45" t="s">
        <v>1011</v>
      </c>
    </row>
    <row r="1540">
      <c r="AQ1540" s="45" t="s">
        <v>1011</v>
      </c>
    </row>
    <row r="1541">
      <c r="AQ1541" s="45" t="s">
        <v>1011</v>
      </c>
    </row>
    <row r="1542">
      <c r="AQ1542" s="45" t="s">
        <v>1011</v>
      </c>
    </row>
    <row r="1543">
      <c r="AQ1543" s="45" t="s">
        <v>1011</v>
      </c>
    </row>
    <row r="1544">
      <c r="AQ1544" s="45" t="s">
        <v>1011</v>
      </c>
    </row>
    <row r="1545">
      <c r="AQ1545" s="45" t="s">
        <v>1011</v>
      </c>
    </row>
    <row r="1546">
      <c r="AQ1546" s="45" t="s">
        <v>1011</v>
      </c>
    </row>
    <row r="1547">
      <c r="AQ1547" s="45" t="s">
        <v>1011</v>
      </c>
    </row>
    <row r="1548">
      <c r="AQ1548" s="45" t="s">
        <v>1011</v>
      </c>
    </row>
    <row r="1549">
      <c r="AQ1549" s="45" t="s">
        <v>1011</v>
      </c>
    </row>
    <row r="1550">
      <c r="AQ1550" s="45" t="s">
        <v>1011</v>
      </c>
    </row>
    <row r="1551">
      <c r="AQ1551" s="45" t="s">
        <v>1011</v>
      </c>
    </row>
    <row r="1552">
      <c r="AQ1552" s="45" t="s">
        <v>1011</v>
      </c>
    </row>
    <row r="1553">
      <c r="AQ1553" s="45" t="s">
        <v>1011</v>
      </c>
    </row>
    <row r="1554">
      <c r="AQ1554" s="45" t="s">
        <v>1011</v>
      </c>
    </row>
    <row r="1555">
      <c r="AQ1555" s="45" t="s">
        <v>1011</v>
      </c>
    </row>
    <row r="1556">
      <c r="AQ1556" s="45" t="s">
        <v>1011</v>
      </c>
    </row>
    <row r="1557">
      <c r="AQ1557" s="45" t="s">
        <v>1011</v>
      </c>
    </row>
    <row r="1558">
      <c r="AQ1558" s="45" t="s">
        <v>1011</v>
      </c>
    </row>
    <row r="1559">
      <c r="AQ1559" s="45" t="s">
        <v>1011</v>
      </c>
    </row>
    <row r="1560">
      <c r="AQ1560" s="45" t="s">
        <v>1011</v>
      </c>
    </row>
    <row r="1561">
      <c r="AQ1561" s="45" t="s">
        <v>1011</v>
      </c>
    </row>
    <row r="1562">
      <c r="AQ1562" s="45" t="s">
        <v>1011</v>
      </c>
    </row>
    <row r="1563">
      <c r="AQ1563" s="45" t="s">
        <v>1011</v>
      </c>
    </row>
    <row r="1564">
      <c r="AQ1564" s="45" t="s">
        <v>1011</v>
      </c>
    </row>
    <row r="1565">
      <c r="AQ1565" s="45" t="s">
        <v>1011</v>
      </c>
    </row>
    <row r="1566">
      <c r="AQ1566" s="45" t="s">
        <v>1011</v>
      </c>
    </row>
    <row r="1567">
      <c r="AQ1567" s="45" t="s">
        <v>1011</v>
      </c>
    </row>
    <row r="1568">
      <c r="AQ1568" s="45" t="s">
        <v>1011</v>
      </c>
    </row>
    <row r="1569">
      <c r="AQ1569" s="45" t="s">
        <v>1011</v>
      </c>
    </row>
    <row r="1570">
      <c r="AQ1570" s="45" t="s">
        <v>1011</v>
      </c>
    </row>
    <row r="1571">
      <c r="AQ1571" s="45" t="s">
        <v>1011</v>
      </c>
    </row>
    <row r="1572">
      <c r="AQ1572" s="45" t="s">
        <v>1011</v>
      </c>
    </row>
    <row r="1573">
      <c r="AQ1573" s="45" t="s">
        <v>1011</v>
      </c>
    </row>
    <row r="1574">
      <c r="AQ1574" s="45" t="s">
        <v>1011</v>
      </c>
    </row>
    <row r="1575">
      <c r="AQ1575" s="45" t="s">
        <v>1011</v>
      </c>
    </row>
    <row r="1576">
      <c r="AQ1576" s="45" t="s">
        <v>1011</v>
      </c>
    </row>
    <row r="1577">
      <c r="AQ1577" s="45" t="s">
        <v>1011</v>
      </c>
    </row>
    <row r="1578">
      <c r="AQ1578" s="45" t="s">
        <v>1011</v>
      </c>
    </row>
    <row r="1579">
      <c r="AQ1579" s="45" t="s">
        <v>1011</v>
      </c>
    </row>
    <row r="1580">
      <c r="AQ1580" s="45" t="s">
        <v>1011</v>
      </c>
    </row>
    <row r="1581">
      <c r="AQ1581" s="45" t="s">
        <v>1011</v>
      </c>
    </row>
    <row r="1582">
      <c r="AQ1582" s="45" t="s">
        <v>1011</v>
      </c>
    </row>
    <row r="1583">
      <c r="AQ1583" s="45" t="s">
        <v>1011</v>
      </c>
    </row>
    <row r="1584">
      <c r="AQ1584" s="45" t="s">
        <v>1011</v>
      </c>
    </row>
    <row r="1585">
      <c r="AQ1585" s="45" t="s">
        <v>1011</v>
      </c>
    </row>
    <row r="1586">
      <c r="AQ1586" s="45" t="s">
        <v>1011</v>
      </c>
    </row>
    <row r="1587">
      <c r="AQ1587" s="45" t="s">
        <v>1011</v>
      </c>
    </row>
    <row r="1588">
      <c r="AQ1588" s="45" t="s">
        <v>1011</v>
      </c>
    </row>
    <row r="1589">
      <c r="AQ1589" s="45" t="s">
        <v>1011</v>
      </c>
    </row>
    <row r="1590">
      <c r="AQ1590" s="45" t="s">
        <v>1011</v>
      </c>
    </row>
    <row r="1591">
      <c r="AQ1591" s="45" t="s">
        <v>1011</v>
      </c>
    </row>
    <row r="1592">
      <c r="AQ1592" s="45" t="s">
        <v>1011</v>
      </c>
    </row>
    <row r="1593">
      <c r="AQ1593" s="45" t="s">
        <v>1011</v>
      </c>
    </row>
    <row r="1594">
      <c r="AQ1594" s="45" t="s">
        <v>1011</v>
      </c>
    </row>
    <row r="1595">
      <c r="AQ1595" s="45" t="s">
        <v>1011</v>
      </c>
    </row>
    <row r="1596">
      <c r="AQ1596" s="45" t="s">
        <v>1011</v>
      </c>
    </row>
    <row r="1597">
      <c r="AQ1597" s="45" t="s">
        <v>1011</v>
      </c>
    </row>
    <row r="1598">
      <c r="AQ1598" s="45" t="s">
        <v>1011</v>
      </c>
    </row>
    <row r="1599">
      <c r="AQ1599" s="45" t="s">
        <v>1011</v>
      </c>
    </row>
    <row r="1600">
      <c r="AQ1600" s="45" t="s">
        <v>1011</v>
      </c>
    </row>
    <row r="1601">
      <c r="AQ1601" s="45" t="s">
        <v>1011</v>
      </c>
    </row>
    <row r="1602">
      <c r="AQ1602" s="45" t="s">
        <v>1011</v>
      </c>
    </row>
    <row r="1603">
      <c r="AQ1603" s="45" t="s">
        <v>1011</v>
      </c>
    </row>
    <row r="1604">
      <c r="AQ1604" s="45" t="s">
        <v>1011</v>
      </c>
    </row>
    <row r="1605">
      <c r="AQ1605" s="45" t="s">
        <v>1011</v>
      </c>
    </row>
    <row r="1606">
      <c r="AQ1606" s="45" t="s">
        <v>1011</v>
      </c>
    </row>
    <row r="1607">
      <c r="AQ1607" s="45" t="s">
        <v>1011</v>
      </c>
    </row>
    <row r="1608">
      <c r="AQ1608" s="45" t="s">
        <v>1011</v>
      </c>
    </row>
    <row r="1609">
      <c r="AQ1609" s="45" t="s">
        <v>1011</v>
      </c>
    </row>
    <row r="1610">
      <c r="AQ1610" s="45" t="s">
        <v>1011</v>
      </c>
    </row>
    <row r="1611">
      <c r="AQ1611" s="45" t="s">
        <v>1011</v>
      </c>
    </row>
    <row r="1612">
      <c r="AQ1612" s="45" t="s">
        <v>1011</v>
      </c>
    </row>
    <row r="1613">
      <c r="AQ1613" s="45" t="s">
        <v>1011</v>
      </c>
    </row>
    <row r="1614">
      <c r="AQ1614" s="45" t="s">
        <v>1011</v>
      </c>
    </row>
    <row r="1615">
      <c r="AQ1615" s="45" t="s">
        <v>1011</v>
      </c>
    </row>
    <row r="1616">
      <c r="AQ1616" s="45" t="s">
        <v>1011</v>
      </c>
    </row>
    <row r="1617">
      <c r="AQ1617" s="45" t="s">
        <v>1011</v>
      </c>
    </row>
    <row r="1618">
      <c r="AQ1618" s="45" t="s">
        <v>1011</v>
      </c>
    </row>
    <row r="1619">
      <c r="AQ1619" s="45" t="s">
        <v>1011</v>
      </c>
    </row>
    <row r="1620">
      <c r="AQ1620" s="45" t="s">
        <v>1011</v>
      </c>
    </row>
    <row r="1621">
      <c r="AQ1621" s="45" t="s">
        <v>1011</v>
      </c>
    </row>
    <row r="1622">
      <c r="AQ1622" s="45" t="s">
        <v>1011</v>
      </c>
    </row>
    <row r="1623">
      <c r="AQ1623" s="45" t="s">
        <v>1011</v>
      </c>
    </row>
    <row r="1624">
      <c r="AQ1624" s="45" t="s">
        <v>1011</v>
      </c>
    </row>
    <row r="1625">
      <c r="AQ1625" s="45" t="s">
        <v>1011</v>
      </c>
    </row>
    <row r="1626">
      <c r="AQ1626" s="45" t="s">
        <v>1011</v>
      </c>
    </row>
    <row r="1627">
      <c r="AQ1627" s="45" t="s">
        <v>1011</v>
      </c>
    </row>
    <row r="1628">
      <c r="AQ1628" s="45" t="s">
        <v>1011</v>
      </c>
    </row>
    <row r="1629">
      <c r="AQ1629" s="45" t="s">
        <v>1011</v>
      </c>
    </row>
    <row r="1630">
      <c r="AQ1630" s="45" t="s">
        <v>1011</v>
      </c>
    </row>
    <row r="1631">
      <c r="AQ1631" s="45" t="s">
        <v>1011</v>
      </c>
    </row>
    <row r="1632">
      <c r="AQ1632" s="45" t="s">
        <v>1011</v>
      </c>
    </row>
    <row r="1633">
      <c r="AQ1633" s="45" t="s">
        <v>1011</v>
      </c>
    </row>
    <row r="1634">
      <c r="AQ1634" s="45" t="s">
        <v>1011</v>
      </c>
    </row>
    <row r="1635">
      <c r="AQ1635" s="45" t="s">
        <v>1011</v>
      </c>
    </row>
    <row r="1636">
      <c r="AQ1636" s="45" t="s">
        <v>1011</v>
      </c>
    </row>
    <row r="1637">
      <c r="AQ1637" s="45" t="s">
        <v>1011</v>
      </c>
    </row>
    <row r="1638">
      <c r="AQ1638" s="45" t="s">
        <v>1011</v>
      </c>
    </row>
    <row r="1639">
      <c r="AQ1639" s="45" t="s">
        <v>1011</v>
      </c>
    </row>
    <row r="1640">
      <c r="AQ1640" s="45" t="s">
        <v>1011</v>
      </c>
    </row>
    <row r="1641">
      <c r="AQ1641" s="45" t="s">
        <v>1011</v>
      </c>
    </row>
    <row r="1642">
      <c r="AQ1642" s="45" t="s">
        <v>1011</v>
      </c>
    </row>
    <row r="1643">
      <c r="AQ1643" s="45" t="s">
        <v>1011</v>
      </c>
    </row>
    <row r="1644">
      <c r="AQ1644" s="45" t="s">
        <v>1011</v>
      </c>
    </row>
    <row r="1645">
      <c r="AQ1645" s="45" t="s">
        <v>1011</v>
      </c>
    </row>
    <row r="1646">
      <c r="AQ1646" s="45" t="s">
        <v>1011</v>
      </c>
    </row>
    <row r="1647">
      <c r="AQ1647" s="45" t="s">
        <v>1011</v>
      </c>
    </row>
    <row r="1648">
      <c r="AQ1648" s="45" t="s">
        <v>1011</v>
      </c>
    </row>
    <row r="1649">
      <c r="AQ1649" s="45" t="s">
        <v>1011</v>
      </c>
    </row>
    <row r="1650">
      <c r="AQ1650" s="45" t="s">
        <v>1011</v>
      </c>
    </row>
    <row r="1651">
      <c r="AQ1651" s="45" t="s">
        <v>1011</v>
      </c>
    </row>
    <row r="1652">
      <c r="AQ1652" s="45" t="s">
        <v>1011</v>
      </c>
    </row>
    <row r="1653">
      <c r="AQ1653" s="45" t="s">
        <v>1011</v>
      </c>
    </row>
    <row r="1654">
      <c r="AQ1654" s="45" t="s">
        <v>1011</v>
      </c>
    </row>
    <row r="1655">
      <c r="AQ1655" s="45" t="s">
        <v>1011</v>
      </c>
    </row>
    <row r="1656">
      <c r="AQ1656" s="45" t="s">
        <v>1011</v>
      </c>
    </row>
    <row r="1657">
      <c r="AQ1657" s="45" t="s">
        <v>1011</v>
      </c>
    </row>
    <row r="1658">
      <c r="AQ1658" s="45" t="s">
        <v>1011</v>
      </c>
    </row>
    <row r="1659">
      <c r="AQ1659" s="45" t="s">
        <v>1011</v>
      </c>
    </row>
    <row r="1660">
      <c r="AQ1660" s="45" t="s">
        <v>1011</v>
      </c>
    </row>
    <row r="1661">
      <c r="AQ1661" s="45" t="s">
        <v>1011</v>
      </c>
    </row>
    <row r="1662">
      <c r="AQ1662" s="45" t="s">
        <v>1011</v>
      </c>
    </row>
    <row r="1663">
      <c r="AQ1663" s="45" t="s">
        <v>1011</v>
      </c>
    </row>
    <row r="1664">
      <c r="AQ1664" s="45" t="s">
        <v>1011</v>
      </c>
    </row>
    <row r="1665">
      <c r="AQ1665" s="45" t="s">
        <v>1011</v>
      </c>
    </row>
    <row r="1666">
      <c r="AQ1666" s="45" t="s">
        <v>1011</v>
      </c>
    </row>
    <row r="1667">
      <c r="AQ1667" s="45" t="s">
        <v>1011</v>
      </c>
    </row>
    <row r="1668">
      <c r="AQ1668" s="45" t="s">
        <v>1011</v>
      </c>
    </row>
    <row r="1669">
      <c r="AQ1669" s="45" t="s">
        <v>1011</v>
      </c>
    </row>
    <row r="1670">
      <c r="AQ1670" s="45" t="s">
        <v>1011</v>
      </c>
    </row>
    <row r="1671">
      <c r="AQ1671" s="45" t="s">
        <v>1011</v>
      </c>
    </row>
    <row r="1672">
      <c r="AQ1672" s="45" t="s">
        <v>1011</v>
      </c>
    </row>
    <row r="1673">
      <c r="AQ1673" s="45" t="s">
        <v>1011</v>
      </c>
    </row>
    <row r="1674">
      <c r="AQ1674" s="45" t="s">
        <v>1011</v>
      </c>
    </row>
    <row r="1675">
      <c r="AQ1675" s="45" t="s">
        <v>1011</v>
      </c>
    </row>
    <row r="1676">
      <c r="AQ1676" s="45" t="s">
        <v>1011</v>
      </c>
    </row>
    <row r="1677">
      <c r="AQ1677" s="45" t="s">
        <v>1011</v>
      </c>
    </row>
    <row r="1678">
      <c r="AQ1678" s="45" t="s">
        <v>1011</v>
      </c>
    </row>
    <row r="1679">
      <c r="AQ1679" s="45" t="s">
        <v>1011</v>
      </c>
    </row>
    <row r="1680">
      <c r="AQ1680" s="45" t="s">
        <v>1011</v>
      </c>
    </row>
    <row r="1681">
      <c r="AQ1681" s="45" t="s">
        <v>1011</v>
      </c>
    </row>
    <row r="1682">
      <c r="AQ1682" s="45" t="s">
        <v>1011</v>
      </c>
    </row>
    <row r="1683">
      <c r="AQ1683" s="45" t="s">
        <v>1011</v>
      </c>
    </row>
    <row r="1684">
      <c r="AQ1684" s="45" t="s">
        <v>1011</v>
      </c>
    </row>
    <row r="1685">
      <c r="AQ1685" s="45" t="s">
        <v>1011</v>
      </c>
    </row>
    <row r="1686">
      <c r="AQ1686" s="45" t="s">
        <v>1011</v>
      </c>
    </row>
    <row r="1687">
      <c r="AQ1687" s="45" t="s">
        <v>1011</v>
      </c>
    </row>
    <row r="1688">
      <c r="AQ1688" s="45" t="s">
        <v>1011</v>
      </c>
    </row>
    <row r="1689">
      <c r="AQ1689" s="45" t="s">
        <v>1011</v>
      </c>
    </row>
    <row r="1690">
      <c r="AQ1690" s="45" t="s">
        <v>1011</v>
      </c>
    </row>
    <row r="1691">
      <c r="AQ1691" s="45" t="s">
        <v>1011</v>
      </c>
    </row>
    <row r="1692">
      <c r="AQ1692" s="45" t="s">
        <v>1011</v>
      </c>
    </row>
    <row r="1693">
      <c r="AQ1693" s="45" t="s">
        <v>1011</v>
      </c>
    </row>
    <row r="1694">
      <c r="AQ1694" s="45" t="s">
        <v>1011</v>
      </c>
    </row>
    <row r="1695">
      <c r="AQ1695" s="45" t="s">
        <v>1011</v>
      </c>
    </row>
    <row r="1696">
      <c r="AQ1696" s="45" t="s">
        <v>1011</v>
      </c>
    </row>
    <row r="1697">
      <c r="AQ1697" s="45" t="s">
        <v>1011</v>
      </c>
    </row>
    <row r="1698">
      <c r="AQ1698" s="45" t="s">
        <v>1011</v>
      </c>
    </row>
    <row r="1699">
      <c r="AQ1699" s="45" t="s">
        <v>1011</v>
      </c>
    </row>
    <row r="1700">
      <c r="AQ1700" s="45" t="s">
        <v>1011</v>
      </c>
    </row>
    <row r="1701">
      <c r="AQ1701" s="45" t="s">
        <v>1011</v>
      </c>
    </row>
    <row r="1702">
      <c r="AQ1702" s="45" t="s">
        <v>1011</v>
      </c>
    </row>
    <row r="1703">
      <c r="AQ1703" s="45" t="s">
        <v>1011</v>
      </c>
    </row>
    <row r="1704">
      <c r="AQ1704" s="45" t="s">
        <v>1011</v>
      </c>
    </row>
    <row r="1705">
      <c r="AQ1705" s="45" t="s">
        <v>1011</v>
      </c>
    </row>
    <row r="1706">
      <c r="AQ1706" s="45" t="s">
        <v>1011</v>
      </c>
    </row>
    <row r="1707">
      <c r="AQ1707" s="45" t="s">
        <v>1011</v>
      </c>
    </row>
    <row r="1708">
      <c r="AQ1708" s="45" t="s">
        <v>1011</v>
      </c>
    </row>
    <row r="1709">
      <c r="AQ1709" s="45" t="s">
        <v>1011</v>
      </c>
    </row>
    <row r="1710">
      <c r="AQ1710" s="45" t="s">
        <v>1011</v>
      </c>
    </row>
    <row r="1711">
      <c r="AQ1711" s="45" t="s">
        <v>1011</v>
      </c>
    </row>
    <row r="1712">
      <c r="AQ1712" s="45" t="s">
        <v>1011</v>
      </c>
    </row>
    <row r="1713">
      <c r="AQ1713" s="45" t="s">
        <v>1011</v>
      </c>
    </row>
    <row r="1714">
      <c r="AQ1714" s="45" t="s">
        <v>1011</v>
      </c>
    </row>
    <row r="1715">
      <c r="AQ1715" s="45" t="s">
        <v>1011</v>
      </c>
    </row>
    <row r="1716">
      <c r="AQ1716" s="45" t="s">
        <v>1011</v>
      </c>
    </row>
    <row r="1717">
      <c r="AQ1717" s="45" t="s">
        <v>1011</v>
      </c>
    </row>
    <row r="1718">
      <c r="AQ1718" s="45" t="s">
        <v>1011</v>
      </c>
    </row>
    <row r="1719">
      <c r="AQ1719" s="45" t="s">
        <v>1011</v>
      </c>
    </row>
    <row r="1720">
      <c r="AQ1720" s="45" t="s">
        <v>1011</v>
      </c>
    </row>
    <row r="1721">
      <c r="AQ1721" s="45" t="s">
        <v>1011</v>
      </c>
    </row>
    <row r="1722">
      <c r="AQ1722" s="45" t="s">
        <v>1011</v>
      </c>
    </row>
    <row r="1723">
      <c r="AQ1723" s="45" t="s">
        <v>1011</v>
      </c>
    </row>
    <row r="1724">
      <c r="AQ1724" s="45" t="s">
        <v>1011</v>
      </c>
    </row>
    <row r="1725">
      <c r="AQ1725" s="45" t="s">
        <v>1011</v>
      </c>
    </row>
    <row r="1726">
      <c r="AQ1726" s="45" t="s">
        <v>1011</v>
      </c>
    </row>
    <row r="1727">
      <c r="AQ1727" s="45" t="s">
        <v>1011</v>
      </c>
    </row>
    <row r="1728">
      <c r="AQ1728" s="45" t="s">
        <v>1011</v>
      </c>
    </row>
    <row r="1729">
      <c r="AQ1729" s="45" t="s">
        <v>1011</v>
      </c>
    </row>
    <row r="1730">
      <c r="AQ1730" s="45" t="s">
        <v>1011</v>
      </c>
    </row>
    <row r="1731">
      <c r="AQ1731" s="45" t="s">
        <v>1011</v>
      </c>
    </row>
    <row r="1732">
      <c r="AQ1732" s="45" t="s">
        <v>1011</v>
      </c>
    </row>
    <row r="1733">
      <c r="AQ1733" s="45" t="s">
        <v>1011</v>
      </c>
    </row>
    <row r="1734">
      <c r="AQ1734" s="45" t="s">
        <v>1011</v>
      </c>
    </row>
    <row r="1735">
      <c r="AQ1735" s="45" t="s">
        <v>1011</v>
      </c>
    </row>
    <row r="1736">
      <c r="AQ1736" s="45" t="s">
        <v>1011</v>
      </c>
    </row>
    <row r="1737">
      <c r="AQ1737" s="45" t="s">
        <v>1011</v>
      </c>
    </row>
    <row r="1738">
      <c r="AQ1738" s="45" t="s">
        <v>1011</v>
      </c>
    </row>
    <row r="1739">
      <c r="AQ1739" s="45" t="s">
        <v>1011</v>
      </c>
    </row>
    <row r="1740">
      <c r="AQ1740" s="45" t="s">
        <v>1011</v>
      </c>
    </row>
    <row r="1741">
      <c r="AQ1741" s="45" t="s">
        <v>1011</v>
      </c>
    </row>
    <row r="1742">
      <c r="AQ1742" s="45" t="s">
        <v>1011</v>
      </c>
    </row>
    <row r="1743">
      <c r="AQ1743" s="45" t="s">
        <v>1011</v>
      </c>
    </row>
    <row r="1744">
      <c r="AQ1744" s="45" t="s">
        <v>1011</v>
      </c>
    </row>
    <row r="1745">
      <c r="AQ1745" s="45" t="s">
        <v>1011</v>
      </c>
    </row>
    <row r="1746">
      <c r="AQ1746" s="45" t="s">
        <v>1011</v>
      </c>
    </row>
    <row r="1747">
      <c r="AQ1747" s="45" t="s">
        <v>1011</v>
      </c>
    </row>
    <row r="1748">
      <c r="AQ1748" s="45" t="s">
        <v>1011</v>
      </c>
    </row>
    <row r="1749">
      <c r="AQ1749" s="45" t="s">
        <v>1011</v>
      </c>
    </row>
    <row r="1750">
      <c r="AQ1750" s="45" t="s">
        <v>1011</v>
      </c>
    </row>
    <row r="1751">
      <c r="AQ1751" s="45" t="s">
        <v>1011</v>
      </c>
    </row>
    <row r="1752">
      <c r="AQ1752" s="45" t="s">
        <v>1011</v>
      </c>
    </row>
    <row r="1753">
      <c r="AQ1753" s="45" t="s">
        <v>1011</v>
      </c>
    </row>
    <row r="1754">
      <c r="AQ1754" s="45" t="s">
        <v>1011</v>
      </c>
    </row>
    <row r="1755">
      <c r="AQ1755" s="45" t="s">
        <v>1011</v>
      </c>
    </row>
    <row r="1756">
      <c r="AQ1756" s="45" t="s">
        <v>1011</v>
      </c>
    </row>
    <row r="1757">
      <c r="AQ1757" s="45" t="s">
        <v>1011</v>
      </c>
    </row>
    <row r="1758">
      <c r="AQ1758" s="45" t="s">
        <v>1011</v>
      </c>
    </row>
    <row r="1759">
      <c r="AQ1759" s="45" t="s">
        <v>1011</v>
      </c>
    </row>
    <row r="1760">
      <c r="AQ1760" s="45" t="s">
        <v>1011</v>
      </c>
    </row>
    <row r="1761">
      <c r="AQ1761" s="45" t="s">
        <v>1011</v>
      </c>
    </row>
    <row r="1762">
      <c r="AQ1762" s="45" t="s">
        <v>1011</v>
      </c>
    </row>
    <row r="1763">
      <c r="AQ1763" s="45" t="s">
        <v>1011</v>
      </c>
    </row>
    <row r="1764">
      <c r="AQ1764" s="45" t="s">
        <v>1011</v>
      </c>
    </row>
    <row r="1765">
      <c r="AQ1765" s="45" t="s">
        <v>1011</v>
      </c>
    </row>
    <row r="1766">
      <c r="AQ1766" s="45" t="s">
        <v>1011</v>
      </c>
    </row>
    <row r="1767">
      <c r="AQ1767" s="45" t="s">
        <v>1011</v>
      </c>
    </row>
    <row r="1768">
      <c r="AQ1768" s="45" t="s">
        <v>1011</v>
      </c>
    </row>
    <row r="1769">
      <c r="AQ1769" s="45" t="s">
        <v>1011</v>
      </c>
    </row>
    <row r="1770">
      <c r="AQ1770" s="45" t="s">
        <v>1011</v>
      </c>
    </row>
    <row r="1771">
      <c r="AQ1771" s="45" t="s">
        <v>1011</v>
      </c>
    </row>
    <row r="1772">
      <c r="AQ1772" s="45" t="s">
        <v>1011</v>
      </c>
    </row>
    <row r="1773">
      <c r="AQ1773" s="45" t="s">
        <v>1011</v>
      </c>
    </row>
    <row r="1774">
      <c r="AQ1774" s="45" t="s">
        <v>1011</v>
      </c>
    </row>
    <row r="1775">
      <c r="AQ1775" s="45" t="s">
        <v>1011</v>
      </c>
    </row>
    <row r="1776">
      <c r="AQ1776" s="45" t="s">
        <v>1011</v>
      </c>
    </row>
    <row r="1777">
      <c r="AQ1777" s="45" t="s">
        <v>1011</v>
      </c>
    </row>
    <row r="1778">
      <c r="AQ1778" s="45" t="s">
        <v>1011</v>
      </c>
    </row>
    <row r="1779">
      <c r="AQ1779" s="45" t="s">
        <v>1011</v>
      </c>
    </row>
    <row r="1780">
      <c r="AQ1780" s="45" t="s">
        <v>1011</v>
      </c>
    </row>
    <row r="1781">
      <c r="AQ1781" s="45" t="s">
        <v>1011</v>
      </c>
    </row>
    <row r="1782">
      <c r="AQ1782" s="45" t="s">
        <v>1011</v>
      </c>
    </row>
    <row r="1783">
      <c r="AQ1783" s="45" t="s">
        <v>1011</v>
      </c>
    </row>
    <row r="1784">
      <c r="AQ1784" s="45" t="s">
        <v>1011</v>
      </c>
    </row>
    <row r="1785">
      <c r="AQ1785" s="45" t="s">
        <v>1011</v>
      </c>
    </row>
    <row r="1786">
      <c r="AQ1786" s="45" t="s">
        <v>1011</v>
      </c>
    </row>
    <row r="1787">
      <c r="AQ1787" s="45" t="s">
        <v>1011</v>
      </c>
    </row>
    <row r="1788">
      <c r="AQ1788" s="45" t="s">
        <v>1011</v>
      </c>
    </row>
    <row r="1789">
      <c r="AQ1789" s="45" t="s">
        <v>1011</v>
      </c>
    </row>
    <row r="1790">
      <c r="AQ1790" s="45" t="s">
        <v>1011</v>
      </c>
    </row>
    <row r="1791">
      <c r="AQ1791" s="45" t="s">
        <v>1011</v>
      </c>
    </row>
    <row r="1792">
      <c r="AQ1792" s="45" t="s">
        <v>1011</v>
      </c>
    </row>
    <row r="1793">
      <c r="AQ1793" s="45" t="s">
        <v>1011</v>
      </c>
    </row>
    <row r="1794">
      <c r="AQ1794" s="45" t="s">
        <v>1011</v>
      </c>
    </row>
    <row r="1795">
      <c r="AQ1795" s="45" t="s">
        <v>1011</v>
      </c>
    </row>
    <row r="1796">
      <c r="AQ1796" s="45" t="s">
        <v>1011</v>
      </c>
    </row>
    <row r="1797">
      <c r="AQ1797" s="45" t="s">
        <v>1011</v>
      </c>
    </row>
    <row r="1798">
      <c r="AQ1798" s="45" t="s">
        <v>1011</v>
      </c>
    </row>
    <row r="1799">
      <c r="AQ1799" s="45" t="s">
        <v>1011</v>
      </c>
    </row>
    <row r="1800">
      <c r="AQ1800" s="45" t="s">
        <v>1011</v>
      </c>
    </row>
    <row r="1801">
      <c r="AQ1801" s="45" t="s">
        <v>1011</v>
      </c>
    </row>
    <row r="1802">
      <c r="AQ1802" s="45" t="s">
        <v>1011</v>
      </c>
    </row>
    <row r="1803">
      <c r="AQ1803" s="45" t="s">
        <v>1011</v>
      </c>
    </row>
    <row r="1804">
      <c r="AQ1804" s="45" t="s">
        <v>1011</v>
      </c>
    </row>
    <row r="1805">
      <c r="AQ1805" s="45" t="s">
        <v>1011</v>
      </c>
    </row>
    <row r="1806">
      <c r="AQ1806" s="45" t="s">
        <v>1011</v>
      </c>
    </row>
    <row r="1807">
      <c r="AQ1807" s="45" t="s">
        <v>1011</v>
      </c>
    </row>
    <row r="1808">
      <c r="AQ1808" s="45" t="s">
        <v>1011</v>
      </c>
    </row>
    <row r="1809">
      <c r="AQ1809" s="45" t="s">
        <v>1011</v>
      </c>
    </row>
    <row r="1810">
      <c r="AQ1810" s="45" t="s">
        <v>1011</v>
      </c>
    </row>
    <row r="1811">
      <c r="AQ1811" s="45" t="s">
        <v>1011</v>
      </c>
    </row>
    <row r="1812">
      <c r="AQ1812" s="45" t="s">
        <v>1011</v>
      </c>
    </row>
    <row r="1813">
      <c r="AQ1813" s="45" t="s">
        <v>1011</v>
      </c>
    </row>
    <row r="1814">
      <c r="AQ1814" s="45" t="s">
        <v>1011</v>
      </c>
    </row>
    <row r="1815">
      <c r="AQ1815" s="45" t="s">
        <v>1011</v>
      </c>
    </row>
    <row r="1816">
      <c r="AQ1816" s="45" t="s">
        <v>1011</v>
      </c>
    </row>
    <row r="1817">
      <c r="AQ1817" s="45" t="s">
        <v>1011</v>
      </c>
    </row>
    <row r="1818">
      <c r="AQ1818" s="45" t="s">
        <v>1011</v>
      </c>
    </row>
    <row r="1819">
      <c r="AQ1819" s="45" t="s">
        <v>1011</v>
      </c>
    </row>
    <row r="1820">
      <c r="AQ1820" s="45" t="s">
        <v>1011</v>
      </c>
    </row>
    <row r="1821">
      <c r="AQ1821" s="45" t="s">
        <v>1011</v>
      </c>
    </row>
    <row r="1822">
      <c r="AQ1822" s="45" t="s">
        <v>1011</v>
      </c>
    </row>
    <row r="1823">
      <c r="AQ1823" s="45" t="s">
        <v>1011</v>
      </c>
    </row>
    <row r="1824">
      <c r="AQ1824" s="45" t="s">
        <v>1011</v>
      </c>
    </row>
    <row r="1825">
      <c r="AQ1825" s="45" t="s">
        <v>1011</v>
      </c>
    </row>
    <row r="1826">
      <c r="AQ1826" s="45" t="s">
        <v>1011</v>
      </c>
    </row>
    <row r="1827">
      <c r="AQ1827" s="45" t="s">
        <v>1011</v>
      </c>
    </row>
    <row r="1828">
      <c r="AQ1828" s="45" t="s">
        <v>1011</v>
      </c>
    </row>
    <row r="1829">
      <c r="AQ1829" s="45" t="s">
        <v>1011</v>
      </c>
    </row>
    <row r="1830">
      <c r="AQ1830" s="45" t="s">
        <v>1011</v>
      </c>
    </row>
    <row r="1831">
      <c r="AQ1831" s="45" t="s">
        <v>1011</v>
      </c>
    </row>
    <row r="1832">
      <c r="AQ1832" s="45" t="s">
        <v>1011</v>
      </c>
    </row>
    <row r="1833">
      <c r="AQ1833" s="45" t="s">
        <v>1011</v>
      </c>
    </row>
    <row r="1834">
      <c r="AQ1834" s="45" t="s">
        <v>1011</v>
      </c>
    </row>
    <row r="1835">
      <c r="AQ1835" s="45" t="s">
        <v>1011</v>
      </c>
    </row>
    <row r="1836">
      <c r="AQ1836" s="45" t="s">
        <v>1011</v>
      </c>
    </row>
    <row r="1837">
      <c r="AQ1837" s="45" t="s">
        <v>1011</v>
      </c>
    </row>
    <row r="1838">
      <c r="AQ1838" s="45" t="s">
        <v>1011</v>
      </c>
    </row>
    <row r="1839">
      <c r="AQ1839" s="45" t="s">
        <v>1011</v>
      </c>
    </row>
    <row r="1840">
      <c r="AQ1840" s="45" t="s">
        <v>1011</v>
      </c>
    </row>
    <row r="1841">
      <c r="AQ1841" s="45" t="s">
        <v>1011</v>
      </c>
    </row>
    <row r="1842">
      <c r="AQ1842" s="45" t="s">
        <v>1011</v>
      </c>
    </row>
    <row r="1843">
      <c r="AQ1843" s="45" t="s">
        <v>1011</v>
      </c>
    </row>
    <row r="1844">
      <c r="AQ1844" s="45" t="s">
        <v>1011</v>
      </c>
    </row>
    <row r="1845">
      <c r="AQ1845" s="45" t="s">
        <v>1011</v>
      </c>
    </row>
    <row r="1846">
      <c r="AQ1846" s="45" t="s">
        <v>1011</v>
      </c>
    </row>
    <row r="1847">
      <c r="AQ1847" s="45" t="s">
        <v>1011</v>
      </c>
    </row>
    <row r="1848">
      <c r="AQ1848" s="45" t="s">
        <v>1011</v>
      </c>
    </row>
    <row r="1849">
      <c r="AQ1849" s="45" t="s">
        <v>1011</v>
      </c>
    </row>
    <row r="1850">
      <c r="AQ1850" s="45" t="s">
        <v>1011</v>
      </c>
    </row>
    <row r="1851">
      <c r="AQ1851" s="45" t="s">
        <v>1011</v>
      </c>
    </row>
    <row r="1852">
      <c r="AQ1852" s="45" t="s">
        <v>1011</v>
      </c>
    </row>
    <row r="1853">
      <c r="AQ1853" s="45" t="s">
        <v>1011</v>
      </c>
    </row>
    <row r="1854">
      <c r="AQ1854" s="45" t="s">
        <v>1011</v>
      </c>
    </row>
    <row r="1855">
      <c r="AQ1855" s="45" t="s">
        <v>1011</v>
      </c>
    </row>
    <row r="1856">
      <c r="AQ1856" s="45" t="s">
        <v>1011</v>
      </c>
    </row>
    <row r="1857">
      <c r="AQ1857" s="45" t="s">
        <v>1011</v>
      </c>
    </row>
    <row r="1858">
      <c r="AQ1858" s="45" t="s">
        <v>1011</v>
      </c>
    </row>
    <row r="1859">
      <c r="AQ1859" s="45" t="s">
        <v>1011</v>
      </c>
    </row>
    <row r="1860">
      <c r="AQ1860" s="45" t="s">
        <v>1011</v>
      </c>
    </row>
    <row r="1861">
      <c r="AQ1861" s="45" t="s">
        <v>1011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hidden="1" min="21" max="24" width="14.43"/>
  </cols>
  <sheetData>
    <row r="1">
      <c r="A1" s="45" t="s">
        <v>961</v>
      </c>
      <c r="B1" s="45" t="s">
        <v>962</v>
      </c>
      <c r="C1" s="45" t="s">
        <v>963</v>
      </c>
      <c r="D1" s="45" t="s">
        <v>964</v>
      </c>
      <c r="E1" s="45" t="s">
        <v>35</v>
      </c>
      <c r="F1" s="45" t="s">
        <v>34</v>
      </c>
      <c r="G1" s="45" t="s">
        <v>40</v>
      </c>
      <c r="H1" s="123" t="s">
        <v>3466</v>
      </c>
      <c r="I1" s="123" t="s">
        <v>3467</v>
      </c>
      <c r="J1" s="45" t="s">
        <v>965</v>
      </c>
      <c r="K1" s="45" t="s">
        <v>36</v>
      </c>
      <c r="L1" s="45" t="s">
        <v>967</v>
      </c>
      <c r="M1" s="45" t="s">
        <v>968</v>
      </c>
      <c r="N1" s="45" t="s">
        <v>969</v>
      </c>
      <c r="O1" s="45" t="s">
        <v>970</v>
      </c>
      <c r="P1" s="45" t="s">
        <v>971</v>
      </c>
      <c r="Q1" s="45" t="s">
        <v>972</v>
      </c>
      <c r="R1" s="45" t="s">
        <v>973</v>
      </c>
      <c r="S1" s="45" t="s">
        <v>39</v>
      </c>
      <c r="T1" s="45" t="s">
        <v>974</v>
      </c>
      <c r="U1" s="45" t="s">
        <v>975</v>
      </c>
      <c r="V1" s="45" t="s">
        <v>976</v>
      </c>
      <c r="W1" s="45" t="s">
        <v>977</v>
      </c>
      <c r="X1" s="45" t="s">
        <v>978</v>
      </c>
      <c r="Y1" s="45" t="s">
        <v>36</v>
      </c>
      <c r="Z1" s="45" t="s">
        <v>979</v>
      </c>
      <c r="AA1" s="45" t="s">
        <v>980</v>
      </c>
      <c r="AB1" s="45" t="s">
        <v>3468</v>
      </c>
      <c r="AC1" s="45" t="s">
        <v>982</v>
      </c>
      <c r="AD1" s="45" t="s">
        <v>983</v>
      </c>
      <c r="AE1" s="45" t="s">
        <v>984</v>
      </c>
      <c r="AF1" s="45" t="s">
        <v>985</v>
      </c>
      <c r="AG1" s="45" t="s">
        <v>986</v>
      </c>
      <c r="AH1" s="45" t="s">
        <v>987</v>
      </c>
      <c r="AI1" s="45" t="s">
        <v>988</v>
      </c>
      <c r="AJ1" s="45" t="s">
        <v>3469</v>
      </c>
      <c r="AK1" s="45" t="s">
        <v>989</v>
      </c>
      <c r="AL1" s="45" t="s">
        <v>990</v>
      </c>
      <c r="AM1" s="45" t="s">
        <v>991</v>
      </c>
      <c r="AN1" s="45" t="s">
        <v>992</v>
      </c>
      <c r="AO1" s="45" t="s">
        <v>993</v>
      </c>
      <c r="AP1" s="45" t="s">
        <v>994</v>
      </c>
      <c r="AQ1" s="45" t="s">
        <v>995</v>
      </c>
      <c r="AR1" s="45" t="s">
        <v>996</v>
      </c>
      <c r="AT1" s="45" t="s">
        <v>997</v>
      </c>
      <c r="AU1" s="45" t="s">
        <v>998</v>
      </c>
      <c r="AW1" s="45" t="s">
        <v>999</v>
      </c>
      <c r="AX1" s="45" t="s">
        <v>1000</v>
      </c>
      <c r="AY1" s="45" t="s">
        <v>1001</v>
      </c>
    </row>
    <row r="2">
      <c r="A2" s="45">
        <v>1.0</v>
      </c>
      <c r="B2" s="45" t="s">
        <v>55</v>
      </c>
      <c r="C2" s="45" t="s">
        <v>1029</v>
      </c>
      <c r="D2" s="45" t="s">
        <v>1030</v>
      </c>
      <c r="E2" s="45" t="s">
        <v>56</v>
      </c>
      <c r="F2" s="45" t="str">
        <f>VLOOKUP(B2,'Analysis data'!$B$2:$C$358,2,false)</f>
        <v>A</v>
      </c>
      <c r="G2" s="45" t="str">
        <f>VLOOKUP(B2, 'Analysis data'!$B$2:$I$358, 8, FALSE)</f>
        <v> Management</v>
      </c>
      <c r="H2" s="124" t="s">
        <v>3470</v>
      </c>
      <c r="I2" s="125" t="s">
        <v>3470</v>
      </c>
      <c r="J2" s="119">
        <v>4.71952E11</v>
      </c>
      <c r="K2" s="45" t="str">
        <f>VLOOKUP(B2,'Analysis data'!B:E,4,false)</f>
        <v/>
      </c>
      <c r="L2" s="45" t="s">
        <v>1003</v>
      </c>
      <c r="M2" s="45" t="s">
        <v>1003</v>
      </c>
      <c r="N2" s="45" t="s">
        <v>1003</v>
      </c>
      <c r="O2" s="45" t="s">
        <v>1031</v>
      </c>
      <c r="P2" s="45">
        <v>0.0</v>
      </c>
      <c r="Q2" s="45">
        <v>0.0</v>
      </c>
      <c r="R2" s="45" t="s">
        <v>1032</v>
      </c>
      <c r="S2" s="45" t="s">
        <v>46</v>
      </c>
      <c r="T2" s="45" t="s">
        <v>1006</v>
      </c>
      <c r="U2" s="45">
        <v>65.6</v>
      </c>
      <c r="V2" s="45">
        <v>2019.0</v>
      </c>
      <c r="W2" s="45">
        <v>94.0</v>
      </c>
      <c r="X2" s="45">
        <v>2021.0</v>
      </c>
      <c r="Y2" s="45">
        <v>0.0</v>
      </c>
      <c r="Z2" s="45">
        <v>-5.0</v>
      </c>
      <c r="AA2" s="45">
        <v>2025.0</v>
      </c>
      <c r="AB2" s="45">
        <f>VLOOKUP(B2,'Analysis data'!$B$1:$F$358,5,false)</f>
        <v>2</v>
      </c>
      <c r="AC2" s="45">
        <v>4.0</v>
      </c>
      <c r="AD2" s="45" t="s">
        <v>1033</v>
      </c>
      <c r="AE2" s="45" t="s">
        <v>1034</v>
      </c>
      <c r="AF2" s="45">
        <v>7.989638007E9</v>
      </c>
      <c r="AG2" s="45">
        <v>9.989484569E9</v>
      </c>
      <c r="AH2" s="45">
        <v>0.0</v>
      </c>
      <c r="AI2" s="45">
        <v>0.0</v>
      </c>
      <c r="AJ2" s="45" t="str">
        <f>VLOOKUP(B2,'Analysis data'!B:K,10,false)</f>
        <v/>
      </c>
      <c r="AK2" s="45" t="s">
        <v>1035</v>
      </c>
      <c r="AL2" s="45" t="s">
        <v>1036</v>
      </c>
      <c r="AM2" s="45">
        <v>0.0</v>
      </c>
      <c r="AN2" s="45">
        <v>0.0</v>
      </c>
      <c r="AO2" s="45">
        <v>0.0</v>
      </c>
      <c r="AP2" s="45">
        <v>0.0</v>
      </c>
      <c r="AQ2" s="45">
        <v>5.92</v>
      </c>
      <c r="AR2" s="45">
        <v>0.0</v>
      </c>
      <c r="AU2" s="45" t="s">
        <v>1011</v>
      </c>
      <c r="AX2" s="45" t="s">
        <v>1012</v>
      </c>
    </row>
    <row r="3">
      <c r="A3" s="45">
        <v>2.0</v>
      </c>
      <c r="B3" s="45" t="s">
        <v>73</v>
      </c>
      <c r="C3" s="45" t="s">
        <v>1067</v>
      </c>
      <c r="D3" s="45" t="s">
        <v>1068</v>
      </c>
      <c r="E3" s="45" t="s">
        <v>74</v>
      </c>
      <c r="F3" s="45" t="str">
        <f>VLOOKUP(B3,'Analysis data'!$B$2:$C$358,2,false)</f>
        <v>A</v>
      </c>
      <c r="G3" s="45" t="str">
        <f>VLOOKUP(B3, 'Analysis data'!$B$2:$I$358, 8, FALSE)</f>
        <v> Convener</v>
      </c>
      <c r="H3" s="124" t="s">
        <v>3471</v>
      </c>
      <c r="I3" s="125" t="s">
        <v>3470</v>
      </c>
      <c r="J3" s="119">
        <v>7.8059E11</v>
      </c>
      <c r="K3" s="45">
        <f>VLOOKUP(B3,'Analysis data'!B:E,4,false)</f>
        <v>8.69</v>
      </c>
      <c r="L3" s="45" t="s">
        <v>1003</v>
      </c>
      <c r="M3" s="45" t="s">
        <v>1003</v>
      </c>
      <c r="N3" s="45" t="s">
        <v>1003</v>
      </c>
      <c r="O3" s="45" t="s">
        <v>3472</v>
      </c>
      <c r="P3" s="45">
        <v>34431.0</v>
      </c>
      <c r="Q3" s="45">
        <v>0.0</v>
      </c>
      <c r="R3" s="45" t="s">
        <v>1069</v>
      </c>
      <c r="S3" s="45" t="s">
        <v>60</v>
      </c>
      <c r="T3" s="45" t="s">
        <v>1006</v>
      </c>
      <c r="U3" s="45">
        <v>97.0</v>
      </c>
      <c r="V3" s="45">
        <v>2019.0</v>
      </c>
      <c r="W3" s="45">
        <v>89.0</v>
      </c>
      <c r="X3" s="45">
        <v>2021.0</v>
      </c>
      <c r="Y3" s="45">
        <v>8.7</v>
      </c>
      <c r="Z3" s="45">
        <v>82.0</v>
      </c>
      <c r="AA3" s="45">
        <v>2025.0</v>
      </c>
      <c r="AB3" s="45">
        <f>VLOOKUP(B3,'Analysis data'!$B$1:$F$358,5,false)</f>
        <v>0</v>
      </c>
      <c r="AC3" s="45">
        <v>0.0</v>
      </c>
      <c r="AD3" s="45" t="s">
        <v>1070</v>
      </c>
      <c r="AE3" s="45" t="s">
        <v>1071</v>
      </c>
      <c r="AF3" s="45">
        <v>8.977532025E9</v>
      </c>
      <c r="AG3" s="45">
        <v>8.639216585E9</v>
      </c>
      <c r="AH3" s="45">
        <v>0.0</v>
      </c>
      <c r="AI3" s="45">
        <v>0.0</v>
      </c>
      <c r="AJ3" s="45" t="str">
        <f>VLOOKUP(B3,'Analysis data'!B:K,10,false)</f>
        <v/>
      </c>
      <c r="AK3" s="45" t="s">
        <v>1072</v>
      </c>
      <c r="AL3" s="45" t="s">
        <v>1073</v>
      </c>
      <c r="AM3" s="45">
        <v>8.76</v>
      </c>
      <c r="AN3" s="45">
        <v>8.39</v>
      </c>
      <c r="AO3" s="45">
        <v>8.86</v>
      </c>
      <c r="AP3" s="45">
        <v>0.0</v>
      </c>
      <c r="AQ3" s="45">
        <v>8.65</v>
      </c>
      <c r="AR3" s="45">
        <v>8.65</v>
      </c>
      <c r="AU3" s="45" t="s">
        <v>1011</v>
      </c>
      <c r="AX3" s="45" t="s">
        <v>1012</v>
      </c>
    </row>
    <row r="4">
      <c r="A4" s="45">
        <v>3.0</v>
      </c>
      <c r="B4" s="45" t="s">
        <v>88</v>
      </c>
      <c r="C4" s="45" t="s">
        <v>1097</v>
      </c>
      <c r="D4" s="45" t="s">
        <v>1098</v>
      </c>
      <c r="E4" s="45" t="s">
        <v>89</v>
      </c>
      <c r="F4" s="45" t="str">
        <f>VLOOKUP(B4,'Analysis data'!$B$2:$C$358,2,false)</f>
        <v>A</v>
      </c>
      <c r="G4" s="45" t="str">
        <f>VLOOKUP(B4, 'Analysis data'!$B$2:$I$358, 8, FALSE)</f>
        <v> Convener</v>
      </c>
      <c r="H4" s="124" t="s">
        <v>3470</v>
      </c>
      <c r="I4" s="125" t="s">
        <v>3470</v>
      </c>
      <c r="J4" s="119">
        <v>6.48387E11</v>
      </c>
      <c r="K4" s="45">
        <f>VLOOKUP(B4,'Analysis data'!B:E,4,false)</f>
        <v>7.78</v>
      </c>
      <c r="L4" s="45">
        <v>757.0</v>
      </c>
      <c r="M4" s="45" t="s">
        <v>1003</v>
      </c>
      <c r="N4" s="45" t="s">
        <v>1003</v>
      </c>
      <c r="O4" s="45" t="s">
        <v>1084</v>
      </c>
      <c r="P4" s="45">
        <v>26162.0</v>
      </c>
      <c r="Q4" s="45">
        <v>0.0</v>
      </c>
      <c r="R4" s="45" t="s">
        <v>1099</v>
      </c>
      <c r="S4" s="45" t="s">
        <v>60</v>
      </c>
      <c r="T4" s="45" t="s">
        <v>1006</v>
      </c>
      <c r="U4" s="45">
        <v>87.0</v>
      </c>
      <c r="V4" s="45">
        <v>2019.0</v>
      </c>
      <c r="W4" s="45">
        <v>90.0</v>
      </c>
      <c r="X4" s="45">
        <v>2021.0</v>
      </c>
      <c r="Y4" s="45">
        <v>7.8</v>
      </c>
      <c r="Z4" s="45">
        <v>73.0</v>
      </c>
      <c r="AA4" s="45">
        <v>2025.0</v>
      </c>
      <c r="AB4" s="45">
        <f>VLOOKUP(B4,'Analysis data'!$B$1:$F$358,5,false)</f>
        <v>0</v>
      </c>
      <c r="AC4" s="45">
        <v>0.0</v>
      </c>
      <c r="AD4" s="45" t="s">
        <v>1100</v>
      </c>
      <c r="AE4" s="45" t="s">
        <v>1101</v>
      </c>
      <c r="AF4" s="45">
        <v>6.302184161E9</v>
      </c>
      <c r="AG4" s="45">
        <v>9.652404797E9</v>
      </c>
      <c r="AH4" s="45" t="s">
        <v>90</v>
      </c>
      <c r="AI4" s="45" t="s">
        <v>90</v>
      </c>
      <c r="AJ4" s="45" t="str">
        <f>VLOOKUP(B4,'Analysis data'!B:K,10,false)</f>
        <v>SEOAK</v>
      </c>
      <c r="AK4" s="45" t="s">
        <v>1102</v>
      </c>
      <c r="AL4" s="45" t="s">
        <v>1103</v>
      </c>
      <c r="AM4" s="45">
        <v>7.54</v>
      </c>
      <c r="AN4" s="45">
        <v>7.83</v>
      </c>
      <c r="AO4" s="45">
        <v>7.68</v>
      </c>
      <c r="AP4" s="45">
        <v>0.0</v>
      </c>
      <c r="AQ4" s="45">
        <v>7.7</v>
      </c>
      <c r="AR4" s="45">
        <v>7.77</v>
      </c>
      <c r="AU4" s="45" t="s">
        <v>1011</v>
      </c>
      <c r="AX4" s="45" t="s">
        <v>1028</v>
      </c>
    </row>
    <row r="5">
      <c r="A5" s="45">
        <v>4.0</v>
      </c>
      <c r="B5" s="45" t="s">
        <v>92</v>
      </c>
      <c r="C5" s="45" t="s">
        <v>1104</v>
      </c>
      <c r="D5" s="45" t="s">
        <v>1105</v>
      </c>
      <c r="E5" s="45" t="s">
        <v>93</v>
      </c>
      <c r="F5" s="45" t="str">
        <f>VLOOKUP(B5,'Analysis data'!$B$2:$C$358,2,false)</f>
        <v>A</v>
      </c>
      <c r="G5" s="45" t="str">
        <f>VLOOKUP(B5, 'Analysis data'!$B$2:$I$358, 8, FALSE)</f>
        <v> Convener</v>
      </c>
      <c r="H5" s="124" t="s">
        <v>3470</v>
      </c>
      <c r="I5" s="125" t="s">
        <v>3470</v>
      </c>
      <c r="J5" s="119">
        <v>5.20069E11</v>
      </c>
      <c r="K5" s="45">
        <f>VLOOKUP(B5,'Analysis data'!B:E,4,false)</f>
        <v>8.04</v>
      </c>
      <c r="L5" s="45">
        <v>653.0</v>
      </c>
      <c r="M5" s="45" t="s">
        <v>1003</v>
      </c>
      <c r="N5" s="45" t="s">
        <v>1003</v>
      </c>
      <c r="O5" s="45" t="s">
        <v>1106</v>
      </c>
      <c r="P5" s="45">
        <v>20845.0</v>
      </c>
      <c r="Q5" s="45">
        <v>0.0</v>
      </c>
      <c r="R5" s="45" t="s">
        <v>1032</v>
      </c>
      <c r="S5" s="45" t="s">
        <v>60</v>
      </c>
      <c r="T5" s="45" t="s">
        <v>1006</v>
      </c>
      <c r="U5" s="45">
        <v>63.8</v>
      </c>
      <c r="V5" s="45">
        <v>2019.0</v>
      </c>
      <c r="W5" s="45">
        <v>93.2</v>
      </c>
      <c r="X5" s="45">
        <v>2021.0</v>
      </c>
      <c r="Y5" s="45">
        <v>8.0</v>
      </c>
      <c r="Z5" s="45">
        <v>75.0</v>
      </c>
      <c r="AA5" s="45">
        <v>2025.0</v>
      </c>
      <c r="AB5" s="45">
        <f>VLOOKUP(B5,'Analysis data'!$B$1:$F$358,5,false)</f>
        <v>0</v>
      </c>
      <c r="AC5" s="45">
        <v>0.0</v>
      </c>
      <c r="AD5" s="45" t="s">
        <v>1107</v>
      </c>
      <c r="AE5" s="45" t="s">
        <v>1108</v>
      </c>
      <c r="AF5" s="45">
        <v>7.6708473E9</v>
      </c>
      <c r="AG5" s="45">
        <v>9.010129232E9</v>
      </c>
      <c r="AH5" s="45" t="s">
        <v>90</v>
      </c>
      <c r="AI5" s="45" t="s">
        <v>90</v>
      </c>
      <c r="AJ5" s="45" t="str">
        <f>VLOOKUP(B5,'Analysis data'!B:K,10,false)</f>
        <v>SEOAK</v>
      </c>
      <c r="AK5" s="45" t="s">
        <v>1109</v>
      </c>
      <c r="AL5" s="45" t="s">
        <v>1110</v>
      </c>
      <c r="AM5" s="45">
        <v>8.22</v>
      </c>
      <c r="AN5" s="45">
        <v>7.68</v>
      </c>
      <c r="AO5" s="45">
        <v>7.95</v>
      </c>
      <c r="AP5" s="45">
        <v>0.0</v>
      </c>
      <c r="AQ5" s="45">
        <v>7.89</v>
      </c>
      <c r="AR5" s="45">
        <v>8.02</v>
      </c>
      <c r="AU5" s="45" t="s">
        <v>1011</v>
      </c>
      <c r="AX5" s="45" t="s">
        <v>1028</v>
      </c>
    </row>
    <row r="6">
      <c r="A6" s="45">
        <v>5.0</v>
      </c>
      <c r="B6" s="45" t="s">
        <v>107</v>
      </c>
      <c r="C6" s="45" t="s">
        <v>1138</v>
      </c>
      <c r="D6" s="45" t="s">
        <v>1139</v>
      </c>
      <c r="E6" s="45" t="s">
        <v>108</v>
      </c>
      <c r="F6" s="45" t="str">
        <f>VLOOKUP(B6,'Analysis data'!$B$2:$C$358,2,false)</f>
        <v>A</v>
      </c>
      <c r="G6" s="45" t="str">
        <f>VLOOKUP(B6, 'Analysis data'!$B$2:$I$358, 8, FALSE)</f>
        <v> Convener</v>
      </c>
      <c r="H6" s="124" t="s">
        <v>3470</v>
      </c>
      <c r="I6" s="125" t="s">
        <v>3470</v>
      </c>
      <c r="J6" s="119">
        <v>4.20957E11</v>
      </c>
      <c r="K6" s="45" t="str">
        <f>VLOOKUP(B6,'Analysis data'!B:E,4,false)</f>
        <v/>
      </c>
      <c r="L6" s="45" t="s">
        <v>1003</v>
      </c>
      <c r="M6" s="45" t="s">
        <v>1003</v>
      </c>
      <c r="N6" s="45" t="s">
        <v>1003</v>
      </c>
      <c r="O6" s="45" t="s">
        <v>1140</v>
      </c>
      <c r="P6" s="45">
        <v>3470.0</v>
      </c>
      <c r="Q6" s="45">
        <v>0.0</v>
      </c>
      <c r="R6" s="45" t="s">
        <v>1141</v>
      </c>
      <c r="S6" s="45" t="s">
        <v>46</v>
      </c>
      <c r="T6" s="45" t="s">
        <v>1006</v>
      </c>
      <c r="U6" s="45">
        <v>92.0</v>
      </c>
      <c r="V6" s="45">
        <v>2019.0</v>
      </c>
      <c r="W6" s="45">
        <v>88.1</v>
      </c>
      <c r="X6" s="45">
        <v>2021.0</v>
      </c>
      <c r="Y6" s="45">
        <v>6.87</v>
      </c>
      <c r="Z6" s="45">
        <v>63.7</v>
      </c>
      <c r="AA6" s="45">
        <v>2025.0</v>
      </c>
      <c r="AB6" s="45">
        <f>VLOOKUP(B6,'Analysis data'!$B$1:$F$358,5,false)</f>
        <v>1</v>
      </c>
      <c r="AC6" s="45">
        <v>0.0</v>
      </c>
      <c r="AD6" s="45" t="s">
        <v>1142</v>
      </c>
      <c r="AE6" s="45" t="s">
        <v>1143</v>
      </c>
      <c r="AF6" s="45">
        <v>7.671914536E9</v>
      </c>
      <c r="AG6" s="45">
        <v>9.701278727E9</v>
      </c>
      <c r="AH6" s="45">
        <v>0.0</v>
      </c>
      <c r="AI6" s="45">
        <v>0.0</v>
      </c>
      <c r="AJ6" s="45" t="str">
        <f>VLOOKUP(B6,'Analysis data'!B:K,10,false)</f>
        <v/>
      </c>
      <c r="AK6" s="45" t="s">
        <v>1144</v>
      </c>
      <c r="AL6" s="45" t="s">
        <v>1145</v>
      </c>
      <c r="AM6" s="45">
        <v>6.16</v>
      </c>
      <c r="AN6" s="45">
        <v>6.71</v>
      </c>
      <c r="AO6" s="45">
        <v>7.07</v>
      </c>
      <c r="AP6" s="45">
        <v>0.0</v>
      </c>
      <c r="AQ6" s="45">
        <v>6.78</v>
      </c>
      <c r="AR6" s="45">
        <v>6.76</v>
      </c>
      <c r="AU6" s="45" t="s">
        <v>1011</v>
      </c>
      <c r="AX6" s="45" t="s">
        <v>1012</v>
      </c>
    </row>
    <row r="7">
      <c r="A7" s="45">
        <v>6.0</v>
      </c>
      <c r="B7" s="45" t="s">
        <v>109</v>
      </c>
      <c r="C7" s="45" t="s">
        <v>1146</v>
      </c>
      <c r="D7" s="45" t="s">
        <v>1147</v>
      </c>
      <c r="E7" s="45" t="s">
        <v>110</v>
      </c>
      <c r="F7" s="45" t="str">
        <f>VLOOKUP(B7,'Analysis data'!$B$2:$C$358,2,false)</f>
        <v>A</v>
      </c>
      <c r="G7" s="45" t="str">
        <f>VLOOKUP(B7, 'Analysis data'!$B$2:$I$358, 8, FALSE)</f>
        <v> Management</v>
      </c>
      <c r="H7" s="124" t="s">
        <v>3470</v>
      </c>
      <c r="I7" s="125" t="s">
        <v>3470</v>
      </c>
      <c r="J7" s="119">
        <v>9.54643E11</v>
      </c>
      <c r="K7" s="45" t="str">
        <f>VLOOKUP(B7,'Analysis data'!B:E,4,false)</f>
        <v/>
      </c>
      <c r="L7" s="45" t="s">
        <v>1003</v>
      </c>
      <c r="M7" s="45" t="s">
        <v>1003</v>
      </c>
      <c r="N7" s="45" t="s">
        <v>1003</v>
      </c>
      <c r="O7" s="45" t="s">
        <v>1148</v>
      </c>
      <c r="P7" s="45">
        <v>0.0</v>
      </c>
      <c r="Q7" s="45">
        <v>0.0</v>
      </c>
      <c r="R7" s="45" t="s">
        <v>1149</v>
      </c>
      <c r="S7" s="45" t="s">
        <v>60</v>
      </c>
      <c r="T7" s="45" t="s">
        <v>1006</v>
      </c>
      <c r="U7" s="45">
        <v>97.0</v>
      </c>
      <c r="V7" s="45">
        <v>2019.0</v>
      </c>
      <c r="W7" s="45">
        <v>95.6</v>
      </c>
      <c r="X7" s="45">
        <v>2021.0</v>
      </c>
      <c r="Y7" s="45">
        <v>0.0</v>
      </c>
      <c r="Z7" s="45">
        <v>-5.0</v>
      </c>
      <c r="AA7" s="45">
        <v>2025.0</v>
      </c>
      <c r="AB7" s="45">
        <f>VLOOKUP(B7,'Analysis data'!$B$1:$F$358,5,false)</f>
        <v>1</v>
      </c>
      <c r="AC7" s="45">
        <v>0.0</v>
      </c>
      <c r="AD7" s="45" t="s">
        <v>1150</v>
      </c>
      <c r="AE7" s="45" t="s">
        <v>1151</v>
      </c>
      <c r="AF7" s="45">
        <v>9.704897815E9</v>
      </c>
      <c r="AG7" s="45">
        <v>8.008509449E9</v>
      </c>
      <c r="AH7" s="45">
        <v>0.0</v>
      </c>
      <c r="AI7" s="45">
        <v>0.0</v>
      </c>
      <c r="AJ7" s="45" t="str">
        <f>VLOOKUP(B7,'Analysis data'!B:K,10,false)</f>
        <v/>
      </c>
      <c r="AK7" s="45" t="s">
        <v>1152</v>
      </c>
      <c r="AL7" s="45" t="s">
        <v>1153</v>
      </c>
      <c r="AM7" s="45">
        <v>8.03</v>
      </c>
      <c r="AN7" s="45">
        <v>8.2</v>
      </c>
      <c r="AO7" s="45">
        <v>8.0</v>
      </c>
      <c r="AP7" s="45">
        <v>0.0</v>
      </c>
      <c r="AQ7" s="45">
        <v>7.97</v>
      </c>
      <c r="AR7" s="45">
        <v>7.96</v>
      </c>
      <c r="AU7" s="45" t="s">
        <v>1011</v>
      </c>
      <c r="AX7" s="45" t="s">
        <v>1028</v>
      </c>
    </row>
    <row r="8">
      <c r="A8" s="45">
        <v>7.0</v>
      </c>
      <c r="B8" s="45" t="s">
        <v>112</v>
      </c>
      <c r="C8" s="45" t="s">
        <v>1154</v>
      </c>
      <c r="D8" s="45" t="s">
        <v>1155</v>
      </c>
      <c r="E8" s="45" t="s">
        <v>113</v>
      </c>
      <c r="F8" s="45" t="str">
        <f>VLOOKUP(B8,'Analysis data'!$B$2:$C$358,2,false)</f>
        <v>A</v>
      </c>
      <c r="G8" s="45" t="str">
        <f>VLOOKUP(B8, 'Analysis data'!$B$2:$I$358, 8, FALSE)</f>
        <v> Convener</v>
      </c>
      <c r="H8" s="124" t="s">
        <v>3470</v>
      </c>
      <c r="I8" s="125" t="s">
        <v>3470</v>
      </c>
      <c r="J8" s="119">
        <v>4.15421E11</v>
      </c>
      <c r="K8" s="45">
        <f>VLOOKUP(B8,'Analysis data'!B:E,4,false)</f>
        <v>8.41</v>
      </c>
      <c r="L8" s="45">
        <v>576.0</v>
      </c>
      <c r="M8" s="45" t="s">
        <v>1003</v>
      </c>
      <c r="N8" s="45" t="s">
        <v>1003</v>
      </c>
      <c r="O8" s="45" t="s">
        <v>1156</v>
      </c>
      <c r="P8" s="45">
        <v>14323.0</v>
      </c>
      <c r="Q8" s="45">
        <v>0.0</v>
      </c>
      <c r="R8" s="45" t="s">
        <v>1157</v>
      </c>
      <c r="S8" s="45" t="s">
        <v>46</v>
      </c>
      <c r="T8" s="45" t="s">
        <v>1006</v>
      </c>
      <c r="U8" s="45">
        <v>88.35</v>
      </c>
      <c r="V8" s="45">
        <v>2019.0</v>
      </c>
      <c r="W8" s="45">
        <v>93.8</v>
      </c>
      <c r="X8" s="45">
        <v>2021.0</v>
      </c>
      <c r="Y8" s="45">
        <v>8.4</v>
      </c>
      <c r="Z8" s="45">
        <v>79.0</v>
      </c>
      <c r="AA8" s="45">
        <v>2025.0</v>
      </c>
      <c r="AB8" s="45">
        <f>VLOOKUP(B8,'Analysis data'!$B$1:$F$358,5,false)</f>
        <v>0</v>
      </c>
      <c r="AC8" s="45">
        <v>0.0</v>
      </c>
      <c r="AD8" s="45" t="s">
        <v>1158</v>
      </c>
      <c r="AE8" s="45" t="s">
        <v>1159</v>
      </c>
      <c r="AF8" s="45">
        <v>8.247085538E9</v>
      </c>
      <c r="AG8" s="45">
        <v>8.247085538E9</v>
      </c>
      <c r="AH8" s="45">
        <v>0.0</v>
      </c>
      <c r="AI8" s="45">
        <v>0.0</v>
      </c>
      <c r="AJ8" s="45" t="str">
        <f>VLOOKUP(B8,'Analysis data'!B:K,10,false)</f>
        <v>MRF</v>
      </c>
      <c r="AK8" s="45" t="s">
        <v>1160</v>
      </c>
      <c r="AL8" s="45" t="s">
        <v>1161</v>
      </c>
      <c r="AM8" s="45">
        <v>8.68</v>
      </c>
      <c r="AN8" s="45">
        <v>7.98</v>
      </c>
      <c r="AO8" s="45">
        <v>8.0</v>
      </c>
      <c r="AP8" s="45">
        <v>0.0</v>
      </c>
      <c r="AQ8" s="45">
        <v>8.23</v>
      </c>
      <c r="AR8" s="45">
        <v>8.33</v>
      </c>
      <c r="AU8" s="45" t="s">
        <v>1011</v>
      </c>
      <c r="AX8" s="45" t="s">
        <v>1028</v>
      </c>
    </row>
    <row r="9">
      <c r="A9" s="45">
        <v>8.0</v>
      </c>
      <c r="B9" s="45" t="s">
        <v>128</v>
      </c>
      <c r="C9" s="45" t="s">
        <v>1191</v>
      </c>
      <c r="D9" s="45" t="s">
        <v>1192</v>
      </c>
      <c r="E9" s="45" t="s">
        <v>129</v>
      </c>
      <c r="F9" s="45" t="str">
        <f>VLOOKUP(B9,'Analysis data'!$B$2:$C$358,2,false)</f>
        <v>A</v>
      </c>
      <c r="G9" s="45" t="str">
        <f>VLOOKUP(B9, 'Analysis data'!$B$2:$I$358, 8, FALSE)</f>
        <v> Convener</v>
      </c>
      <c r="H9" s="124" t="s">
        <v>3470</v>
      </c>
      <c r="I9" s="125" t="s">
        <v>3473</v>
      </c>
      <c r="J9" s="119">
        <v>9.39742E11</v>
      </c>
      <c r="K9" s="45">
        <f>VLOOKUP(B9,'Analysis data'!B:E,4,false)</f>
        <v>8.58</v>
      </c>
      <c r="L9" s="45">
        <v>143.0</v>
      </c>
      <c r="M9" s="45" t="s">
        <v>1003</v>
      </c>
      <c r="N9" s="45" t="s">
        <v>1003</v>
      </c>
      <c r="O9" s="45" t="s">
        <v>1193</v>
      </c>
      <c r="P9" s="45">
        <v>15034.0</v>
      </c>
      <c r="Q9" s="45">
        <v>0.0</v>
      </c>
      <c r="R9" s="45" t="s">
        <v>1194</v>
      </c>
      <c r="S9" s="45" t="s">
        <v>60</v>
      </c>
      <c r="T9" s="45" t="s">
        <v>1006</v>
      </c>
      <c r="U9" s="45">
        <v>98.0</v>
      </c>
      <c r="V9" s="45">
        <v>2019.0</v>
      </c>
      <c r="W9" s="45">
        <v>94.4</v>
      </c>
      <c r="X9" s="45">
        <v>2021.0</v>
      </c>
      <c r="Y9" s="45">
        <v>8.6</v>
      </c>
      <c r="Z9" s="45">
        <v>81.0</v>
      </c>
      <c r="AA9" s="45">
        <v>2025.0</v>
      </c>
      <c r="AB9" s="45">
        <f>VLOOKUP(B9,'Analysis data'!$B$1:$F$358,5,false)</f>
        <v>0</v>
      </c>
      <c r="AC9" s="45">
        <v>0.0</v>
      </c>
      <c r="AD9" s="45" t="s">
        <v>1195</v>
      </c>
      <c r="AE9" s="45" t="s">
        <v>1196</v>
      </c>
      <c r="AF9" s="45">
        <v>9.966922291E9</v>
      </c>
      <c r="AG9" s="45">
        <v>9.885522291E9</v>
      </c>
      <c r="AH9" s="45" t="s">
        <v>62</v>
      </c>
      <c r="AI9" s="45">
        <v>0.0</v>
      </c>
      <c r="AJ9" s="45" t="str">
        <f>VLOOKUP(B9,'Analysis data'!B:K,10,false)</f>
        <v>Accenture ASE &amp; TECH MAHINDRA &amp; CAPGEMINI-ANALYST</v>
      </c>
      <c r="AK9" s="45" t="s">
        <v>1197</v>
      </c>
      <c r="AL9" s="45" t="s">
        <v>1198</v>
      </c>
      <c r="AM9" s="45">
        <v>9.14</v>
      </c>
      <c r="AN9" s="45">
        <v>8.37</v>
      </c>
      <c r="AO9" s="45">
        <v>8.43</v>
      </c>
      <c r="AP9" s="45">
        <v>0.0</v>
      </c>
      <c r="AQ9" s="45">
        <v>8.58</v>
      </c>
      <c r="AR9" s="45">
        <v>8.6</v>
      </c>
      <c r="AU9" s="45" t="s">
        <v>1011</v>
      </c>
      <c r="AX9" s="45" t="s">
        <v>1028</v>
      </c>
    </row>
    <row r="10">
      <c r="A10" s="45">
        <v>9.0</v>
      </c>
      <c r="B10" s="45" t="s">
        <v>134</v>
      </c>
      <c r="C10" s="45" t="s">
        <v>1207</v>
      </c>
      <c r="D10" s="45" t="s">
        <v>1208</v>
      </c>
      <c r="E10" s="45" t="s">
        <v>135</v>
      </c>
      <c r="F10" s="45" t="str">
        <f>VLOOKUP(B10,'Analysis data'!$B$2:$C$358,2,false)</f>
        <v>A</v>
      </c>
      <c r="G10" s="45" t="str">
        <f>VLOOKUP(B10, 'Analysis data'!$B$2:$I$358, 8, FALSE)</f>
        <v> Convener</v>
      </c>
      <c r="H10" s="124" t="s">
        <v>3474</v>
      </c>
      <c r="I10" s="125" t="s">
        <v>3473</v>
      </c>
      <c r="J10" s="119">
        <v>9.50542E11</v>
      </c>
      <c r="K10" s="45">
        <f>VLOOKUP(B10,'Analysis data'!B:E,4,false)</f>
        <v>8.25</v>
      </c>
      <c r="L10" s="45">
        <v>1019.0</v>
      </c>
      <c r="M10" s="45">
        <v>5365.0</v>
      </c>
      <c r="N10" s="45">
        <v>5394.0</v>
      </c>
      <c r="P10" s="45">
        <v>17815.0</v>
      </c>
      <c r="Q10" s="45">
        <v>0.0</v>
      </c>
      <c r="R10" s="121">
        <v>37751.0</v>
      </c>
      <c r="S10" s="45" t="s">
        <v>46</v>
      </c>
      <c r="T10" s="45" t="s">
        <v>1006</v>
      </c>
      <c r="U10" s="45">
        <v>98.0</v>
      </c>
      <c r="V10" s="45">
        <v>2019.0</v>
      </c>
      <c r="W10" s="45">
        <v>98.0</v>
      </c>
      <c r="X10" s="45">
        <v>2021.0</v>
      </c>
      <c r="Y10" s="45">
        <v>8.3</v>
      </c>
      <c r="Z10" s="45">
        <v>78.0</v>
      </c>
      <c r="AA10" s="45">
        <v>2025.0</v>
      </c>
      <c r="AB10" s="45">
        <f>VLOOKUP(B10,'Analysis data'!$B$1:$F$358,5,false)</f>
        <v>0</v>
      </c>
      <c r="AC10" s="45">
        <v>0.0</v>
      </c>
      <c r="AD10" s="45" t="s">
        <v>1210</v>
      </c>
      <c r="AE10" s="45" t="s">
        <v>1211</v>
      </c>
      <c r="AF10" s="45">
        <v>9.398224596E9</v>
      </c>
      <c r="AG10" s="45">
        <v>9.398224596E9</v>
      </c>
      <c r="AH10" s="45" t="s">
        <v>136</v>
      </c>
      <c r="AI10" s="45" t="s">
        <v>136</v>
      </c>
      <c r="AJ10" s="45" t="str">
        <f>VLOOKUP(B10,'Analysis data'!B:K,10,false)</f>
        <v>OPENTEXT</v>
      </c>
      <c r="AK10" s="45" t="s">
        <v>1212</v>
      </c>
      <c r="AL10" s="45" t="s">
        <v>1213</v>
      </c>
      <c r="AM10" s="45">
        <v>8.95</v>
      </c>
      <c r="AN10" s="45">
        <v>8.34</v>
      </c>
      <c r="AO10" s="45">
        <v>7.82</v>
      </c>
      <c r="AP10" s="45">
        <v>0.0</v>
      </c>
      <c r="AQ10" s="45">
        <v>8.32</v>
      </c>
      <c r="AR10" s="45">
        <v>8.27</v>
      </c>
      <c r="AU10" s="45" t="s">
        <v>1011</v>
      </c>
      <c r="AX10" s="45" t="s">
        <v>1012</v>
      </c>
    </row>
    <row r="11">
      <c r="A11" s="45">
        <v>10.0</v>
      </c>
      <c r="B11" s="45" t="s">
        <v>152</v>
      </c>
      <c r="C11" s="45" t="s">
        <v>1257</v>
      </c>
      <c r="D11" s="45" t="s">
        <v>1258</v>
      </c>
      <c r="E11" s="45" t="s">
        <v>153</v>
      </c>
      <c r="F11" s="45" t="str">
        <f>VLOOKUP(B11,'Analysis data'!$B$2:$C$358,2,false)</f>
        <v>A</v>
      </c>
      <c r="G11" s="45" t="str">
        <f>VLOOKUP(B11, 'Analysis data'!$B$2:$I$358, 8, FALSE)</f>
        <v> Management</v>
      </c>
      <c r="H11" s="124" t="s">
        <v>3470</v>
      </c>
      <c r="I11" s="125" t="s">
        <v>3473</v>
      </c>
      <c r="J11" s="119">
        <v>7.15942E11</v>
      </c>
      <c r="K11" s="45">
        <f>VLOOKUP(B11,'Analysis data'!B:E,4,false)</f>
        <v>7.29</v>
      </c>
      <c r="L11" s="45">
        <v>817.0</v>
      </c>
      <c r="M11" s="45" t="s">
        <v>1003</v>
      </c>
      <c r="N11" s="45" t="s">
        <v>1003</v>
      </c>
      <c r="O11" s="45" t="s">
        <v>1259</v>
      </c>
      <c r="P11" s="45">
        <v>0.0</v>
      </c>
      <c r="Q11" s="45">
        <v>0.0</v>
      </c>
      <c r="R11" s="45" t="s">
        <v>1260</v>
      </c>
      <c r="S11" s="45" t="s">
        <v>46</v>
      </c>
      <c r="T11" s="45" t="s">
        <v>1006</v>
      </c>
      <c r="U11" s="45">
        <v>70.0</v>
      </c>
      <c r="V11" s="45">
        <v>2019.0</v>
      </c>
      <c r="W11" s="45">
        <v>88.0</v>
      </c>
      <c r="X11" s="45">
        <v>2021.0</v>
      </c>
      <c r="Y11" s="45">
        <v>7.3</v>
      </c>
      <c r="Z11" s="45">
        <v>68.0</v>
      </c>
      <c r="AA11" s="45">
        <v>2025.0</v>
      </c>
      <c r="AB11" s="45">
        <f>VLOOKUP(B11,'Analysis data'!$B$1:$F$358,5,false)</f>
        <v>0</v>
      </c>
      <c r="AC11" s="45">
        <v>1.0</v>
      </c>
      <c r="AD11" s="45" t="s">
        <v>1261</v>
      </c>
      <c r="AE11" s="45" t="s">
        <v>1262</v>
      </c>
      <c r="AF11" s="45">
        <v>6.304655163E9</v>
      </c>
      <c r="AG11" s="45">
        <v>9.989094187E9</v>
      </c>
      <c r="AH11" s="45">
        <v>0.0</v>
      </c>
      <c r="AI11" s="45">
        <v>0.0</v>
      </c>
      <c r="AJ11" s="45" t="str">
        <f>VLOOKUP(B11,'Analysis data'!B:K,10,false)</f>
        <v>CAPGEMINI-ANALYST</v>
      </c>
      <c r="AK11" s="45" t="s">
        <v>1263</v>
      </c>
      <c r="AL11" s="45" t="s">
        <v>1264</v>
      </c>
      <c r="AM11" s="45">
        <v>6.81</v>
      </c>
      <c r="AN11" s="45">
        <v>7.44</v>
      </c>
      <c r="AO11" s="45">
        <v>7.34</v>
      </c>
      <c r="AP11" s="45">
        <v>0.0</v>
      </c>
      <c r="AQ11" s="45">
        <v>7.2</v>
      </c>
      <c r="AR11" s="45">
        <v>7.24</v>
      </c>
      <c r="AU11" s="45" t="s">
        <v>1011</v>
      </c>
      <c r="AX11" s="45" t="s">
        <v>1012</v>
      </c>
    </row>
    <row r="12">
      <c r="A12" s="45">
        <v>11.0</v>
      </c>
      <c r="B12" s="45" t="s">
        <v>155</v>
      </c>
      <c r="C12" s="45" t="s">
        <v>1265</v>
      </c>
      <c r="D12" s="45" t="s">
        <v>1266</v>
      </c>
      <c r="E12" s="45" t="s">
        <v>156</v>
      </c>
      <c r="F12" s="45" t="str">
        <f>VLOOKUP(B12,'Analysis data'!$B$2:$C$358,2,false)</f>
        <v>A</v>
      </c>
      <c r="G12" s="45" t="str">
        <f>VLOOKUP(B12, 'Analysis data'!$B$2:$I$358, 8, FALSE)</f>
        <v> Management</v>
      </c>
      <c r="H12" s="124" t="s">
        <v>3470</v>
      </c>
      <c r="I12" s="125" t="s">
        <v>3473</v>
      </c>
      <c r="J12" s="119">
        <v>2.90575E11</v>
      </c>
      <c r="K12" s="45">
        <f>VLOOKUP(B12,'Analysis data'!B:E,4,false)</f>
        <v>8.19</v>
      </c>
      <c r="L12" s="45">
        <v>963.0</v>
      </c>
      <c r="M12" s="45" t="s">
        <v>1003</v>
      </c>
      <c r="N12" s="45" t="s">
        <v>1003</v>
      </c>
      <c r="O12" s="45" t="s">
        <v>1123</v>
      </c>
      <c r="P12" s="45">
        <v>0.0</v>
      </c>
      <c r="Q12" s="45">
        <v>0.0</v>
      </c>
      <c r="R12" s="45" t="s">
        <v>1267</v>
      </c>
      <c r="S12" s="45" t="s">
        <v>46</v>
      </c>
      <c r="T12" s="45" t="s">
        <v>1006</v>
      </c>
      <c r="U12" s="45">
        <v>97.0</v>
      </c>
      <c r="V12" s="45">
        <v>2019.0</v>
      </c>
      <c r="W12" s="45">
        <v>97.4</v>
      </c>
      <c r="X12" s="45">
        <v>2021.0</v>
      </c>
      <c r="Y12" s="45">
        <v>8.2</v>
      </c>
      <c r="Z12" s="45">
        <v>77.0</v>
      </c>
      <c r="AA12" s="45">
        <v>2025.0</v>
      </c>
      <c r="AB12" s="45">
        <f>VLOOKUP(B12,'Analysis data'!$B$1:$F$358,5,false)</f>
        <v>0</v>
      </c>
      <c r="AC12" s="45">
        <v>0.0</v>
      </c>
      <c r="AD12" s="45" t="s">
        <v>1268</v>
      </c>
      <c r="AE12" s="45" t="s">
        <v>1269</v>
      </c>
      <c r="AF12" s="45">
        <v>8.919162146E9</v>
      </c>
      <c r="AG12" s="45">
        <v>9.550426999E9</v>
      </c>
      <c r="AH12" s="45" t="s">
        <v>3475</v>
      </c>
      <c r="AI12" s="45" t="s">
        <v>90</v>
      </c>
      <c r="AJ12" s="45" t="str">
        <f>VLOOKUP(B12,'Analysis data'!B:K,10,false)</f>
        <v>CORIZO-BDA &amp; SEOAK &amp; COGNIZANT-OFF CAMPUS</v>
      </c>
      <c r="AK12" s="45" t="s">
        <v>1270</v>
      </c>
      <c r="AL12" s="45" t="s">
        <v>1271</v>
      </c>
      <c r="AM12" s="45">
        <v>8.05</v>
      </c>
      <c r="AN12" s="45">
        <v>8.24</v>
      </c>
      <c r="AO12" s="45">
        <v>8.27</v>
      </c>
      <c r="AP12" s="45">
        <v>0.0</v>
      </c>
      <c r="AQ12" s="45">
        <v>8.15</v>
      </c>
      <c r="AR12" s="45">
        <v>8.15</v>
      </c>
      <c r="AU12" s="45" t="s">
        <v>1011</v>
      </c>
      <c r="AX12" s="45" t="s">
        <v>1012</v>
      </c>
    </row>
    <row r="13">
      <c r="A13" s="45">
        <v>12.0</v>
      </c>
      <c r="B13" s="45" t="s">
        <v>160</v>
      </c>
      <c r="C13" s="45" t="s">
        <v>1279</v>
      </c>
      <c r="D13" s="45" t="s">
        <v>1280</v>
      </c>
      <c r="E13" s="45" t="s">
        <v>161</v>
      </c>
      <c r="F13" s="45" t="str">
        <f>VLOOKUP(B13,'Analysis data'!$B$2:$C$358,2,false)</f>
        <v>A</v>
      </c>
      <c r="G13" s="45" t="str">
        <f>VLOOKUP(B13, 'Analysis data'!$B$2:$I$358, 8, FALSE)</f>
        <v> Convener</v>
      </c>
      <c r="H13" s="124" t="s">
        <v>3470</v>
      </c>
      <c r="I13" s="125" t="s">
        <v>3473</v>
      </c>
      <c r="J13" s="119">
        <v>3.24007E11</v>
      </c>
      <c r="K13" s="45">
        <f>VLOOKUP(B13,'Analysis data'!B:E,4,false)</f>
        <v>7.75</v>
      </c>
      <c r="L13" s="45" t="s">
        <v>1003</v>
      </c>
      <c r="M13" s="45" t="s">
        <v>1003</v>
      </c>
      <c r="N13" s="45" t="s">
        <v>1003</v>
      </c>
      <c r="O13" s="45" t="s">
        <v>1123</v>
      </c>
      <c r="P13" s="45">
        <v>25146.0</v>
      </c>
      <c r="Q13" s="45">
        <v>0.0</v>
      </c>
      <c r="R13" s="45" t="s">
        <v>1281</v>
      </c>
      <c r="S13" s="45" t="s">
        <v>46</v>
      </c>
      <c r="T13" s="45" t="s">
        <v>1006</v>
      </c>
      <c r="U13" s="45">
        <v>97.0</v>
      </c>
      <c r="V13" s="45">
        <v>2019.0</v>
      </c>
      <c r="W13" s="45">
        <v>87.0</v>
      </c>
      <c r="X13" s="45">
        <v>2021.0</v>
      </c>
      <c r="Y13" s="45">
        <v>7.8</v>
      </c>
      <c r="Z13" s="45">
        <v>73.0</v>
      </c>
      <c r="AA13" s="45">
        <v>2025.0</v>
      </c>
      <c r="AB13" s="45">
        <f>VLOOKUP(B13,'Analysis data'!$B$1:$F$358,5,false)</f>
        <v>0</v>
      </c>
      <c r="AC13" s="45">
        <v>0.0</v>
      </c>
      <c r="AD13" s="45" t="s">
        <v>1282</v>
      </c>
      <c r="AE13" s="45" t="s">
        <v>1283</v>
      </c>
      <c r="AF13" s="45">
        <v>9.390925019E9</v>
      </c>
      <c r="AG13" s="45">
        <v>9.441938941E9</v>
      </c>
      <c r="AH13" s="45">
        <v>0.0</v>
      </c>
      <c r="AI13" s="45">
        <v>0.0</v>
      </c>
      <c r="AJ13" s="45" t="str">
        <f>VLOOKUP(B13,'Analysis data'!B:K,10,false)</f>
        <v/>
      </c>
      <c r="AK13" s="45" t="s">
        <v>1284</v>
      </c>
      <c r="AL13" s="45" t="s">
        <v>1285</v>
      </c>
      <c r="AM13" s="45">
        <v>7.95</v>
      </c>
      <c r="AN13" s="45">
        <v>7.39</v>
      </c>
      <c r="AO13" s="45">
        <v>7.14</v>
      </c>
      <c r="AP13" s="45">
        <v>0.0</v>
      </c>
      <c r="AQ13" s="45">
        <v>7.63</v>
      </c>
      <c r="AR13" s="45">
        <v>7.69</v>
      </c>
      <c r="AU13" s="45" t="s">
        <v>1011</v>
      </c>
      <c r="AX13" s="45" t="s">
        <v>1028</v>
      </c>
    </row>
    <row r="14">
      <c r="A14" s="45">
        <v>13.0</v>
      </c>
      <c r="B14" s="45" t="s">
        <v>162</v>
      </c>
      <c r="C14" s="45" t="s">
        <v>1286</v>
      </c>
      <c r="D14" s="45" t="s">
        <v>1287</v>
      </c>
      <c r="E14" s="45" t="s">
        <v>163</v>
      </c>
      <c r="F14" s="45" t="str">
        <f>VLOOKUP(B14,'Analysis data'!$B$2:$C$358,2,false)</f>
        <v>A</v>
      </c>
      <c r="G14" s="45" t="str">
        <f>VLOOKUP(B14, 'Analysis data'!$B$2:$I$358, 8, FALSE)</f>
        <v> Convener</v>
      </c>
      <c r="H14" s="124" t="s">
        <v>3476</v>
      </c>
      <c r="I14" s="125" t="s">
        <v>3473</v>
      </c>
      <c r="J14" s="119">
        <v>4.37016E11</v>
      </c>
      <c r="K14" s="45">
        <f>VLOOKUP(B14,'Analysis data'!B:E,4,false)</f>
        <v>7.69</v>
      </c>
      <c r="L14" s="45">
        <v>1271.0</v>
      </c>
      <c r="M14" s="45" t="s">
        <v>1003</v>
      </c>
      <c r="N14" s="45" t="s">
        <v>1003</v>
      </c>
      <c r="O14" s="45" t="s">
        <v>1288</v>
      </c>
      <c r="P14" s="45">
        <v>11730.0</v>
      </c>
      <c r="Q14" s="45">
        <v>0.0</v>
      </c>
      <c r="R14" s="121">
        <v>37803.0</v>
      </c>
      <c r="S14" s="45" t="s">
        <v>46</v>
      </c>
      <c r="T14" s="45" t="s">
        <v>1006</v>
      </c>
      <c r="U14" s="45">
        <v>92.0</v>
      </c>
      <c r="V14" s="45">
        <v>2019.0</v>
      </c>
      <c r="W14" s="45">
        <v>73.0</v>
      </c>
      <c r="X14" s="45">
        <v>2021.0</v>
      </c>
      <c r="Y14" s="45">
        <v>7.7</v>
      </c>
      <c r="Z14" s="45">
        <v>72.0</v>
      </c>
      <c r="AA14" s="45">
        <v>2025.0</v>
      </c>
      <c r="AB14" s="45">
        <f>VLOOKUP(B14,'Analysis data'!$B$1:$F$358,5,false)</f>
        <v>0</v>
      </c>
      <c r="AC14" s="45">
        <v>1.0</v>
      </c>
      <c r="AD14" s="45" t="s">
        <v>1289</v>
      </c>
      <c r="AE14" s="45" t="s">
        <v>1290</v>
      </c>
      <c r="AF14" s="45">
        <v>9.704254982E9</v>
      </c>
      <c r="AG14" s="45">
        <v>9.441560571E9</v>
      </c>
      <c r="AH14" s="45" t="s">
        <v>90</v>
      </c>
      <c r="AI14" s="45" t="s">
        <v>90</v>
      </c>
      <c r="AJ14" s="45" t="str">
        <f>VLOOKUP(B14,'Analysis data'!B:K,10,false)</f>
        <v>SEOAK &amp; MRF</v>
      </c>
      <c r="AK14" s="45" t="s">
        <v>1291</v>
      </c>
      <c r="AL14" s="45" t="s">
        <v>1292</v>
      </c>
      <c r="AM14" s="45">
        <v>7.35</v>
      </c>
      <c r="AN14" s="45">
        <v>7.54</v>
      </c>
      <c r="AO14" s="45">
        <v>7.52</v>
      </c>
      <c r="AP14" s="45">
        <v>0.0</v>
      </c>
      <c r="AQ14" s="45">
        <v>7.51</v>
      </c>
      <c r="AR14" s="45">
        <v>7.6</v>
      </c>
      <c r="AU14" s="45" t="s">
        <v>1011</v>
      </c>
      <c r="AX14" s="45" t="s">
        <v>1028</v>
      </c>
    </row>
    <row r="15">
      <c r="A15" s="45">
        <v>14.0</v>
      </c>
      <c r="B15" s="45" t="s">
        <v>165</v>
      </c>
      <c r="C15" s="45" t="s">
        <v>1293</v>
      </c>
      <c r="D15" s="45" t="s">
        <v>1294</v>
      </c>
      <c r="E15" s="45" t="s">
        <v>166</v>
      </c>
      <c r="F15" s="45" t="str">
        <f>VLOOKUP(B15,'Analysis data'!$B$2:$C$358,2,false)</f>
        <v>A</v>
      </c>
      <c r="G15" s="45" t="str">
        <f>VLOOKUP(B15, 'Analysis data'!$B$2:$I$358, 8, FALSE)</f>
        <v> Convener</v>
      </c>
      <c r="H15" s="124" t="s">
        <v>3470</v>
      </c>
      <c r="I15" s="125" t="s">
        <v>3473</v>
      </c>
      <c r="J15" s="119">
        <v>4.1118E11</v>
      </c>
      <c r="K15" s="45" t="str">
        <f>VLOOKUP(B15,'Analysis data'!B:E,4,false)</f>
        <v/>
      </c>
      <c r="L15" s="45" t="s">
        <v>1003</v>
      </c>
      <c r="M15" s="45" t="s">
        <v>1003</v>
      </c>
      <c r="N15" s="45" t="s">
        <v>1003</v>
      </c>
      <c r="O15" s="45" t="s">
        <v>1295</v>
      </c>
      <c r="P15" s="45">
        <v>20302.0</v>
      </c>
      <c r="Q15" s="45">
        <v>0.0</v>
      </c>
      <c r="R15" s="45" t="s">
        <v>1296</v>
      </c>
      <c r="S15" s="45" t="s">
        <v>46</v>
      </c>
      <c r="T15" s="45" t="s">
        <v>1006</v>
      </c>
      <c r="U15" s="45">
        <v>95.0</v>
      </c>
      <c r="V15" s="45">
        <v>2019.0</v>
      </c>
      <c r="W15" s="45">
        <v>96.0</v>
      </c>
      <c r="X15" s="45">
        <v>2021.0</v>
      </c>
      <c r="Y15" s="45">
        <v>0.0</v>
      </c>
      <c r="Z15" s="45">
        <v>-5.0</v>
      </c>
      <c r="AA15" s="45">
        <v>2025.0</v>
      </c>
      <c r="AB15" s="45">
        <f>VLOOKUP(B15,'Analysis data'!$B$1:$F$358,5,false)</f>
        <v>1</v>
      </c>
      <c r="AC15" s="45">
        <v>2.0</v>
      </c>
      <c r="AD15" s="45" t="s">
        <v>1297</v>
      </c>
      <c r="AE15" s="45" t="s">
        <v>1298</v>
      </c>
      <c r="AF15" s="45">
        <v>6.304314963E9</v>
      </c>
      <c r="AG15" s="45">
        <v>9.963851326E9</v>
      </c>
      <c r="AH15" s="45">
        <v>0.0</v>
      </c>
      <c r="AI15" s="45">
        <v>0.0</v>
      </c>
      <c r="AJ15" s="45" t="str">
        <f>VLOOKUP(B15,'Analysis data'!B:K,10,false)</f>
        <v/>
      </c>
      <c r="AK15" s="45" t="s">
        <v>1299</v>
      </c>
      <c r="AL15" s="45" t="s">
        <v>1300</v>
      </c>
      <c r="AM15" s="45">
        <v>7.97</v>
      </c>
      <c r="AN15" s="45">
        <v>7.73</v>
      </c>
      <c r="AO15" s="45">
        <v>7.3</v>
      </c>
      <c r="AP15" s="45">
        <v>0.0</v>
      </c>
      <c r="AQ15" s="45">
        <v>7.49</v>
      </c>
      <c r="AR15" s="45">
        <v>0.0</v>
      </c>
      <c r="AU15" s="45" t="s">
        <v>1011</v>
      </c>
      <c r="AX15" s="45" t="s">
        <v>1012</v>
      </c>
    </row>
    <row r="16">
      <c r="A16" s="45">
        <v>15.0</v>
      </c>
      <c r="B16" s="45" t="s">
        <v>171</v>
      </c>
      <c r="C16" s="45" t="s">
        <v>1316</v>
      </c>
      <c r="D16" s="45" t="s">
        <v>1317</v>
      </c>
      <c r="E16" s="45" t="s">
        <v>172</v>
      </c>
      <c r="F16" s="45" t="str">
        <f>VLOOKUP(B16,'Analysis data'!$B$2:$C$358,2,false)</f>
        <v>A</v>
      </c>
      <c r="G16" s="45" t="str">
        <f>VLOOKUP(B16, 'Analysis data'!$B$2:$I$358, 8, FALSE)</f>
        <v> Convener</v>
      </c>
      <c r="H16" s="124" t="s">
        <v>3474</v>
      </c>
      <c r="I16" s="125" t="s">
        <v>3473</v>
      </c>
      <c r="J16" s="119">
        <v>2.65819E11</v>
      </c>
      <c r="K16" s="45">
        <f>VLOOKUP(B16,'Analysis data'!B:E,4,false)</f>
        <v>9.07</v>
      </c>
      <c r="L16" s="45" t="s">
        <v>1003</v>
      </c>
      <c r="M16" s="45" t="s">
        <v>1003</v>
      </c>
      <c r="N16" s="45" t="s">
        <v>1003</v>
      </c>
      <c r="O16" s="45" t="s">
        <v>1318</v>
      </c>
      <c r="P16" s="45">
        <v>14030.0</v>
      </c>
      <c r="Q16" s="45">
        <v>0.0</v>
      </c>
      <c r="R16" s="121">
        <v>37714.0</v>
      </c>
      <c r="S16" s="45" t="s">
        <v>46</v>
      </c>
      <c r="T16" s="45" t="s">
        <v>1006</v>
      </c>
      <c r="U16" s="45">
        <v>95.0</v>
      </c>
      <c r="V16" s="45">
        <v>2019.0</v>
      </c>
      <c r="W16" s="45">
        <v>98.0</v>
      </c>
      <c r="X16" s="45">
        <v>2021.0</v>
      </c>
      <c r="Y16" s="45">
        <v>9.1</v>
      </c>
      <c r="Z16" s="45">
        <v>86.0</v>
      </c>
      <c r="AA16" s="45">
        <v>2025.0</v>
      </c>
      <c r="AB16" s="45">
        <f>VLOOKUP(B16,'Analysis data'!$B$1:$F$358,5,false)</f>
        <v>0</v>
      </c>
      <c r="AC16" s="45">
        <v>0.0</v>
      </c>
      <c r="AD16" s="45" t="s">
        <v>1319</v>
      </c>
      <c r="AE16" s="45" t="s">
        <v>1320</v>
      </c>
      <c r="AF16" s="45">
        <v>9.849413155E9</v>
      </c>
      <c r="AG16" s="45">
        <v>9.55066993E9</v>
      </c>
      <c r="AH16" s="45" t="s">
        <v>69</v>
      </c>
      <c r="AI16" s="45" t="s">
        <v>69</v>
      </c>
      <c r="AJ16" s="45" t="str">
        <f>VLOOKUP(B16,'Analysis data'!B:K,10,false)</f>
        <v>FRUGAL TESTING</v>
      </c>
      <c r="AK16" s="45" t="s">
        <v>1321</v>
      </c>
      <c r="AL16" s="45" t="s">
        <v>1322</v>
      </c>
      <c r="AM16" s="45">
        <v>9.49</v>
      </c>
      <c r="AN16" s="45">
        <v>8.93</v>
      </c>
      <c r="AO16" s="45">
        <v>9.05</v>
      </c>
      <c r="AP16" s="45">
        <v>0.0</v>
      </c>
      <c r="AQ16" s="45">
        <v>9.13</v>
      </c>
      <c r="AR16" s="45">
        <v>9.06</v>
      </c>
      <c r="AU16" s="45" t="s">
        <v>1011</v>
      </c>
      <c r="AX16" s="45" t="s">
        <v>1012</v>
      </c>
    </row>
    <row r="17">
      <c r="A17" s="45">
        <v>16.0</v>
      </c>
      <c r="B17" s="45" t="s">
        <v>173</v>
      </c>
      <c r="C17" s="45" t="s">
        <v>1323</v>
      </c>
      <c r="D17" s="45" t="s">
        <v>1324</v>
      </c>
      <c r="E17" s="45" t="s">
        <v>174</v>
      </c>
      <c r="F17" s="45" t="str">
        <f>VLOOKUP(B17,'Analysis data'!$B$2:$C$358,2,false)</f>
        <v>A</v>
      </c>
      <c r="G17" s="45" t="str">
        <f>VLOOKUP(B17, 'Analysis data'!$B$2:$I$358, 8, FALSE)</f>
        <v> Management</v>
      </c>
      <c r="H17" s="124" t="s">
        <v>3470</v>
      </c>
      <c r="I17" s="125" t="s">
        <v>3473</v>
      </c>
      <c r="J17" s="119">
        <v>3.36781E11</v>
      </c>
      <c r="K17" s="45" t="str">
        <f>VLOOKUP(B17,'Analysis data'!B:E,4,false)</f>
        <v/>
      </c>
      <c r="L17" s="45" t="s">
        <v>1003</v>
      </c>
      <c r="M17" s="45" t="s">
        <v>1003</v>
      </c>
      <c r="N17" s="45" t="s">
        <v>1003</v>
      </c>
      <c r="O17" s="45" t="s">
        <v>1325</v>
      </c>
      <c r="P17" s="45">
        <v>0.0</v>
      </c>
      <c r="Q17" s="45">
        <v>0.0</v>
      </c>
      <c r="R17" s="45" t="s">
        <v>1326</v>
      </c>
      <c r="S17" s="45" t="s">
        <v>46</v>
      </c>
      <c r="T17" s="45" t="s">
        <v>1006</v>
      </c>
      <c r="U17" s="45">
        <v>71.2</v>
      </c>
      <c r="V17" s="45">
        <v>2019.0</v>
      </c>
      <c r="W17" s="45">
        <v>85.0</v>
      </c>
      <c r="X17" s="45">
        <v>2021.0</v>
      </c>
      <c r="Y17" s="45">
        <v>6.59</v>
      </c>
      <c r="Z17" s="45">
        <v>60.9</v>
      </c>
      <c r="AA17" s="45">
        <v>2025.0</v>
      </c>
      <c r="AB17" s="45">
        <f>VLOOKUP(B17,'Analysis data'!$B$1:$F$358,5,false)</f>
        <v>2</v>
      </c>
      <c r="AC17" s="45">
        <v>11.0</v>
      </c>
      <c r="AD17" s="45" t="s">
        <v>1327</v>
      </c>
      <c r="AE17" s="45" t="s">
        <v>1328</v>
      </c>
      <c r="AF17" s="45">
        <v>7.288073616E9</v>
      </c>
      <c r="AG17" s="45">
        <v>9.440723973E9</v>
      </c>
      <c r="AH17" s="45">
        <v>0.0</v>
      </c>
      <c r="AI17" s="45">
        <v>0.0</v>
      </c>
      <c r="AJ17" s="45" t="str">
        <f>VLOOKUP(B17,'Analysis data'!B:K,10,false)</f>
        <v>EDU-VERSITY</v>
      </c>
      <c r="AK17" s="45" t="s">
        <v>1329</v>
      </c>
      <c r="AL17" s="45" t="s">
        <v>1330</v>
      </c>
      <c r="AM17" s="45">
        <v>7.32</v>
      </c>
      <c r="AN17" s="45">
        <v>0.0</v>
      </c>
      <c r="AO17" s="45">
        <v>6.72</v>
      </c>
      <c r="AP17" s="45">
        <v>0.0</v>
      </c>
      <c r="AQ17" s="45">
        <v>5.62</v>
      </c>
      <c r="AR17" s="45">
        <v>0.0</v>
      </c>
      <c r="AU17" s="45" t="s">
        <v>1011</v>
      </c>
      <c r="AX17" s="45" t="s">
        <v>1012</v>
      </c>
    </row>
    <row r="18">
      <c r="A18" s="45">
        <v>17.0</v>
      </c>
      <c r="B18" s="45" t="s">
        <v>179</v>
      </c>
      <c r="C18" s="45" t="s">
        <v>1339</v>
      </c>
      <c r="D18" s="45" t="s">
        <v>1340</v>
      </c>
      <c r="E18" s="45" t="s">
        <v>180</v>
      </c>
      <c r="F18" s="45" t="str">
        <f>VLOOKUP(B18,'Analysis data'!$B$2:$C$358,2,false)</f>
        <v>A</v>
      </c>
      <c r="G18" s="45" t="str">
        <f>VLOOKUP(B18, 'Analysis data'!$B$2:$I$358, 8, FALSE)</f>
        <v> Convener</v>
      </c>
      <c r="H18" s="124" t="s">
        <v>3470</v>
      </c>
      <c r="I18" s="125" t="s">
        <v>3477</v>
      </c>
      <c r="J18" s="119">
        <v>3.40361E11</v>
      </c>
      <c r="K18" s="45" t="str">
        <f>VLOOKUP(B18,'Analysis data'!B:E,4,false)</f>
        <v/>
      </c>
      <c r="L18" s="45" t="s">
        <v>1003</v>
      </c>
      <c r="M18" s="45" t="s">
        <v>1003</v>
      </c>
      <c r="N18" s="45" t="s">
        <v>1003</v>
      </c>
      <c r="O18" s="45" t="s">
        <v>1341</v>
      </c>
      <c r="P18" s="45">
        <v>24771.0</v>
      </c>
      <c r="Q18" s="45">
        <v>0.0</v>
      </c>
      <c r="R18" s="121">
        <v>37289.0</v>
      </c>
      <c r="S18" s="45" t="s">
        <v>46</v>
      </c>
      <c r="T18" s="45" t="s">
        <v>1006</v>
      </c>
      <c r="U18" s="45">
        <v>93.0</v>
      </c>
      <c r="V18" s="45">
        <v>2019.0</v>
      </c>
      <c r="W18" s="45">
        <v>92.8</v>
      </c>
      <c r="X18" s="45">
        <v>2021.0</v>
      </c>
      <c r="Y18" s="45">
        <v>7.61</v>
      </c>
      <c r="Z18" s="45">
        <v>71.1</v>
      </c>
      <c r="AA18" s="45">
        <v>2025.0</v>
      </c>
      <c r="AB18" s="45">
        <f>VLOOKUP(B18,'Analysis data'!$B$1:$F$358,5,false)</f>
        <v>1</v>
      </c>
      <c r="AC18" s="45">
        <v>0.0</v>
      </c>
      <c r="AD18" s="45" t="s">
        <v>1342</v>
      </c>
      <c r="AE18" s="45" t="s">
        <v>1343</v>
      </c>
      <c r="AF18" s="45">
        <v>7.995423141E9</v>
      </c>
      <c r="AG18" s="45">
        <v>9.392854843E9</v>
      </c>
      <c r="AH18" s="45">
        <v>0.0</v>
      </c>
      <c r="AI18" s="45">
        <v>0.0</v>
      </c>
      <c r="AJ18" s="45" t="str">
        <f>VLOOKUP(B18,'Analysis data'!B:K,10,false)</f>
        <v>MRF</v>
      </c>
      <c r="AK18" s="45" t="s">
        <v>1344</v>
      </c>
      <c r="AL18" s="45" t="s">
        <v>1345</v>
      </c>
      <c r="AM18" s="45">
        <v>7.49</v>
      </c>
      <c r="AN18" s="45">
        <v>6.98</v>
      </c>
      <c r="AO18" s="45">
        <v>8.25</v>
      </c>
      <c r="AP18" s="45">
        <v>0.0</v>
      </c>
      <c r="AQ18" s="45">
        <v>7.6</v>
      </c>
      <c r="AR18" s="45">
        <v>7.62</v>
      </c>
      <c r="AU18" s="45" t="s">
        <v>1011</v>
      </c>
      <c r="AX18" s="45" t="s">
        <v>1012</v>
      </c>
    </row>
    <row r="19">
      <c r="A19" s="45">
        <v>18.0</v>
      </c>
      <c r="B19" s="45" t="s">
        <v>184</v>
      </c>
      <c r="C19" s="45" t="s">
        <v>1354</v>
      </c>
      <c r="D19" s="45" t="s">
        <v>1355</v>
      </c>
      <c r="E19" s="45" t="s">
        <v>185</v>
      </c>
      <c r="F19" s="45" t="str">
        <f>VLOOKUP(B19,'Analysis data'!$B$2:$C$358,2,false)</f>
        <v>A</v>
      </c>
      <c r="G19" s="45" t="str">
        <f>VLOOKUP(B19, 'Analysis data'!$B$2:$I$358, 8, FALSE)</f>
        <v> Management</v>
      </c>
      <c r="H19" s="124" t="s">
        <v>3470</v>
      </c>
      <c r="I19" s="125" t="s">
        <v>3477</v>
      </c>
      <c r="J19" s="119">
        <v>4.33767E11</v>
      </c>
      <c r="K19" s="45">
        <f>VLOOKUP(B19,'Analysis data'!B:E,4,false)</f>
        <v>7.63</v>
      </c>
      <c r="L19" s="45" t="s">
        <v>1003</v>
      </c>
      <c r="M19" s="45" t="s">
        <v>1003</v>
      </c>
      <c r="N19" s="45" t="s">
        <v>1003</v>
      </c>
      <c r="O19" s="45" t="s">
        <v>1356</v>
      </c>
      <c r="P19" s="45">
        <v>0.0</v>
      </c>
      <c r="Q19" s="45">
        <v>0.0</v>
      </c>
      <c r="R19" s="121">
        <v>38177.0</v>
      </c>
      <c r="S19" s="45" t="s">
        <v>46</v>
      </c>
      <c r="T19" s="45" t="s">
        <v>1006</v>
      </c>
      <c r="U19" s="45">
        <v>81.0</v>
      </c>
      <c r="V19" s="45">
        <v>2019.0</v>
      </c>
      <c r="W19" s="45">
        <v>78.0</v>
      </c>
      <c r="X19" s="45">
        <v>2021.0</v>
      </c>
      <c r="Y19" s="45">
        <v>7.6</v>
      </c>
      <c r="Z19" s="45">
        <v>71.0</v>
      </c>
      <c r="AA19" s="45">
        <v>2025.0</v>
      </c>
      <c r="AB19" s="45">
        <f>VLOOKUP(B19,'Analysis data'!$B$1:$F$358,5,false)</f>
        <v>0</v>
      </c>
      <c r="AC19" s="45">
        <v>0.0</v>
      </c>
      <c r="AD19" s="45" t="s">
        <v>1357</v>
      </c>
      <c r="AE19" s="45" t="s">
        <v>1358</v>
      </c>
      <c r="AF19" s="45">
        <v>9.390999758E9</v>
      </c>
      <c r="AG19" s="45">
        <v>9.848064779E9</v>
      </c>
      <c r="AH19" s="45">
        <v>0.0</v>
      </c>
      <c r="AI19" s="45">
        <v>0.0</v>
      </c>
      <c r="AJ19" s="45" t="str">
        <f>VLOOKUP(B19,'Analysis data'!B:K,10,false)</f>
        <v/>
      </c>
      <c r="AK19" s="45" t="s">
        <v>1359</v>
      </c>
      <c r="AL19" s="45" t="s">
        <v>1360</v>
      </c>
      <c r="AM19" s="45">
        <v>7.35</v>
      </c>
      <c r="AN19" s="45">
        <v>7.66</v>
      </c>
      <c r="AO19" s="45">
        <v>0.0</v>
      </c>
      <c r="AP19" s="45">
        <v>0.0</v>
      </c>
      <c r="AQ19" s="45">
        <v>7.62</v>
      </c>
      <c r="AR19" s="45">
        <v>7.62</v>
      </c>
      <c r="AU19" s="45" t="s">
        <v>1011</v>
      </c>
      <c r="AX19" s="45" t="s">
        <v>1012</v>
      </c>
    </row>
    <row r="20">
      <c r="A20" s="45">
        <v>19.0</v>
      </c>
      <c r="B20" s="45" t="s">
        <v>192</v>
      </c>
      <c r="C20" s="45" t="s">
        <v>1374</v>
      </c>
      <c r="D20" s="45" t="s">
        <v>1375</v>
      </c>
      <c r="E20" s="45" t="s">
        <v>193</v>
      </c>
      <c r="F20" s="45" t="str">
        <f>VLOOKUP(B20,'Analysis data'!$B$2:$C$358,2,false)</f>
        <v>A</v>
      </c>
      <c r="G20" s="45" t="str">
        <f>VLOOKUP(B20, 'Analysis data'!$B$2:$I$358, 8, FALSE)</f>
        <v> Convener</v>
      </c>
      <c r="H20" s="124" t="s">
        <v>3476</v>
      </c>
      <c r="I20" s="125" t="s">
        <v>3477</v>
      </c>
      <c r="J20" s="119">
        <v>7.55978E11</v>
      </c>
      <c r="K20" s="45">
        <f>VLOOKUP(B20,'Analysis data'!B:E,4,false)</f>
        <v>7.02</v>
      </c>
      <c r="L20" s="45" t="s">
        <v>1003</v>
      </c>
      <c r="M20" s="45" t="s">
        <v>1003</v>
      </c>
      <c r="N20" s="45" t="s">
        <v>1003</v>
      </c>
      <c r="O20" s="45" t="s">
        <v>1376</v>
      </c>
      <c r="P20" s="45">
        <v>8884.0</v>
      </c>
      <c r="Q20" s="45">
        <v>0.0</v>
      </c>
      <c r="R20" s="121">
        <v>38114.0</v>
      </c>
      <c r="S20" s="45" t="s">
        <v>46</v>
      </c>
      <c r="T20" s="45" t="s">
        <v>1006</v>
      </c>
      <c r="U20" s="45">
        <v>75.0</v>
      </c>
      <c r="V20" s="45">
        <v>2019.0</v>
      </c>
      <c r="W20" s="45">
        <v>68.0</v>
      </c>
      <c r="X20" s="45">
        <v>2021.0</v>
      </c>
      <c r="Y20" s="45">
        <v>7.0</v>
      </c>
      <c r="Z20" s="45">
        <v>65.0</v>
      </c>
      <c r="AA20" s="45">
        <v>2025.0</v>
      </c>
      <c r="AB20" s="45">
        <f>VLOOKUP(B20,'Analysis data'!$B$1:$F$358,5,false)</f>
        <v>0</v>
      </c>
      <c r="AC20" s="45">
        <v>0.0</v>
      </c>
      <c r="AD20" s="45" t="s">
        <v>1377</v>
      </c>
      <c r="AE20" s="45" t="s">
        <v>1378</v>
      </c>
      <c r="AF20" s="45">
        <v>8.341999123E9</v>
      </c>
      <c r="AG20" s="45">
        <v>9.948108221E9</v>
      </c>
      <c r="AH20" s="45" t="s">
        <v>194</v>
      </c>
      <c r="AI20" s="45">
        <v>0.0</v>
      </c>
      <c r="AJ20" s="45" t="str">
        <f>VLOOKUP(B20,'Analysis data'!B:K,10,false)</f>
        <v>CORIZO1-BOE</v>
      </c>
      <c r="AK20" s="45" t="s">
        <v>1379</v>
      </c>
      <c r="AL20" s="45" t="s">
        <v>1380</v>
      </c>
      <c r="AM20" s="45">
        <v>7.57</v>
      </c>
      <c r="AN20" s="45">
        <v>7.39</v>
      </c>
      <c r="AO20" s="45">
        <v>6.5</v>
      </c>
      <c r="AP20" s="45">
        <v>0.0</v>
      </c>
      <c r="AQ20" s="45">
        <v>7.16</v>
      </c>
      <c r="AR20" s="45">
        <v>7.07</v>
      </c>
      <c r="AU20" s="45" t="s">
        <v>1011</v>
      </c>
      <c r="AX20" s="45" t="s">
        <v>1012</v>
      </c>
    </row>
    <row r="21">
      <c r="A21" s="45">
        <v>20.0</v>
      </c>
      <c r="B21" s="45" t="s">
        <v>202</v>
      </c>
      <c r="C21" s="45" t="s">
        <v>1402</v>
      </c>
      <c r="D21" s="45" t="s">
        <v>1403</v>
      </c>
      <c r="E21" s="45" t="s">
        <v>203</v>
      </c>
      <c r="F21" s="45" t="str">
        <f>VLOOKUP(B21,'Analysis data'!$B$2:$C$358,2,false)</f>
        <v>A</v>
      </c>
      <c r="G21" s="45" t="str">
        <f>VLOOKUP(B21, 'Analysis data'!$B$2:$I$358, 8, FALSE)</f>
        <v> Convener</v>
      </c>
      <c r="H21" s="124" t="s">
        <v>3470</v>
      </c>
      <c r="I21" s="125" t="s">
        <v>3477</v>
      </c>
      <c r="J21" s="119">
        <v>7.80262E11</v>
      </c>
      <c r="K21" s="45">
        <f>VLOOKUP(B21,'Analysis data'!B:E,4,false)</f>
        <v>7.75</v>
      </c>
      <c r="L21" s="45">
        <v>731.0</v>
      </c>
      <c r="M21" s="45" t="s">
        <v>1003</v>
      </c>
      <c r="N21" s="45" t="s">
        <v>1003</v>
      </c>
      <c r="O21" s="45" t="s">
        <v>1404</v>
      </c>
      <c r="P21" s="45">
        <v>19238.0</v>
      </c>
      <c r="Q21" s="45">
        <v>0.0</v>
      </c>
      <c r="R21" s="45" t="s">
        <v>1405</v>
      </c>
      <c r="S21" s="45" t="s">
        <v>46</v>
      </c>
      <c r="T21" s="45" t="s">
        <v>1006</v>
      </c>
      <c r="U21" s="45">
        <v>93.0</v>
      </c>
      <c r="V21" s="45">
        <v>2019.0</v>
      </c>
      <c r="W21" s="45">
        <v>93.8</v>
      </c>
      <c r="X21" s="45">
        <v>2021.0</v>
      </c>
      <c r="Y21" s="45">
        <v>7.8</v>
      </c>
      <c r="Z21" s="45">
        <v>73.0</v>
      </c>
      <c r="AA21" s="45">
        <v>2025.0</v>
      </c>
      <c r="AB21" s="45">
        <f>VLOOKUP(B21,'Analysis data'!$B$1:$F$358,5,false)</f>
        <v>0</v>
      </c>
      <c r="AC21" s="45">
        <v>0.0</v>
      </c>
      <c r="AD21" s="45" t="s">
        <v>1406</v>
      </c>
      <c r="AE21" s="45" t="s">
        <v>1407</v>
      </c>
      <c r="AF21" s="45">
        <v>7.075367367E9</v>
      </c>
      <c r="AG21" s="45">
        <v>7.799224242E9</v>
      </c>
      <c r="AH21" s="45">
        <v>0.0</v>
      </c>
      <c r="AI21" s="45">
        <v>0.0</v>
      </c>
      <c r="AJ21" s="45" t="str">
        <f>VLOOKUP(B21,'Analysis data'!B:K,10,false)</f>
        <v>ASSET10 SOFTWARE</v>
      </c>
      <c r="AK21" s="45" t="s">
        <v>1408</v>
      </c>
      <c r="AL21" s="45" t="s">
        <v>1409</v>
      </c>
      <c r="AM21" s="45">
        <v>7.59</v>
      </c>
      <c r="AN21" s="45">
        <v>8.07</v>
      </c>
      <c r="AO21" s="45">
        <v>8.34</v>
      </c>
      <c r="AP21" s="45">
        <v>0.0</v>
      </c>
      <c r="AQ21" s="45">
        <v>7.82</v>
      </c>
      <c r="AR21" s="45">
        <v>7.73</v>
      </c>
      <c r="AX21" s="45" t="s">
        <v>1012</v>
      </c>
    </row>
    <row r="22">
      <c r="A22" s="45">
        <v>21.0</v>
      </c>
      <c r="B22" s="45" t="s">
        <v>216</v>
      </c>
      <c r="C22" s="45" t="s">
        <v>1440</v>
      </c>
      <c r="D22" s="45" t="s">
        <v>1441</v>
      </c>
      <c r="E22" s="45" t="s">
        <v>217</v>
      </c>
      <c r="F22" s="45" t="str">
        <f>VLOOKUP(B22,'Analysis data'!$B$2:$C$358,2,false)</f>
        <v>A</v>
      </c>
      <c r="G22" s="45" t="str">
        <f>VLOOKUP(B22, 'Analysis data'!$B$2:$I$358, 8, FALSE)</f>
        <v> Management</v>
      </c>
      <c r="H22" s="124" t="s">
        <v>3474</v>
      </c>
      <c r="I22" s="125" t="s">
        <v>3477</v>
      </c>
      <c r="J22" s="119">
        <v>2.88151E11</v>
      </c>
      <c r="K22" s="45">
        <f>VLOOKUP(B22,'Analysis data'!B:E,4,false)</f>
        <v>8.28</v>
      </c>
      <c r="L22" s="45">
        <v>895.0</v>
      </c>
      <c r="M22" s="45">
        <v>5769.0</v>
      </c>
      <c r="N22" s="45">
        <v>6054.0</v>
      </c>
      <c r="O22" s="45" t="s">
        <v>1442</v>
      </c>
      <c r="P22" s="45">
        <v>0.0</v>
      </c>
      <c r="Q22" s="45">
        <v>0.0</v>
      </c>
      <c r="R22" s="45" t="s">
        <v>1443</v>
      </c>
      <c r="S22" s="45" t="s">
        <v>46</v>
      </c>
      <c r="T22" s="45" t="s">
        <v>1006</v>
      </c>
      <c r="U22" s="45">
        <v>95.0</v>
      </c>
      <c r="V22" s="45">
        <v>2019.0</v>
      </c>
      <c r="W22" s="45">
        <v>95.0</v>
      </c>
      <c r="X22" s="45">
        <v>2021.0</v>
      </c>
      <c r="Y22" s="45">
        <v>8.3</v>
      </c>
      <c r="Z22" s="45">
        <v>78.0</v>
      </c>
      <c r="AA22" s="45">
        <v>2025.0</v>
      </c>
      <c r="AB22" s="45">
        <f>VLOOKUP(B22,'Analysis data'!$B$1:$F$358,5,false)</f>
        <v>0</v>
      </c>
      <c r="AC22" s="45">
        <v>0.0</v>
      </c>
      <c r="AD22" s="45" t="s">
        <v>1444</v>
      </c>
      <c r="AE22" s="45" t="s">
        <v>1445</v>
      </c>
      <c r="AF22" s="45">
        <v>9.951261338E9</v>
      </c>
      <c r="AG22" s="45">
        <v>9.492851389E9</v>
      </c>
      <c r="AH22" s="45">
        <v>0.0</v>
      </c>
      <c r="AI22" s="45">
        <v>0.0</v>
      </c>
      <c r="AJ22" s="45" t="str">
        <f>VLOOKUP(B22,'Analysis data'!B:K,10,false)</f>
        <v>CAPGEMINI-ANALYST</v>
      </c>
      <c r="AK22" s="45" t="s">
        <v>1446</v>
      </c>
      <c r="AL22" s="45" t="s">
        <v>1447</v>
      </c>
      <c r="AM22" s="45">
        <v>8.41</v>
      </c>
      <c r="AN22" s="45">
        <v>8.22</v>
      </c>
      <c r="AO22" s="45">
        <v>8.34</v>
      </c>
      <c r="AP22" s="45">
        <v>0.0</v>
      </c>
      <c r="AQ22" s="45">
        <v>8.32</v>
      </c>
      <c r="AR22" s="45">
        <v>8.3</v>
      </c>
      <c r="AU22" s="45" t="s">
        <v>1011</v>
      </c>
      <c r="AX22" s="45" t="s">
        <v>1028</v>
      </c>
    </row>
    <row r="23">
      <c r="A23" s="45">
        <v>22.0</v>
      </c>
      <c r="B23" s="45" t="s">
        <v>218</v>
      </c>
      <c r="C23" s="45" t="s">
        <v>1448</v>
      </c>
      <c r="D23" s="45" t="s">
        <v>1449</v>
      </c>
      <c r="E23" s="45" t="s">
        <v>219</v>
      </c>
      <c r="F23" s="45" t="str">
        <f>VLOOKUP(B23,'Analysis data'!$B$2:$C$358,2,false)</f>
        <v>A</v>
      </c>
      <c r="G23" s="45" t="str">
        <f>VLOOKUP(B23, 'Analysis data'!$B$2:$I$358, 8, FALSE)</f>
        <v> Convener</v>
      </c>
      <c r="H23" s="124" t="s">
        <v>3476</v>
      </c>
      <c r="I23" s="125" t="s">
        <v>3477</v>
      </c>
      <c r="J23" s="119">
        <v>7.03025E11</v>
      </c>
      <c r="K23" s="45">
        <f>VLOOKUP(B23,'Analysis data'!B:E,4,false)</f>
        <v>8.1</v>
      </c>
      <c r="L23" s="45">
        <v>290.0</v>
      </c>
      <c r="M23" s="45" t="s">
        <v>1003</v>
      </c>
      <c r="N23" s="45" t="s">
        <v>1003</v>
      </c>
      <c r="O23" s="45" t="s">
        <v>1450</v>
      </c>
      <c r="P23" s="45">
        <v>6296.0</v>
      </c>
      <c r="Q23" s="45">
        <v>0.0</v>
      </c>
      <c r="R23" s="121">
        <v>38300.0</v>
      </c>
      <c r="S23" s="45" t="s">
        <v>46</v>
      </c>
      <c r="T23" s="45" t="s">
        <v>1006</v>
      </c>
      <c r="U23" s="45">
        <v>98.0</v>
      </c>
      <c r="V23" s="45">
        <v>2019.0</v>
      </c>
      <c r="W23" s="45">
        <v>95.4</v>
      </c>
      <c r="X23" s="45">
        <v>2021.0</v>
      </c>
      <c r="Y23" s="45">
        <v>8.1</v>
      </c>
      <c r="Z23" s="45">
        <v>76.0</v>
      </c>
      <c r="AA23" s="45">
        <v>2025.0</v>
      </c>
      <c r="AB23" s="45">
        <f>VLOOKUP(B23,'Analysis data'!$B$1:$F$358,5,false)</f>
        <v>0</v>
      </c>
      <c r="AC23" s="45">
        <v>0.0</v>
      </c>
      <c r="AD23" s="45" t="s">
        <v>1451</v>
      </c>
      <c r="AE23" s="45" t="s">
        <v>1452</v>
      </c>
      <c r="AF23" s="45">
        <v>7.093821644E9</v>
      </c>
      <c r="AG23" s="45">
        <v>9.849343592E9</v>
      </c>
      <c r="AH23" s="45">
        <v>0.0</v>
      </c>
      <c r="AI23" s="45">
        <v>0.0</v>
      </c>
      <c r="AJ23" s="45" t="str">
        <f>VLOOKUP(B23,'Analysis data'!B:K,10,false)</f>
        <v/>
      </c>
      <c r="AK23" s="45" t="s">
        <v>1453</v>
      </c>
      <c r="AL23" s="45" t="s">
        <v>1454</v>
      </c>
      <c r="AM23" s="45">
        <v>8.76</v>
      </c>
      <c r="AN23" s="45">
        <v>8.05</v>
      </c>
      <c r="AO23" s="45">
        <v>8.34</v>
      </c>
      <c r="AP23" s="45">
        <v>0.0</v>
      </c>
      <c r="AQ23" s="45">
        <v>8.28</v>
      </c>
      <c r="AR23" s="45">
        <v>8.16</v>
      </c>
      <c r="AU23" s="45" t="s">
        <v>1011</v>
      </c>
      <c r="AX23" s="45" t="s">
        <v>1028</v>
      </c>
    </row>
    <row r="24">
      <c r="A24" s="45">
        <v>23.0</v>
      </c>
      <c r="B24" s="45" t="s">
        <v>229</v>
      </c>
      <c r="C24" s="45" t="s">
        <v>1477</v>
      </c>
      <c r="D24" s="45" t="s">
        <v>1478</v>
      </c>
      <c r="E24" s="45" t="s">
        <v>230</v>
      </c>
      <c r="F24" s="45" t="str">
        <f>VLOOKUP(B24,'Analysis data'!$B$2:$C$358,2,false)</f>
        <v>A</v>
      </c>
      <c r="G24" s="45" t="str">
        <f>VLOOKUP(B24, 'Analysis data'!$B$2:$I$358, 8, FALSE)</f>
        <v> Convener</v>
      </c>
      <c r="H24" s="124" t="s">
        <v>3470</v>
      </c>
      <c r="I24" s="125" t="s">
        <v>3477</v>
      </c>
      <c r="J24" s="119">
        <v>6.46083E11</v>
      </c>
      <c r="K24" s="45">
        <f>VLOOKUP(B24,'Analysis data'!B:E,4,false)</f>
        <v>7.95</v>
      </c>
      <c r="L24" s="45">
        <v>499.0</v>
      </c>
      <c r="M24" s="45" t="s">
        <v>1003</v>
      </c>
      <c r="N24" s="45" t="s">
        <v>1003</v>
      </c>
      <c r="O24" s="45" t="s">
        <v>1479</v>
      </c>
      <c r="P24" s="45">
        <v>29841.0</v>
      </c>
      <c r="Q24" s="45">
        <v>0.0</v>
      </c>
      <c r="R24" s="121">
        <v>38174.0</v>
      </c>
      <c r="S24" s="45" t="s">
        <v>46</v>
      </c>
      <c r="T24" s="45" t="s">
        <v>1006</v>
      </c>
      <c r="U24" s="45">
        <v>90.25</v>
      </c>
      <c r="V24" s="45">
        <v>2019.0</v>
      </c>
      <c r="W24" s="45">
        <v>95.0</v>
      </c>
      <c r="X24" s="45">
        <v>2021.0</v>
      </c>
      <c r="Y24" s="45">
        <v>8.0</v>
      </c>
      <c r="Z24" s="45">
        <v>75.0</v>
      </c>
      <c r="AA24" s="45">
        <v>2025.0</v>
      </c>
      <c r="AB24" s="45">
        <f>VLOOKUP(B24,'Analysis data'!$B$1:$F$358,5,false)</f>
        <v>0</v>
      </c>
      <c r="AC24" s="45">
        <v>0.0</v>
      </c>
      <c r="AD24" s="45" t="s">
        <v>1480</v>
      </c>
      <c r="AE24" s="45" t="s">
        <v>1481</v>
      </c>
      <c r="AF24" s="45">
        <v>9.704903605E9</v>
      </c>
      <c r="AG24" s="45">
        <v>9.866287439E9</v>
      </c>
      <c r="AH24" s="45" t="s">
        <v>3478</v>
      </c>
      <c r="AI24" s="45" t="s">
        <v>515</v>
      </c>
      <c r="AJ24" s="45" t="str">
        <f>VLOOKUP(B24,'Analysis data'!B:K,10,false)</f>
        <v>CORIZO-BDA &amp; MOVATE1-DIS &amp; CAPGEMINI-SSE</v>
      </c>
      <c r="AK24" s="45" t="s">
        <v>1482</v>
      </c>
      <c r="AL24" s="45" t="s">
        <v>1483</v>
      </c>
      <c r="AM24" s="45">
        <v>7.41</v>
      </c>
      <c r="AN24" s="45">
        <v>7.78</v>
      </c>
      <c r="AO24" s="45">
        <v>7.45</v>
      </c>
      <c r="AP24" s="45">
        <v>0.0</v>
      </c>
      <c r="AQ24" s="45">
        <v>7.81</v>
      </c>
      <c r="AR24" s="45">
        <v>7.85</v>
      </c>
      <c r="AU24" s="45" t="s">
        <v>1011</v>
      </c>
      <c r="AX24" s="45" t="s">
        <v>1028</v>
      </c>
    </row>
    <row r="25">
      <c r="A25" s="45">
        <v>24.0</v>
      </c>
      <c r="B25" s="45" t="s">
        <v>232</v>
      </c>
      <c r="C25" s="45" t="s">
        <v>1484</v>
      </c>
      <c r="D25" s="45" t="s">
        <v>1485</v>
      </c>
      <c r="E25" s="45" t="s">
        <v>233</v>
      </c>
      <c r="F25" s="45" t="str">
        <f>VLOOKUP(B25,'Analysis data'!$B$2:$C$358,2,false)</f>
        <v>A</v>
      </c>
      <c r="G25" s="45" t="str">
        <f>VLOOKUP(B25, 'Analysis data'!$B$2:$I$358, 8, FALSE)</f>
        <v> Convener</v>
      </c>
      <c r="H25" s="124" t="s">
        <v>3471</v>
      </c>
      <c r="I25" s="125" t="s">
        <v>3477</v>
      </c>
      <c r="J25" s="119">
        <v>4.35078E11</v>
      </c>
      <c r="K25" s="45">
        <f>VLOOKUP(B25,'Analysis data'!B:E,4,false)</f>
        <v>8.48</v>
      </c>
      <c r="L25" s="45">
        <v>698.0</v>
      </c>
      <c r="M25" s="45" t="s">
        <v>1003</v>
      </c>
      <c r="N25" s="45" t="s">
        <v>1003</v>
      </c>
      <c r="O25" s="45" t="s">
        <v>3479</v>
      </c>
      <c r="P25" s="45">
        <v>27814.0</v>
      </c>
      <c r="Q25" s="45">
        <v>0.0</v>
      </c>
      <c r="R25" s="45" t="s">
        <v>1486</v>
      </c>
      <c r="S25" s="45" t="s">
        <v>60</v>
      </c>
      <c r="T25" s="45" t="s">
        <v>1006</v>
      </c>
      <c r="U25" s="45">
        <v>88.0</v>
      </c>
      <c r="V25" s="45">
        <v>2019.0</v>
      </c>
      <c r="W25" s="45">
        <v>96.0</v>
      </c>
      <c r="X25" s="45">
        <v>2021.0</v>
      </c>
      <c r="Y25" s="45">
        <v>8.5</v>
      </c>
      <c r="Z25" s="45">
        <v>80.0</v>
      </c>
      <c r="AA25" s="45">
        <v>2025.0</v>
      </c>
      <c r="AB25" s="45">
        <f>VLOOKUP(B25,'Analysis data'!$B$1:$F$358,5,false)</f>
        <v>0</v>
      </c>
      <c r="AC25" s="45">
        <v>0.0</v>
      </c>
      <c r="AD25" s="45" t="s">
        <v>1487</v>
      </c>
      <c r="AE25" s="45" t="s">
        <v>1488</v>
      </c>
      <c r="AF25" s="45">
        <v>6.301757985E9</v>
      </c>
      <c r="AG25" s="45">
        <v>9.849552997E9</v>
      </c>
      <c r="AH25" s="45">
        <v>0.0</v>
      </c>
      <c r="AI25" s="45">
        <v>0.0</v>
      </c>
      <c r="AJ25" s="45" t="str">
        <f>VLOOKUP(B25,'Analysis data'!B:K,10,false)</f>
        <v>EATON-NAT</v>
      </c>
      <c r="AK25" s="45" t="s">
        <v>1489</v>
      </c>
      <c r="AL25" s="45" t="s">
        <v>1490</v>
      </c>
      <c r="AM25" s="45">
        <v>7.41</v>
      </c>
      <c r="AN25" s="45">
        <v>8.15</v>
      </c>
      <c r="AO25" s="45">
        <v>8.14</v>
      </c>
      <c r="AP25" s="45">
        <v>0.0</v>
      </c>
      <c r="AQ25" s="45">
        <v>8.4</v>
      </c>
      <c r="AR25" s="45">
        <v>8.44</v>
      </c>
      <c r="AU25" s="45" t="s">
        <v>1011</v>
      </c>
      <c r="AX25" s="45" t="s">
        <v>1012</v>
      </c>
    </row>
    <row r="26">
      <c r="A26" s="45">
        <v>25.0</v>
      </c>
      <c r="B26" s="45" t="s">
        <v>238</v>
      </c>
      <c r="C26" s="45" t="s">
        <v>1498</v>
      </c>
      <c r="D26" s="45" t="s">
        <v>1499</v>
      </c>
      <c r="E26" s="45" t="s">
        <v>239</v>
      </c>
      <c r="F26" s="45" t="str">
        <f>VLOOKUP(B26,'Analysis data'!$B$2:$C$358,2,false)</f>
        <v>A</v>
      </c>
      <c r="G26" s="45" t="str">
        <f>VLOOKUP(B26, 'Analysis data'!$B$2:$I$358, 8, FALSE)</f>
        <v> Management</v>
      </c>
      <c r="H26" s="124" t="s">
        <v>3470</v>
      </c>
      <c r="I26" s="125" t="s">
        <v>3470</v>
      </c>
      <c r="J26" s="119">
        <v>3.42292E11</v>
      </c>
      <c r="K26" s="45">
        <f>VLOOKUP(B26,'Analysis data'!B:E,4,false)</f>
        <v>7.46</v>
      </c>
      <c r="L26" s="45" t="s">
        <v>1003</v>
      </c>
      <c r="M26" s="45" t="s">
        <v>1003</v>
      </c>
      <c r="N26" s="45" t="s">
        <v>1003</v>
      </c>
      <c r="O26" s="45" t="s">
        <v>1140</v>
      </c>
      <c r="P26" s="45">
        <v>0.0</v>
      </c>
      <c r="Q26" s="45">
        <v>1025.0</v>
      </c>
      <c r="R26" s="45" t="s">
        <v>1500</v>
      </c>
      <c r="S26" s="45" t="s">
        <v>60</v>
      </c>
      <c r="T26" s="45" t="s">
        <v>1006</v>
      </c>
      <c r="U26" s="45">
        <v>95.0</v>
      </c>
      <c r="V26" s="45">
        <v>2019.0</v>
      </c>
      <c r="W26" s="45">
        <v>83.0</v>
      </c>
      <c r="X26" s="45">
        <v>2022.0</v>
      </c>
      <c r="Y26" s="45">
        <v>7.5</v>
      </c>
      <c r="Z26" s="45">
        <v>70.0</v>
      </c>
      <c r="AA26" s="45">
        <v>2025.0</v>
      </c>
      <c r="AB26" s="45">
        <f>VLOOKUP(B26,'Analysis data'!$B$1:$F$358,5,false)</f>
        <v>0</v>
      </c>
      <c r="AC26" s="45">
        <v>0.0</v>
      </c>
      <c r="AD26" s="45" t="s">
        <v>1501</v>
      </c>
      <c r="AE26" s="45" t="s">
        <v>1502</v>
      </c>
      <c r="AF26" s="45">
        <v>9.640009911E9</v>
      </c>
      <c r="AG26" s="45">
        <v>9.440055704E9</v>
      </c>
      <c r="AH26" s="45" t="s">
        <v>90</v>
      </c>
      <c r="AI26" s="45" t="s">
        <v>90</v>
      </c>
      <c r="AJ26" s="45" t="str">
        <f>VLOOKUP(B26,'Analysis data'!B:K,10,false)</f>
        <v>SEOAK</v>
      </c>
      <c r="AK26" s="45" t="s">
        <v>1503</v>
      </c>
      <c r="AL26" s="45" t="s">
        <v>1504</v>
      </c>
      <c r="AM26" s="45">
        <v>0.0</v>
      </c>
      <c r="AN26" s="45">
        <v>0.0</v>
      </c>
      <c r="AO26" s="45">
        <v>7.86</v>
      </c>
      <c r="AP26" s="45">
        <v>0.0</v>
      </c>
      <c r="AQ26" s="45">
        <v>7.62</v>
      </c>
      <c r="AR26" s="45">
        <v>7.52</v>
      </c>
      <c r="AU26" s="45" t="s">
        <v>1011</v>
      </c>
      <c r="AX26" s="45" t="s">
        <v>1028</v>
      </c>
    </row>
    <row r="27">
      <c r="A27" s="45">
        <v>26.0</v>
      </c>
      <c r="B27" s="45" t="s">
        <v>242</v>
      </c>
      <c r="C27" s="45" t="s">
        <v>1512</v>
      </c>
      <c r="D27" s="45" t="s">
        <v>1513</v>
      </c>
      <c r="E27" s="45" t="s">
        <v>243</v>
      </c>
      <c r="F27" s="45" t="str">
        <f>VLOOKUP(B27,'Analysis data'!$B$2:$C$358,2,false)</f>
        <v>A</v>
      </c>
      <c r="G27" s="45" t="str">
        <f>VLOOKUP(B27, 'Analysis data'!$B$2:$I$358, 8, FALSE)</f>
        <v> Management</v>
      </c>
      <c r="H27" s="124" t="s">
        <v>3470</v>
      </c>
      <c r="I27" s="125" t="s">
        <v>3473</v>
      </c>
      <c r="J27" s="119">
        <v>6.00468E11</v>
      </c>
      <c r="K27" s="45" t="str">
        <f>VLOOKUP(B27,'Analysis data'!B:E,4,false)</f>
        <v/>
      </c>
      <c r="L27" s="45" t="s">
        <v>1003</v>
      </c>
      <c r="M27" s="45" t="s">
        <v>1003</v>
      </c>
      <c r="N27" s="45" t="s">
        <v>1003</v>
      </c>
      <c r="O27" s="45" t="s">
        <v>1514</v>
      </c>
      <c r="P27" s="45">
        <v>11362.0</v>
      </c>
      <c r="Q27" s="45">
        <v>1443.0</v>
      </c>
      <c r="R27" s="45" t="s">
        <v>1515</v>
      </c>
      <c r="S27" s="45" t="s">
        <v>46</v>
      </c>
      <c r="T27" s="45" t="s">
        <v>1006</v>
      </c>
      <c r="U27" s="45">
        <v>65.0</v>
      </c>
      <c r="V27" s="45">
        <v>2019.0</v>
      </c>
      <c r="W27" s="45">
        <v>61.0</v>
      </c>
      <c r="X27" s="45">
        <v>2022.0</v>
      </c>
      <c r="Y27" s="45">
        <v>0.0</v>
      </c>
      <c r="Z27" s="45">
        <v>-5.0</v>
      </c>
      <c r="AA27" s="45">
        <v>2025.0</v>
      </c>
      <c r="AB27" s="45">
        <f>VLOOKUP(B27,'Analysis data'!$B$1:$F$358,5,false)</f>
        <v>1</v>
      </c>
      <c r="AC27" s="45">
        <v>0.0</v>
      </c>
      <c r="AD27" s="45" t="s">
        <v>1516</v>
      </c>
      <c r="AE27" s="45" t="s">
        <v>1517</v>
      </c>
      <c r="AF27" s="45">
        <v>7.702845323E9</v>
      </c>
      <c r="AG27" s="45">
        <v>8.790823241E9</v>
      </c>
      <c r="AH27" s="45">
        <v>0.0</v>
      </c>
      <c r="AI27" s="45">
        <v>0.0</v>
      </c>
      <c r="AJ27" s="45" t="str">
        <f>VLOOKUP(B27,'Analysis data'!B:K,10,false)</f>
        <v/>
      </c>
      <c r="AK27" s="45" t="s">
        <v>1518</v>
      </c>
      <c r="AL27" s="45" t="s">
        <v>1519</v>
      </c>
      <c r="AM27" s="45">
        <v>0.0</v>
      </c>
      <c r="AN27" s="45">
        <v>0.0</v>
      </c>
      <c r="AO27" s="45">
        <v>0.0</v>
      </c>
      <c r="AP27" s="45">
        <v>0.0</v>
      </c>
      <c r="AQ27" s="45">
        <v>7.11</v>
      </c>
      <c r="AR27" s="45">
        <v>7.04</v>
      </c>
      <c r="AU27" s="45" t="s">
        <v>1011</v>
      </c>
      <c r="AX27" s="45" t="s">
        <v>1012</v>
      </c>
    </row>
    <row r="28">
      <c r="A28" s="45">
        <v>27.0</v>
      </c>
      <c r="B28" s="45" t="s">
        <v>244</v>
      </c>
      <c r="C28" s="45" t="s">
        <v>1520</v>
      </c>
      <c r="D28" s="45" t="s">
        <v>1521</v>
      </c>
      <c r="E28" s="45" t="s">
        <v>245</v>
      </c>
      <c r="F28" s="45" t="str">
        <f>VLOOKUP(B28,'Analysis data'!$B$2:$C$358,2,false)</f>
        <v>A</v>
      </c>
      <c r="G28" s="45" t="str">
        <f>VLOOKUP(B28, 'Analysis data'!$B$2:$I$358, 8, FALSE)</f>
        <v> Management</v>
      </c>
      <c r="H28" s="124" t="s">
        <v>3470</v>
      </c>
      <c r="I28" s="125" t="s">
        <v>3477</v>
      </c>
      <c r="J28" s="119">
        <v>4.81035E11</v>
      </c>
      <c r="K28" s="45">
        <f>VLOOKUP(B28,'Analysis data'!B:E,4,false)</f>
        <v>7.47</v>
      </c>
      <c r="L28" s="45" t="s">
        <v>1003</v>
      </c>
      <c r="M28" s="45" t="s">
        <v>1003</v>
      </c>
      <c r="N28" s="45" t="s">
        <v>1003</v>
      </c>
      <c r="O28" s="45" t="s">
        <v>1522</v>
      </c>
      <c r="P28" s="45">
        <v>0.0</v>
      </c>
      <c r="Q28" s="45">
        <v>902.0</v>
      </c>
      <c r="R28" s="121">
        <v>37596.0</v>
      </c>
      <c r="S28" s="45" t="s">
        <v>60</v>
      </c>
      <c r="T28" s="45" t="s">
        <v>1006</v>
      </c>
      <c r="U28" s="45">
        <v>80.0</v>
      </c>
      <c r="V28" s="45">
        <v>2019.0</v>
      </c>
      <c r="W28" s="45">
        <v>85.7</v>
      </c>
      <c r="X28" s="45">
        <v>2022.0</v>
      </c>
      <c r="Y28" s="45">
        <v>7.5</v>
      </c>
      <c r="Z28" s="45">
        <v>70.0</v>
      </c>
      <c r="AA28" s="45">
        <v>2025.0</v>
      </c>
      <c r="AB28" s="45">
        <f>VLOOKUP(B28,'Analysis data'!$B$1:$F$358,5,false)</f>
        <v>0</v>
      </c>
      <c r="AC28" s="45">
        <v>0.0</v>
      </c>
      <c r="AD28" s="45" t="s">
        <v>1523</v>
      </c>
      <c r="AE28" s="45" t="s">
        <v>1524</v>
      </c>
      <c r="AF28" s="45">
        <v>7.036807574E9</v>
      </c>
      <c r="AG28" s="45">
        <v>9.505388921E9</v>
      </c>
      <c r="AH28" s="45">
        <v>0.0</v>
      </c>
      <c r="AI28" s="45">
        <v>0.0</v>
      </c>
      <c r="AJ28" s="45" t="str">
        <f>VLOOKUP(B28,'Analysis data'!B:K,10,false)</f>
        <v/>
      </c>
      <c r="AK28" s="45" t="s">
        <v>1525</v>
      </c>
      <c r="AL28" s="45" t="s">
        <v>1526</v>
      </c>
      <c r="AM28" s="45">
        <v>0.0</v>
      </c>
      <c r="AN28" s="45">
        <v>0.0</v>
      </c>
      <c r="AO28" s="45">
        <v>0.0</v>
      </c>
      <c r="AP28" s="45">
        <v>0.0</v>
      </c>
      <c r="AQ28" s="45">
        <v>7.43</v>
      </c>
      <c r="AR28" s="45">
        <v>7.5</v>
      </c>
      <c r="AU28" s="45" t="s">
        <v>1011</v>
      </c>
      <c r="AX28" s="45" t="s">
        <v>1028</v>
      </c>
    </row>
    <row r="29">
      <c r="A29" s="45">
        <v>28.0</v>
      </c>
      <c r="B29" s="45" t="s">
        <v>246</v>
      </c>
      <c r="C29" s="45" t="s">
        <v>1527</v>
      </c>
      <c r="D29" s="45" t="s">
        <v>1528</v>
      </c>
      <c r="E29" s="45" t="s">
        <v>247</v>
      </c>
      <c r="F29" s="45" t="str">
        <f>VLOOKUP(B29,'Analysis data'!$B$2:$C$358,2,false)</f>
        <v>A</v>
      </c>
      <c r="G29" s="45" t="str">
        <f>VLOOKUP(B29, 'Analysis data'!$B$2:$I$358, 8, FALSE)</f>
        <v> Convener</v>
      </c>
      <c r="H29" s="124" t="s">
        <v>3470</v>
      </c>
      <c r="I29" s="125" t="s">
        <v>3477</v>
      </c>
      <c r="J29" s="119">
        <v>5.12386E11</v>
      </c>
      <c r="K29" s="45">
        <f>VLOOKUP(B29,'Analysis data'!B:E,4,false)</f>
        <v>7.5</v>
      </c>
      <c r="L29" s="45" t="s">
        <v>1003</v>
      </c>
      <c r="M29" s="45" t="s">
        <v>1003</v>
      </c>
      <c r="N29" s="45" t="s">
        <v>1003</v>
      </c>
      <c r="O29" s="45" t="s">
        <v>1529</v>
      </c>
      <c r="P29" s="45">
        <v>11401.0</v>
      </c>
      <c r="Q29" s="45">
        <v>1447.0</v>
      </c>
      <c r="R29" s="121">
        <v>37508.0</v>
      </c>
      <c r="S29" s="45" t="s">
        <v>46</v>
      </c>
      <c r="T29" s="45" t="s">
        <v>1006</v>
      </c>
      <c r="U29" s="45">
        <v>77.0</v>
      </c>
      <c r="V29" s="45">
        <v>2018.0</v>
      </c>
      <c r="W29" s="45">
        <v>61.0</v>
      </c>
      <c r="X29" s="45">
        <v>2022.0</v>
      </c>
      <c r="Y29" s="45">
        <v>7.5</v>
      </c>
      <c r="Z29" s="45">
        <v>70.0</v>
      </c>
      <c r="AA29" s="45">
        <v>2025.0</v>
      </c>
      <c r="AB29" s="45">
        <f>VLOOKUP(B29,'Analysis data'!$B$1:$F$358,5,false)</f>
        <v>0</v>
      </c>
      <c r="AC29" s="45">
        <v>0.0</v>
      </c>
      <c r="AD29" s="45" t="s">
        <v>1530</v>
      </c>
      <c r="AE29" s="45" t="s">
        <v>1531</v>
      </c>
      <c r="AF29" s="45">
        <v>7.995635903E9</v>
      </c>
      <c r="AG29" s="45">
        <v>9.550080517E9</v>
      </c>
      <c r="AH29" s="45">
        <v>0.0</v>
      </c>
      <c r="AI29" s="45">
        <v>0.0</v>
      </c>
      <c r="AJ29" s="45" t="str">
        <f>VLOOKUP(B29,'Analysis data'!B:K,10,false)</f>
        <v/>
      </c>
      <c r="AK29" s="45" t="s">
        <v>1532</v>
      </c>
      <c r="AL29" s="45" t="s">
        <v>1533</v>
      </c>
      <c r="AM29" s="45">
        <v>0.0</v>
      </c>
      <c r="AN29" s="45">
        <v>0.0</v>
      </c>
      <c r="AO29" s="45">
        <v>0.0</v>
      </c>
      <c r="AP29" s="45">
        <v>0.0</v>
      </c>
      <c r="AQ29" s="45">
        <v>7.41</v>
      </c>
      <c r="AR29" s="45">
        <v>7.54</v>
      </c>
      <c r="AU29" s="45" t="s">
        <v>1011</v>
      </c>
      <c r="AX29" s="45" t="s">
        <v>1012</v>
      </c>
    </row>
    <row r="30">
      <c r="A30" s="45">
        <v>29.0</v>
      </c>
      <c r="B30" s="45" t="s">
        <v>248</v>
      </c>
      <c r="C30" s="45" t="s">
        <v>1534</v>
      </c>
      <c r="D30" s="45" t="s">
        <v>1535</v>
      </c>
      <c r="E30" s="45" t="s">
        <v>249</v>
      </c>
      <c r="F30" s="45" t="str">
        <f>VLOOKUP(B30,'Analysis data'!$B$2:$C$358,2,false)</f>
        <v>A</v>
      </c>
      <c r="G30" s="45" t="str">
        <f>VLOOKUP(B30, 'Analysis data'!$B$2:$I$358, 8, FALSE)</f>
        <v> Convener</v>
      </c>
      <c r="H30" s="124" t="s">
        <v>3470</v>
      </c>
      <c r="I30" s="125" t="s">
        <v>3477</v>
      </c>
      <c r="J30" s="119">
        <v>5.85319E11</v>
      </c>
      <c r="K30" s="45">
        <f>VLOOKUP(B30,'Analysis data'!B:E,4,false)</f>
        <v>8.03</v>
      </c>
      <c r="L30" s="45" t="s">
        <v>1003</v>
      </c>
      <c r="M30" s="45" t="s">
        <v>1003</v>
      </c>
      <c r="N30" s="45" t="s">
        <v>1003</v>
      </c>
      <c r="O30" s="45" t="s">
        <v>1536</v>
      </c>
      <c r="P30" s="45">
        <v>737.0</v>
      </c>
      <c r="Q30" s="45">
        <v>737.0</v>
      </c>
      <c r="R30" s="45" t="s">
        <v>1537</v>
      </c>
      <c r="S30" s="45" t="s">
        <v>60</v>
      </c>
      <c r="T30" s="45" t="s">
        <v>1006</v>
      </c>
      <c r="U30" s="45">
        <v>93.0</v>
      </c>
      <c r="V30" s="45">
        <v>2019.0</v>
      </c>
      <c r="W30" s="45">
        <v>83.0</v>
      </c>
      <c r="X30" s="45">
        <v>2022.0</v>
      </c>
      <c r="Y30" s="45">
        <v>8.0</v>
      </c>
      <c r="Z30" s="45">
        <v>75.0</v>
      </c>
      <c r="AA30" s="45">
        <v>2025.0</v>
      </c>
      <c r="AB30" s="45">
        <f>VLOOKUP(B30,'Analysis data'!$B$1:$F$358,5,false)</f>
        <v>0</v>
      </c>
      <c r="AC30" s="45">
        <v>0.0</v>
      </c>
      <c r="AD30" s="45" t="s">
        <v>1538</v>
      </c>
      <c r="AE30" s="45" t="s">
        <v>1539</v>
      </c>
      <c r="AF30" s="45">
        <v>9.515967813E9</v>
      </c>
      <c r="AG30" s="45">
        <v>9.949431332E9</v>
      </c>
      <c r="AH30" s="45">
        <v>0.0</v>
      </c>
      <c r="AI30" s="45">
        <v>0.0</v>
      </c>
      <c r="AJ30" s="45" t="str">
        <f>VLOOKUP(B30,'Analysis data'!B:K,10,false)</f>
        <v/>
      </c>
      <c r="AK30" s="45" t="s">
        <v>1540</v>
      </c>
      <c r="AL30" s="45" t="s">
        <v>1541</v>
      </c>
      <c r="AM30" s="45">
        <v>0.0</v>
      </c>
      <c r="AN30" s="45">
        <v>0.0</v>
      </c>
      <c r="AO30" s="45">
        <v>7.48</v>
      </c>
      <c r="AP30" s="45">
        <v>0.0</v>
      </c>
      <c r="AQ30" s="45">
        <v>7.98</v>
      </c>
      <c r="AR30" s="45">
        <v>8.04</v>
      </c>
      <c r="AU30" s="45" t="s">
        <v>1011</v>
      </c>
      <c r="AX30" s="45" t="s">
        <v>1028</v>
      </c>
    </row>
    <row r="31">
      <c r="A31" s="45">
        <v>30.0</v>
      </c>
      <c r="B31" s="45" t="s">
        <v>272</v>
      </c>
      <c r="C31" s="45" t="s">
        <v>1605</v>
      </c>
      <c r="D31" s="45" t="s">
        <v>1606</v>
      </c>
      <c r="E31" s="45" t="s">
        <v>273</v>
      </c>
      <c r="F31" s="45" t="str">
        <f>VLOOKUP(B31,'Analysis data'!$B$2:$C$358,2,false)</f>
        <v>B</v>
      </c>
      <c r="G31" s="45" t="str">
        <f>VLOOKUP(B31, 'Analysis data'!$B$2:$I$358, 8, FALSE)</f>
        <v> Convener</v>
      </c>
      <c r="H31" s="124" t="s">
        <v>3480</v>
      </c>
      <c r="I31" s="125" t="s">
        <v>3481</v>
      </c>
      <c r="J31" s="119">
        <v>9.57484E11</v>
      </c>
      <c r="K31" s="45">
        <f>VLOOKUP(B31,'Analysis data'!B:E,4,false)</f>
        <v>7.9</v>
      </c>
      <c r="L31" s="45" t="s">
        <v>1003</v>
      </c>
      <c r="M31" s="45" t="s">
        <v>1003</v>
      </c>
      <c r="N31" s="45" t="s">
        <v>1003</v>
      </c>
      <c r="O31" s="45" t="s">
        <v>1607</v>
      </c>
      <c r="P31" s="45">
        <v>28131.0</v>
      </c>
      <c r="Q31" s="45">
        <v>0.0</v>
      </c>
      <c r="R31" s="45" t="s">
        <v>1141</v>
      </c>
      <c r="S31" s="45" t="s">
        <v>60</v>
      </c>
      <c r="T31" s="45" t="s">
        <v>1006</v>
      </c>
      <c r="U31" s="45">
        <v>97.0</v>
      </c>
      <c r="V31" s="45">
        <v>2019.0</v>
      </c>
      <c r="W31" s="45">
        <v>87.0</v>
      </c>
      <c r="X31" s="45">
        <v>2021.0</v>
      </c>
      <c r="Y31" s="45">
        <v>7.9</v>
      </c>
      <c r="Z31" s="45">
        <v>74.0</v>
      </c>
      <c r="AA31" s="45">
        <v>2025.0</v>
      </c>
      <c r="AB31" s="45">
        <f>VLOOKUP(B31,'Analysis data'!$B$1:$F$358,5,false)</f>
        <v>0</v>
      </c>
      <c r="AC31" s="45">
        <v>1.0</v>
      </c>
      <c r="AD31" s="45" t="s">
        <v>1608</v>
      </c>
      <c r="AE31" s="45" t="s">
        <v>1609</v>
      </c>
      <c r="AF31" s="45">
        <v>9.959200704E9</v>
      </c>
      <c r="AG31" s="45">
        <v>9.65240481E9</v>
      </c>
      <c r="AH31" s="45">
        <v>0.0</v>
      </c>
      <c r="AI31" s="45">
        <v>0.0</v>
      </c>
      <c r="AJ31" s="45" t="str">
        <f>VLOOKUP(B31,'Analysis data'!B:K,10,false)</f>
        <v/>
      </c>
      <c r="AK31" s="45" t="s">
        <v>1610</v>
      </c>
      <c r="AL31" s="45" t="s">
        <v>1611</v>
      </c>
      <c r="AM31" s="45">
        <v>7.35</v>
      </c>
      <c r="AN31" s="45">
        <v>7.49</v>
      </c>
      <c r="AO31" s="45">
        <v>8.05</v>
      </c>
      <c r="AP31" s="45">
        <v>7.66</v>
      </c>
      <c r="AQ31" s="45">
        <v>7.42</v>
      </c>
      <c r="AR31" s="45">
        <v>7.82</v>
      </c>
      <c r="AU31" s="45" t="s">
        <v>1011</v>
      </c>
      <c r="AX31" s="45" t="s">
        <v>1028</v>
      </c>
    </row>
    <row r="32">
      <c r="A32" s="45">
        <v>31.0</v>
      </c>
      <c r="B32" s="45" t="s">
        <v>279</v>
      </c>
      <c r="C32" s="45" t="s">
        <v>18</v>
      </c>
      <c r="D32" s="45" t="s">
        <v>1625</v>
      </c>
      <c r="E32" s="45" t="s">
        <v>280</v>
      </c>
      <c r="F32" s="45" t="str">
        <f>VLOOKUP(B32,'Analysis data'!$B$2:$C$358,2,false)</f>
        <v>B</v>
      </c>
      <c r="G32" s="45" t="str">
        <f>VLOOKUP(B32, 'Analysis data'!$B$2:$I$358, 8, FALSE)</f>
        <v> Convener</v>
      </c>
      <c r="H32" s="124" t="s">
        <v>3480</v>
      </c>
      <c r="I32" s="125" t="s">
        <v>3481</v>
      </c>
      <c r="J32" s="119">
        <v>4.48953E11</v>
      </c>
      <c r="K32" s="45">
        <f>VLOOKUP(B32,'Analysis data'!B:E,4,false)</f>
        <v>8.74</v>
      </c>
      <c r="L32" s="45" t="s">
        <v>1003</v>
      </c>
      <c r="M32" s="45" t="s">
        <v>1003</v>
      </c>
      <c r="N32" s="45" t="s">
        <v>1003</v>
      </c>
      <c r="O32" s="45" t="s">
        <v>1031</v>
      </c>
      <c r="P32" s="45">
        <v>13035.0</v>
      </c>
      <c r="Q32" s="45">
        <v>0.0</v>
      </c>
      <c r="R32" s="45" t="s">
        <v>1626</v>
      </c>
      <c r="S32" s="45" t="s">
        <v>60</v>
      </c>
      <c r="T32" s="45" t="s">
        <v>1006</v>
      </c>
      <c r="U32" s="45">
        <v>93.0</v>
      </c>
      <c r="V32" s="45">
        <v>2019.0</v>
      </c>
      <c r="W32" s="45">
        <v>96.0</v>
      </c>
      <c r="X32" s="45">
        <v>2021.0</v>
      </c>
      <c r="Y32" s="45">
        <v>8.7</v>
      </c>
      <c r="Z32" s="45">
        <v>82.0</v>
      </c>
      <c r="AA32" s="45">
        <v>2025.0</v>
      </c>
      <c r="AB32" s="45">
        <f>VLOOKUP(B32,'Analysis data'!$B$1:$F$358,5,false)</f>
        <v>0</v>
      </c>
      <c r="AC32" s="45">
        <v>0.0</v>
      </c>
      <c r="AD32" s="45" t="s">
        <v>1627</v>
      </c>
      <c r="AE32" s="45" t="s">
        <v>1628</v>
      </c>
      <c r="AF32" s="45">
        <v>9.959476606E9</v>
      </c>
      <c r="AG32" s="45">
        <v>7.093256574E9</v>
      </c>
      <c r="AH32" s="45" t="s">
        <v>271</v>
      </c>
      <c r="AI32" s="45">
        <v>0.0</v>
      </c>
      <c r="AJ32" s="45" t="str">
        <f>VLOOKUP(B32,'Analysis data'!B:K,10,false)</f>
        <v>CORIZO-BDA &amp; CADSYS</v>
      </c>
      <c r="AK32" s="45" t="s">
        <v>1629</v>
      </c>
      <c r="AL32" s="45" t="s">
        <v>1630</v>
      </c>
      <c r="AM32" s="45">
        <v>9.08</v>
      </c>
      <c r="AN32" s="45">
        <v>8.71</v>
      </c>
      <c r="AO32" s="45">
        <v>8.59</v>
      </c>
      <c r="AP32" s="45">
        <v>0.0</v>
      </c>
      <c r="AQ32" s="45">
        <v>8.84</v>
      </c>
      <c r="AR32" s="45">
        <v>8.8</v>
      </c>
      <c r="AU32" s="45" t="s">
        <v>1011</v>
      </c>
      <c r="AX32" s="45" t="s">
        <v>1028</v>
      </c>
    </row>
    <row r="33">
      <c r="A33" s="45">
        <v>32.0</v>
      </c>
      <c r="B33" s="45" t="s">
        <v>299</v>
      </c>
      <c r="C33" s="45" t="s">
        <v>1681</v>
      </c>
      <c r="D33" s="45" t="s">
        <v>1682</v>
      </c>
      <c r="E33" s="45" t="s">
        <v>300</v>
      </c>
      <c r="F33" s="45" t="str">
        <f>VLOOKUP(B33,'Analysis data'!$B$2:$C$358,2,false)</f>
        <v>B</v>
      </c>
      <c r="G33" s="45" t="str">
        <f>VLOOKUP(B33, 'Analysis data'!$B$2:$I$358, 8, FALSE)</f>
        <v> Convener</v>
      </c>
      <c r="H33" s="124" t="s">
        <v>3480</v>
      </c>
      <c r="I33" s="125" t="s">
        <v>3481</v>
      </c>
      <c r="J33" s="119">
        <v>6.56299E11</v>
      </c>
      <c r="K33" s="45">
        <f>VLOOKUP(B33,'Analysis data'!B:E,4,false)</f>
        <v>7.96</v>
      </c>
      <c r="L33" s="45" t="s">
        <v>1003</v>
      </c>
      <c r="M33" s="45" t="s">
        <v>1003</v>
      </c>
      <c r="N33" s="45" t="s">
        <v>1003</v>
      </c>
      <c r="O33" s="45" t="s">
        <v>1123</v>
      </c>
      <c r="P33" s="45">
        <v>12913.0</v>
      </c>
      <c r="Q33" s="45">
        <v>0.0</v>
      </c>
      <c r="R33" s="45" t="s">
        <v>1683</v>
      </c>
      <c r="S33" s="45" t="s">
        <v>46</v>
      </c>
      <c r="T33" s="45" t="s">
        <v>1006</v>
      </c>
      <c r="U33" s="45">
        <v>97.0</v>
      </c>
      <c r="V33" s="45">
        <v>2019.0</v>
      </c>
      <c r="W33" s="45">
        <v>94.2</v>
      </c>
      <c r="X33" s="45">
        <v>2021.0</v>
      </c>
      <c r="Y33" s="45">
        <v>8.0</v>
      </c>
      <c r="Z33" s="45">
        <v>75.0</v>
      </c>
      <c r="AA33" s="45">
        <v>2025.0</v>
      </c>
      <c r="AB33" s="45">
        <f>VLOOKUP(B33,'Analysis data'!$B$1:$F$358,5,false)</f>
        <v>0</v>
      </c>
      <c r="AC33" s="45">
        <v>0.0</v>
      </c>
      <c r="AD33" s="45" t="s">
        <v>1684</v>
      </c>
      <c r="AE33" s="45" t="s">
        <v>1685</v>
      </c>
      <c r="AF33" s="45">
        <v>7.981877371E9</v>
      </c>
      <c r="AG33" s="45">
        <v>8.555916803E9</v>
      </c>
      <c r="AH33" s="45" t="s">
        <v>52</v>
      </c>
      <c r="AI33" s="45">
        <v>0.0</v>
      </c>
      <c r="AJ33" s="45" t="str">
        <f>VLOOKUP(B33,'Analysis data'!B:K,10,false)</f>
        <v>Accenture ASE &amp; INFOSYS-OFFCAMPUS-SE</v>
      </c>
      <c r="AK33" s="45" t="s">
        <v>1686</v>
      </c>
      <c r="AL33" s="45" t="s">
        <v>1687</v>
      </c>
      <c r="AM33" s="45">
        <v>8.43</v>
      </c>
      <c r="AN33" s="45">
        <v>8.07</v>
      </c>
      <c r="AO33" s="45">
        <v>7.8</v>
      </c>
      <c r="AP33" s="45">
        <v>0.0</v>
      </c>
      <c r="AQ33" s="45">
        <v>7.96</v>
      </c>
      <c r="AR33" s="45">
        <v>7.95</v>
      </c>
      <c r="AU33" s="45" t="s">
        <v>1011</v>
      </c>
      <c r="AX33" s="45" t="s">
        <v>1028</v>
      </c>
    </row>
    <row r="34">
      <c r="A34" s="45">
        <v>33.0</v>
      </c>
      <c r="B34" s="45" t="s">
        <v>301</v>
      </c>
      <c r="C34" s="45" t="s">
        <v>1681</v>
      </c>
      <c r="D34" s="45" t="s">
        <v>1688</v>
      </c>
      <c r="E34" s="45" t="s">
        <v>302</v>
      </c>
      <c r="F34" s="45" t="str">
        <f>VLOOKUP(B34,'Analysis data'!$B$2:$C$358,2,false)</f>
        <v>B</v>
      </c>
      <c r="G34" s="45" t="str">
        <f>VLOOKUP(B34, 'Analysis data'!$B$2:$I$358, 8, FALSE)</f>
        <v> Convener</v>
      </c>
      <c r="H34" s="124" t="s">
        <v>3476</v>
      </c>
      <c r="I34" s="125" t="s">
        <v>3481</v>
      </c>
      <c r="J34" s="119">
        <v>2.55828E11</v>
      </c>
      <c r="K34" s="45">
        <f>VLOOKUP(B34,'Analysis data'!B:E,4,false)</f>
        <v>8.07</v>
      </c>
      <c r="L34" s="45" t="s">
        <v>1003</v>
      </c>
      <c r="M34" s="45" t="s">
        <v>1003</v>
      </c>
      <c r="N34" s="45" t="s">
        <v>1003</v>
      </c>
      <c r="O34" s="45" t="s">
        <v>1689</v>
      </c>
      <c r="P34" s="45">
        <v>11914.0</v>
      </c>
      <c r="Q34" s="45">
        <v>0.0</v>
      </c>
      <c r="R34" s="121">
        <v>37959.0</v>
      </c>
      <c r="S34" s="45" t="s">
        <v>46</v>
      </c>
      <c r="T34" s="45" t="s">
        <v>1006</v>
      </c>
      <c r="U34" s="45">
        <v>97.0</v>
      </c>
      <c r="V34" s="45">
        <v>2019.0</v>
      </c>
      <c r="W34" s="45">
        <v>95.0</v>
      </c>
      <c r="X34" s="45">
        <v>2021.0</v>
      </c>
      <c r="Y34" s="45">
        <v>8.1</v>
      </c>
      <c r="Z34" s="45">
        <v>76.0</v>
      </c>
      <c r="AA34" s="45">
        <v>2025.0</v>
      </c>
      <c r="AB34" s="45">
        <f>VLOOKUP(B34,'Analysis data'!$B$1:$F$358,5,false)</f>
        <v>0</v>
      </c>
      <c r="AC34" s="45">
        <v>0.0</v>
      </c>
      <c r="AD34" s="45" t="s">
        <v>1690</v>
      </c>
      <c r="AE34" s="45" t="s">
        <v>1691</v>
      </c>
      <c r="AF34" s="45">
        <v>7.075703362E9</v>
      </c>
      <c r="AG34" s="45">
        <v>7.032440491E9</v>
      </c>
      <c r="AH34" s="45" t="s">
        <v>90</v>
      </c>
      <c r="AI34" s="45" t="s">
        <v>90</v>
      </c>
      <c r="AJ34" s="45" t="str">
        <f>VLOOKUP(B34,'Analysis data'!B:K,10,false)</f>
        <v>SEOAK &amp; CAPGEMINI-ANALYST</v>
      </c>
      <c r="AK34" s="45" t="s">
        <v>1692</v>
      </c>
      <c r="AL34" s="45" t="s">
        <v>1693</v>
      </c>
      <c r="AM34" s="45">
        <v>7.81</v>
      </c>
      <c r="AN34" s="45">
        <v>8.29</v>
      </c>
      <c r="AO34" s="45">
        <v>7.8</v>
      </c>
      <c r="AP34" s="45">
        <v>0.0</v>
      </c>
      <c r="AQ34" s="45">
        <v>8.13</v>
      </c>
      <c r="AR34" s="45">
        <v>8.1</v>
      </c>
      <c r="AU34" s="45" t="s">
        <v>1011</v>
      </c>
      <c r="AX34" s="45" t="s">
        <v>1028</v>
      </c>
    </row>
    <row r="35">
      <c r="A35" s="45">
        <v>34.0</v>
      </c>
      <c r="B35" s="45" t="s">
        <v>308</v>
      </c>
      <c r="C35" s="45" t="s">
        <v>1702</v>
      </c>
      <c r="D35" s="45" t="s">
        <v>1703</v>
      </c>
      <c r="E35" s="45" t="s">
        <v>309</v>
      </c>
      <c r="F35" s="45" t="str">
        <f>VLOOKUP(B35,'Analysis data'!$B$2:$C$358,2,false)</f>
        <v>B</v>
      </c>
      <c r="G35" s="45" t="str">
        <f>VLOOKUP(B35, 'Analysis data'!$B$2:$I$358, 8, FALSE)</f>
        <v> Convener</v>
      </c>
      <c r="H35" s="124" t="s">
        <v>3480</v>
      </c>
      <c r="I35" s="125" t="s">
        <v>3482</v>
      </c>
      <c r="J35" s="119">
        <v>3.8246E11</v>
      </c>
      <c r="K35" s="45" t="str">
        <f>VLOOKUP(B35,'Analysis data'!B:E,4,false)</f>
        <v/>
      </c>
      <c r="L35" s="45" t="s">
        <v>1003</v>
      </c>
      <c r="M35" s="45" t="s">
        <v>1003</v>
      </c>
      <c r="N35" s="45" t="s">
        <v>1003</v>
      </c>
      <c r="O35" s="45" t="s">
        <v>1704</v>
      </c>
      <c r="P35" s="45">
        <v>0.0</v>
      </c>
      <c r="Q35" s="45">
        <v>0.0</v>
      </c>
      <c r="R35" s="121">
        <v>37782.0</v>
      </c>
      <c r="S35" s="45" t="s">
        <v>46</v>
      </c>
      <c r="T35" s="45" t="s">
        <v>1006</v>
      </c>
      <c r="U35" s="45">
        <v>95.0</v>
      </c>
      <c r="V35" s="45">
        <v>2019.0</v>
      </c>
      <c r="W35" s="45">
        <v>92.0</v>
      </c>
      <c r="X35" s="45">
        <v>2021.0</v>
      </c>
      <c r="Y35" s="45">
        <v>7.3</v>
      </c>
      <c r="Z35" s="45">
        <v>68.0</v>
      </c>
      <c r="AA35" s="45">
        <v>2025.0</v>
      </c>
      <c r="AB35" s="45">
        <f>VLOOKUP(B35,'Analysis data'!$B$1:$F$358,5,false)</f>
        <v>1</v>
      </c>
      <c r="AC35" s="45">
        <v>0.0</v>
      </c>
      <c r="AD35" s="45" t="s">
        <v>1705</v>
      </c>
      <c r="AE35" s="45" t="s">
        <v>1706</v>
      </c>
      <c r="AF35" s="45">
        <v>8.125612369E9</v>
      </c>
      <c r="AG35" s="45">
        <v>9.491540838E9</v>
      </c>
      <c r="AH35" s="45">
        <v>0.0</v>
      </c>
      <c r="AI35" s="45">
        <v>0.0</v>
      </c>
      <c r="AJ35" s="45" t="str">
        <f>VLOOKUP(B35,'Analysis data'!B:K,10,false)</f>
        <v>VISION INDIA-OFF CAMPUS</v>
      </c>
      <c r="AK35" s="45" t="s">
        <v>1707</v>
      </c>
      <c r="AL35" s="45" t="s">
        <v>1708</v>
      </c>
      <c r="AM35" s="45">
        <v>8.14</v>
      </c>
      <c r="AN35" s="45">
        <v>7.73</v>
      </c>
      <c r="AO35" s="45">
        <v>6.57</v>
      </c>
      <c r="AP35" s="45">
        <v>0.0</v>
      </c>
      <c r="AQ35" s="45">
        <v>7.15</v>
      </c>
      <c r="AR35" s="45">
        <v>7.17</v>
      </c>
      <c r="AU35" s="45" t="s">
        <v>1011</v>
      </c>
      <c r="AX35" s="45" t="s">
        <v>1028</v>
      </c>
    </row>
    <row r="36">
      <c r="A36" s="45">
        <v>35.0</v>
      </c>
      <c r="B36" s="45" t="s">
        <v>332</v>
      </c>
      <c r="C36" s="45" t="s">
        <v>1767</v>
      </c>
      <c r="D36" s="45" t="s">
        <v>1768</v>
      </c>
      <c r="E36" s="45" t="s">
        <v>333</v>
      </c>
      <c r="F36" s="45" t="str">
        <f>VLOOKUP(B36,'Analysis data'!$B$2:$C$358,2,false)</f>
        <v>B</v>
      </c>
      <c r="G36" s="45" t="str">
        <f>VLOOKUP(B36, 'Analysis data'!$B$2:$I$358, 8, FALSE)</f>
        <v> Management</v>
      </c>
      <c r="H36" s="124" t="s">
        <v>3480</v>
      </c>
      <c r="I36" s="125" t="s">
        <v>3482</v>
      </c>
      <c r="J36" s="119">
        <v>3.13722E11</v>
      </c>
      <c r="K36" s="45">
        <f>VLOOKUP(B36,'Analysis data'!B:E,4,false)</f>
        <v>7.13</v>
      </c>
      <c r="L36" s="45" t="s">
        <v>1003</v>
      </c>
      <c r="M36" s="45" t="s">
        <v>1003</v>
      </c>
      <c r="N36" s="45" t="s">
        <v>1003</v>
      </c>
      <c r="O36" s="45" t="s">
        <v>1341</v>
      </c>
      <c r="P36" s="45">
        <v>43303.0</v>
      </c>
      <c r="Q36" s="45">
        <v>0.0</v>
      </c>
      <c r="R36" s="121">
        <v>38239.0</v>
      </c>
      <c r="S36" s="45" t="s">
        <v>46</v>
      </c>
      <c r="T36" s="45" t="s">
        <v>1006</v>
      </c>
      <c r="U36" s="45">
        <v>93.0</v>
      </c>
      <c r="V36" s="45">
        <v>2019.0</v>
      </c>
      <c r="W36" s="45">
        <v>91.1</v>
      </c>
      <c r="X36" s="45">
        <v>2021.0</v>
      </c>
      <c r="Y36" s="45">
        <v>7.1</v>
      </c>
      <c r="Z36" s="45">
        <v>66.0</v>
      </c>
      <c r="AA36" s="45">
        <v>2025.0</v>
      </c>
      <c r="AB36" s="45">
        <f>VLOOKUP(B36,'Analysis data'!$B$1:$F$358,5,false)</f>
        <v>0</v>
      </c>
      <c r="AC36" s="45">
        <v>0.0</v>
      </c>
      <c r="AD36" s="45" t="s">
        <v>1769</v>
      </c>
      <c r="AE36" s="45" t="s">
        <v>1770</v>
      </c>
      <c r="AF36" s="45">
        <v>9.951466666E9</v>
      </c>
      <c r="AG36" s="45">
        <v>9.849327745E9</v>
      </c>
      <c r="AH36" s="45" t="s">
        <v>90</v>
      </c>
      <c r="AI36" s="45" t="s">
        <v>90</v>
      </c>
      <c r="AJ36" s="45" t="str">
        <f>VLOOKUP(B36,'Analysis data'!B:K,10,false)</f>
        <v>SEOAK &amp; CAPGEMINI-ANALYST</v>
      </c>
      <c r="AK36" s="45" t="s">
        <v>1771</v>
      </c>
      <c r="AL36" s="45" t="s">
        <v>1772</v>
      </c>
      <c r="AM36" s="45">
        <v>7.19</v>
      </c>
      <c r="AN36" s="45">
        <v>6.8</v>
      </c>
      <c r="AO36" s="45">
        <v>6.84</v>
      </c>
      <c r="AP36" s="45">
        <v>0.0</v>
      </c>
      <c r="AQ36" s="45">
        <v>6.96</v>
      </c>
      <c r="AR36" s="45">
        <v>7.04</v>
      </c>
      <c r="AU36" s="45" t="s">
        <v>1011</v>
      </c>
      <c r="AX36" s="45" t="s">
        <v>1028</v>
      </c>
    </row>
    <row r="37">
      <c r="A37" s="45">
        <v>36.0</v>
      </c>
      <c r="B37" s="45" t="s">
        <v>353</v>
      </c>
      <c r="C37" s="45" t="s">
        <v>1828</v>
      </c>
      <c r="D37" s="45" t="s">
        <v>1829</v>
      </c>
      <c r="E37" s="45" t="s">
        <v>354</v>
      </c>
      <c r="F37" s="45" t="str">
        <f>VLOOKUP(B37,'Analysis data'!$B$2:$C$358,2,false)</f>
        <v>B</v>
      </c>
      <c r="G37" s="45" t="str">
        <f>VLOOKUP(B37, 'Analysis data'!$B$2:$I$358, 8, FALSE)</f>
        <v> Convener</v>
      </c>
      <c r="H37" s="124" t="s">
        <v>3471</v>
      </c>
      <c r="I37" s="125" t="s">
        <v>3482</v>
      </c>
      <c r="J37" s="119">
        <v>5.14809E11</v>
      </c>
      <c r="K37" s="45">
        <f>VLOOKUP(B37,'Analysis data'!B:E,4,false)</f>
        <v>8.96</v>
      </c>
      <c r="L37" s="45" t="s">
        <v>1003</v>
      </c>
      <c r="M37" s="45" t="s">
        <v>1003</v>
      </c>
      <c r="N37" s="45" t="s">
        <v>1003</v>
      </c>
      <c r="O37" s="45" t="s">
        <v>1123</v>
      </c>
      <c r="P37" s="45">
        <v>29473.0</v>
      </c>
      <c r="Q37" s="45">
        <v>0.0</v>
      </c>
      <c r="R37" s="121">
        <v>38085.0</v>
      </c>
      <c r="S37" s="45" t="s">
        <v>60</v>
      </c>
      <c r="T37" s="45" t="s">
        <v>1006</v>
      </c>
      <c r="U37" s="45">
        <v>95.0</v>
      </c>
      <c r="V37" s="45">
        <v>2019.0</v>
      </c>
      <c r="W37" s="45">
        <v>95.0</v>
      </c>
      <c r="X37" s="45">
        <v>2021.0</v>
      </c>
      <c r="Y37" s="45">
        <v>9.0</v>
      </c>
      <c r="Z37" s="45">
        <v>85.0</v>
      </c>
      <c r="AA37" s="45">
        <v>2025.0</v>
      </c>
      <c r="AB37" s="45">
        <f>VLOOKUP(B37,'Analysis data'!$B$1:$F$358,5,false)</f>
        <v>0</v>
      </c>
      <c r="AC37" s="45">
        <v>0.0</v>
      </c>
      <c r="AD37" s="45" t="s">
        <v>1830</v>
      </c>
      <c r="AE37" s="45" t="s">
        <v>1831</v>
      </c>
      <c r="AF37" s="45">
        <v>9.849639601E9</v>
      </c>
      <c r="AG37" s="45">
        <v>9.912642175E9</v>
      </c>
      <c r="AH37" s="45">
        <v>0.0</v>
      </c>
      <c r="AI37" s="45">
        <v>0.0</v>
      </c>
      <c r="AJ37" s="45" t="str">
        <f>VLOOKUP(B37,'Analysis data'!B:K,10,false)</f>
        <v/>
      </c>
      <c r="AK37" s="45" t="s">
        <v>1832</v>
      </c>
      <c r="AL37" s="45" t="s">
        <v>1833</v>
      </c>
      <c r="AM37" s="45">
        <v>8.92</v>
      </c>
      <c r="AN37" s="45">
        <v>8.71</v>
      </c>
      <c r="AO37" s="45">
        <v>8.68</v>
      </c>
      <c r="AP37" s="45">
        <v>0.0</v>
      </c>
      <c r="AQ37" s="45">
        <v>8.91</v>
      </c>
      <c r="AR37" s="45">
        <v>8.98</v>
      </c>
      <c r="AU37" s="45" t="s">
        <v>1011</v>
      </c>
      <c r="AX37" s="45" t="s">
        <v>1012</v>
      </c>
    </row>
    <row r="38">
      <c r="A38" s="45">
        <v>37.0</v>
      </c>
      <c r="B38" s="45" t="s">
        <v>355</v>
      </c>
      <c r="C38" s="45" t="s">
        <v>1834</v>
      </c>
      <c r="D38" s="45" t="s">
        <v>1835</v>
      </c>
      <c r="E38" s="45" t="s">
        <v>356</v>
      </c>
      <c r="F38" s="45" t="str">
        <f>VLOOKUP(B38,'Analysis data'!$B$2:$C$358,2,false)</f>
        <v>B</v>
      </c>
      <c r="G38" s="45" t="str">
        <f>VLOOKUP(B38, 'Analysis data'!$B$2:$I$358, 8, FALSE)</f>
        <v> Management</v>
      </c>
      <c r="H38" s="124" t="s">
        <v>3480</v>
      </c>
      <c r="I38" s="125" t="s">
        <v>3482</v>
      </c>
      <c r="J38" s="119">
        <v>4.14213E11</v>
      </c>
      <c r="K38" s="45">
        <f>VLOOKUP(B38,'Analysis data'!B:E,4,false)</f>
        <v>7.42</v>
      </c>
      <c r="L38" s="45" t="s">
        <v>1003</v>
      </c>
      <c r="M38" s="45" t="s">
        <v>1003</v>
      </c>
      <c r="N38" s="45" t="s">
        <v>1003</v>
      </c>
      <c r="O38" s="45" t="s">
        <v>1577</v>
      </c>
      <c r="P38" s="45">
        <v>0.0</v>
      </c>
      <c r="Q38" s="45">
        <v>0.0</v>
      </c>
      <c r="R38" s="121">
        <v>38058.0</v>
      </c>
      <c r="S38" s="45" t="s">
        <v>46</v>
      </c>
      <c r="T38" s="45" t="s">
        <v>1006</v>
      </c>
      <c r="U38" s="45">
        <v>71.6</v>
      </c>
      <c r="V38" s="45">
        <v>2019.0</v>
      </c>
      <c r="W38" s="45">
        <v>86.6</v>
      </c>
      <c r="X38" s="45">
        <v>2021.0</v>
      </c>
      <c r="Y38" s="45">
        <v>7.4</v>
      </c>
      <c r="Z38" s="45">
        <v>69.0</v>
      </c>
      <c r="AA38" s="45">
        <v>2025.0</v>
      </c>
      <c r="AB38" s="45">
        <f>VLOOKUP(B38,'Analysis data'!$B$1:$F$358,5,false)</f>
        <v>0</v>
      </c>
      <c r="AC38" s="45">
        <v>0.0</v>
      </c>
      <c r="AD38" s="45" t="s">
        <v>1836</v>
      </c>
      <c r="AE38" s="45" t="s">
        <v>1837</v>
      </c>
      <c r="AF38" s="45">
        <v>9.014752066E9</v>
      </c>
      <c r="AG38" s="45">
        <v>9.84916243E9</v>
      </c>
      <c r="AH38" s="45">
        <v>0.0</v>
      </c>
      <c r="AI38" s="45">
        <v>0.0</v>
      </c>
      <c r="AJ38" s="45" t="str">
        <f>VLOOKUP(B38,'Analysis data'!B:K,10,false)</f>
        <v/>
      </c>
      <c r="AK38" s="45" t="s">
        <v>1838</v>
      </c>
      <c r="AL38" s="45" t="s">
        <v>1839</v>
      </c>
      <c r="AM38" s="45">
        <v>7.51</v>
      </c>
      <c r="AN38" s="45">
        <v>7.05</v>
      </c>
      <c r="AO38" s="45">
        <v>7.32</v>
      </c>
      <c r="AP38" s="45">
        <v>0.0</v>
      </c>
      <c r="AQ38" s="45">
        <v>7.42</v>
      </c>
      <c r="AR38" s="45">
        <v>7.42</v>
      </c>
      <c r="AU38" s="45" t="s">
        <v>1011</v>
      </c>
      <c r="AX38" s="45" t="s">
        <v>1012</v>
      </c>
    </row>
    <row r="39">
      <c r="A39" s="45">
        <v>38.0</v>
      </c>
      <c r="B39" s="45" t="s">
        <v>361</v>
      </c>
      <c r="C39" s="45" t="s">
        <v>1848</v>
      </c>
      <c r="D39" s="45" t="s">
        <v>1849</v>
      </c>
      <c r="E39" s="45" t="s">
        <v>362</v>
      </c>
      <c r="F39" s="45" t="str">
        <f>VLOOKUP(B39,'Analysis data'!$B$2:$C$358,2,false)</f>
        <v>B</v>
      </c>
      <c r="G39" s="45" t="str">
        <f>VLOOKUP(B39, 'Analysis data'!$B$2:$I$358, 8, FALSE)</f>
        <v> Convener</v>
      </c>
      <c r="H39" s="124" t="s">
        <v>3480</v>
      </c>
      <c r="I39" s="125" t="s">
        <v>3482</v>
      </c>
      <c r="J39" s="119">
        <v>5.44711E11</v>
      </c>
      <c r="K39" s="45">
        <f>VLOOKUP(B39,'Analysis data'!B:E,4,false)</f>
        <v>7.37</v>
      </c>
      <c r="L39" s="45" t="s">
        <v>1003</v>
      </c>
      <c r="M39" s="45" t="s">
        <v>1003</v>
      </c>
      <c r="N39" s="45" t="s">
        <v>1003</v>
      </c>
      <c r="O39" s="45" t="s">
        <v>1850</v>
      </c>
      <c r="P39" s="45">
        <v>0.0</v>
      </c>
      <c r="Q39" s="45">
        <v>0.0</v>
      </c>
      <c r="R39" s="121">
        <v>37927.0</v>
      </c>
      <c r="S39" s="45" t="s">
        <v>46</v>
      </c>
      <c r="T39" s="45" t="s">
        <v>1006</v>
      </c>
      <c r="U39" s="45">
        <v>97.0</v>
      </c>
      <c r="V39" s="45">
        <v>2019.0</v>
      </c>
      <c r="W39" s="45">
        <v>94.0</v>
      </c>
      <c r="X39" s="45">
        <v>2022.0</v>
      </c>
      <c r="Y39" s="45">
        <v>7.4</v>
      </c>
      <c r="Z39" s="45">
        <v>69.0</v>
      </c>
      <c r="AA39" s="45">
        <v>2025.0</v>
      </c>
      <c r="AB39" s="45">
        <f>VLOOKUP(B39,'Analysis data'!$B$1:$F$358,5,false)</f>
        <v>0</v>
      </c>
      <c r="AC39" s="45">
        <v>0.0</v>
      </c>
      <c r="AD39" s="45" t="s">
        <v>1851</v>
      </c>
      <c r="AE39" s="45" t="s">
        <v>1852</v>
      </c>
      <c r="AF39" s="45">
        <v>6.309604339E9</v>
      </c>
      <c r="AG39" s="45">
        <v>9.949386333E9</v>
      </c>
      <c r="AH39" s="45">
        <v>0.0</v>
      </c>
      <c r="AI39" s="45">
        <v>0.0</v>
      </c>
      <c r="AJ39" s="45" t="str">
        <f>VLOOKUP(B39,'Analysis data'!B:K,10,false)</f>
        <v>MRF</v>
      </c>
      <c r="AK39" s="45" t="s">
        <v>1853</v>
      </c>
      <c r="AL39" s="45" t="s">
        <v>1854</v>
      </c>
      <c r="AM39" s="45">
        <v>6.51</v>
      </c>
      <c r="AN39" s="45">
        <v>6.59</v>
      </c>
      <c r="AO39" s="45">
        <v>6.45</v>
      </c>
      <c r="AP39" s="45">
        <v>0.0</v>
      </c>
      <c r="AQ39" s="45">
        <v>7.08</v>
      </c>
      <c r="AR39" s="45">
        <v>7.26</v>
      </c>
      <c r="AU39" s="45" t="s">
        <v>1011</v>
      </c>
      <c r="AX39" s="45" t="s">
        <v>1028</v>
      </c>
    </row>
    <row r="40">
      <c r="A40" s="45">
        <v>39.0</v>
      </c>
      <c r="B40" s="45" t="s">
        <v>363</v>
      </c>
      <c r="C40" s="45" t="s">
        <v>1855</v>
      </c>
      <c r="D40" s="45" t="s">
        <v>1856</v>
      </c>
      <c r="E40" s="45" t="s">
        <v>364</v>
      </c>
      <c r="F40" s="45" t="str">
        <f>VLOOKUP(B40,'Analysis data'!$B$2:$C$358,2,false)</f>
        <v>B</v>
      </c>
      <c r="G40" s="45" t="str">
        <f>VLOOKUP(B40, 'Analysis data'!$B$2:$I$358, 8, FALSE)</f>
        <v> Convener</v>
      </c>
      <c r="H40" s="124" t="s">
        <v>3474</v>
      </c>
      <c r="I40" s="125" t="s">
        <v>3483</v>
      </c>
      <c r="J40" s="119">
        <v>3.99321E11</v>
      </c>
      <c r="K40" s="45">
        <f>VLOOKUP(B40,'Analysis data'!B:E,4,false)</f>
        <v>8.99</v>
      </c>
      <c r="L40" s="45" t="s">
        <v>1003</v>
      </c>
      <c r="M40" s="45" t="s">
        <v>1003</v>
      </c>
      <c r="N40" s="45" t="s">
        <v>1003</v>
      </c>
      <c r="O40" s="45" t="s">
        <v>1857</v>
      </c>
      <c r="P40" s="45">
        <v>0.0</v>
      </c>
      <c r="Q40" s="45">
        <v>0.0</v>
      </c>
      <c r="R40" s="121">
        <v>38082.0</v>
      </c>
      <c r="S40" s="45" t="s">
        <v>60</v>
      </c>
      <c r="T40" s="45" t="s">
        <v>1006</v>
      </c>
      <c r="U40" s="45">
        <v>89.0</v>
      </c>
      <c r="V40" s="45">
        <v>2019.0</v>
      </c>
      <c r="W40" s="45">
        <v>96.2</v>
      </c>
      <c r="X40" s="45">
        <v>2021.0</v>
      </c>
      <c r="Y40" s="45">
        <v>9.0</v>
      </c>
      <c r="Z40" s="45">
        <v>85.0</v>
      </c>
      <c r="AA40" s="45">
        <v>2025.0</v>
      </c>
      <c r="AB40" s="45">
        <f>VLOOKUP(B40,'Analysis data'!$B$1:$F$358,5,false)</f>
        <v>0</v>
      </c>
      <c r="AC40" s="45">
        <v>0.0</v>
      </c>
      <c r="AD40" s="45" t="s">
        <v>1858</v>
      </c>
      <c r="AE40" s="45" t="s">
        <v>1859</v>
      </c>
      <c r="AF40" s="45">
        <v>6.30184994E9</v>
      </c>
      <c r="AG40" s="45">
        <v>9.849284661E9</v>
      </c>
      <c r="AH40" s="45" t="s">
        <v>366</v>
      </c>
      <c r="AI40" s="45" t="s">
        <v>440</v>
      </c>
      <c r="AJ40" s="45" t="str">
        <f>VLOOKUP(B40,'Analysis data'!B:K,10,false)</f>
        <v>Accenture ASE &amp; SKILL DUNIYA</v>
      </c>
      <c r="AK40" s="45" t="s">
        <v>1860</v>
      </c>
      <c r="AL40" s="45" t="s">
        <v>1861</v>
      </c>
      <c r="AM40" s="45">
        <v>9.35</v>
      </c>
      <c r="AN40" s="45">
        <v>8.66</v>
      </c>
      <c r="AO40" s="45">
        <v>9.02</v>
      </c>
      <c r="AP40" s="45">
        <v>0.0</v>
      </c>
      <c r="AQ40" s="45">
        <v>9.05</v>
      </c>
      <c r="AR40" s="45">
        <v>9.06</v>
      </c>
      <c r="AU40" s="45" t="s">
        <v>1011</v>
      </c>
      <c r="AX40" s="45" t="s">
        <v>1028</v>
      </c>
    </row>
    <row r="41">
      <c r="A41" s="45">
        <v>40.0</v>
      </c>
      <c r="B41" s="45" t="s">
        <v>367</v>
      </c>
      <c r="C41" s="45" t="s">
        <v>1862</v>
      </c>
      <c r="D41" s="45" t="s">
        <v>1863</v>
      </c>
      <c r="E41" s="45" t="s">
        <v>368</v>
      </c>
      <c r="F41" s="45" t="str">
        <f>VLOOKUP(B41,'Analysis data'!$B$2:$C$358,2,false)</f>
        <v>B</v>
      </c>
      <c r="G41" s="45" t="str">
        <f>VLOOKUP(B41, 'Analysis data'!$B$2:$I$358, 8, FALSE)</f>
        <v> Convener</v>
      </c>
      <c r="H41" s="124" t="s">
        <v>3480</v>
      </c>
      <c r="I41" s="125" t="s">
        <v>3483</v>
      </c>
      <c r="J41" s="119">
        <v>2.17706E11</v>
      </c>
      <c r="K41" s="45">
        <f>VLOOKUP(B41,'Analysis data'!B:E,4,false)</f>
        <v>7.93</v>
      </c>
      <c r="L41" s="45" t="s">
        <v>1003</v>
      </c>
      <c r="M41" s="45" t="s">
        <v>1003</v>
      </c>
      <c r="N41" s="45" t="s">
        <v>1003</v>
      </c>
      <c r="O41" s="45" t="s">
        <v>1864</v>
      </c>
      <c r="P41" s="45">
        <v>1400.0</v>
      </c>
      <c r="Q41" s="45">
        <v>0.0</v>
      </c>
      <c r="R41" s="45" t="s">
        <v>1865</v>
      </c>
      <c r="S41" s="45" t="s">
        <v>46</v>
      </c>
      <c r="T41" s="45" t="s">
        <v>1006</v>
      </c>
      <c r="U41" s="45">
        <v>97.0</v>
      </c>
      <c r="V41" s="45">
        <v>2019.0</v>
      </c>
      <c r="W41" s="45">
        <v>88.0</v>
      </c>
      <c r="X41" s="45">
        <v>2021.0</v>
      </c>
      <c r="Y41" s="45">
        <v>7.9</v>
      </c>
      <c r="Z41" s="45">
        <v>74.0</v>
      </c>
      <c r="AA41" s="45">
        <v>2025.0</v>
      </c>
      <c r="AB41" s="45">
        <f>VLOOKUP(B41,'Analysis data'!$B$1:$F$358,5,false)</f>
        <v>0</v>
      </c>
      <c r="AC41" s="45">
        <v>0.0</v>
      </c>
      <c r="AD41" s="45" t="s">
        <v>1866</v>
      </c>
      <c r="AE41" s="45" t="s">
        <v>1867</v>
      </c>
      <c r="AF41" s="45">
        <v>7.093172593E9</v>
      </c>
      <c r="AG41" s="45">
        <v>9.989430536E9</v>
      </c>
      <c r="AH41" s="45">
        <v>0.0</v>
      </c>
      <c r="AI41" s="45">
        <v>0.0</v>
      </c>
      <c r="AJ41" s="45" t="str">
        <f>VLOOKUP(B41,'Analysis data'!B:K,10,false)</f>
        <v>COGNIZANT-OFF CAMPUS</v>
      </c>
      <c r="AK41" s="45" t="s">
        <v>1299</v>
      </c>
      <c r="AL41" s="45" t="s">
        <v>1868</v>
      </c>
      <c r="AM41" s="45">
        <v>8.08</v>
      </c>
      <c r="AN41" s="45">
        <v>7.59</v>
      </c>
      <c r="AO41" s="45">
        <v>7.59</v>
      </c>
      <c r="AP41" s="45">
        <v>0.0</v>
      </c>
      <c r="AQ41" s="45">
        <v>7.87</v>
      </c>
      <c r="AR41" s="45">
        <v>7.88</v>
      </c>
      <c r="AU41" s="45" t="s">
        <v>1011</v>
      </c>
      <c r="AX41" s="45" t="s">
        <v>1012</v>
      </c>
    </row>
    <row r="42">
      <c r="A42" s="45">
        <v>41.0</v>
      </c>
      <c r="B42" s="45" t="s">
        <v>393</v>
      </c>
      <c r="C42" s="45" t="s">
        <v>1944</v>
      </c>
      <c r="D42" s="45" t="s">
        <v>1945</v>
      </c>
      <c r="E42" s="45" t="s">
        <v>394</v>
      </c>
      <c r="F42" s="45" t="str">
        <f>VLOOKUP(B42,'Analysis data'!$B$2:$C$358,2,false)</f>
        <v>B</v>
      </c>
      <c r="G42" s="45" t="str">
        <f>VLOOKUP(B42, 'Analysis data'!$B$2:$I$358, 8, FALSE)</f>
        <v> Convener</v>
      </c>
      <c r="H42" s="124" t="s">
        <v>3480</v>
      </c>
      <c r="I42" s="125" t="s">
        <v>3483</v>
      </c>
      <c r="J42" s="119">
        <v>4.83619E11</v>
      </c>
      <c r="K42" s="45">
        <f>VLOOKUP(B42,'Analysis data'!B:E,4,false)</f>
        <v>8.13</v>
      </c>
      <c r="L42" s="45">
        <v>281.0</v>
      </c>
      <c r="M42" s="45" t="s">
        <v>1003</v>
      </c>
      <c r="N42" s="45" t="s">
        <v>1003</v>
      </c>
      <c r="O42" s="45" t="s">
        <v>1946</v>
      </c>
      <c r="P42" s="45">
        <v>0.0</v>
      </c>
      <c r="Q42" s="45">
        <v>0.0</v>
      </c>
      <c r="R42" s="45" t="s">
        <v>1311</v>
      </c>
      <c r="S42" s="45" t="s">
        <v>46</v>
      </c>
      <c r="T42" s="45" t="s">
        <v>1006</v>
      </c>
      <c r="U42" s="45">
        <v>75.0</v>
      </c>
      <c r="V42" s="45">
        <v>2019.0</v>
      </c>
      <c r="W42" s="45">
        <v>92.0</v>
      </c>
      <c r="X42" s="45">
        <v>2021.0</v>
      </c>
      <c r="Y42" s="45">
        <v>8.1</v>
      </c>
      <c r="Z42" s="45">
        <v>76.0</v>
      </c>
      <c r="AA42" s="45">
        <v>2025.0</v>
      </c>
      <c r="AB42" s="45">
        <f>VLOOKUP(B42,'Analysis data'!$B$1:$F$358,5,false)</f>
        <v>0</v>
      </c>
      <c r="AC42" s="45">
        <v>0.0</v>
      </c>
      <c r="AD42" s="45" t="s">
        <v>1947</v>
      </c>
      <c r="AE42" s="45" t="s">
        <v>1948</v>
      </c>
      <c r="AF42" s="45">
        <v>7.989261753E9</v>
      </c>
      <c r="AG42" s="45">
        <v>9.440137284E9</v>
      </c>
      <c r="AH42" s="45">
        <v>0.0</v>
      </c>
      <c r="AI42" s="45">
        <v>0.0</v>
      </c>
      <c r="AJ42" s="45" t="str">
        <f>VLOOKUP(B42,'Analysis data'!B:K,10,false)</f>
        <v/>
      </c>
      <c r="AK42" s="45" t="s">
        <v>1949</v>
      </c>
      <c r="AL42" s="45" t="s">
        <v>1950</v>
      </c>
      <c r="AM42" s="45">
        <v>8.05</v>
      </c>
      <c r="AN42" s="45">
        <v>7.73</v>
      </c>
      <c r="AO42" s="45">
        <v>7.86</v>
      </c>
      <c r="AP42" s="45">
        <v>0.0</v>
      </c>
      <c r="AQ42" s="45">
        <v>8.06</v>
      </c>
      <c r="AR42" s="45">
        <v>8.1</v>
      </c>
      <c r="AU42" s="45" t="s">
        <v>1011</v>
      </c>
      <c r="AX42" s="45" t="s">
        <v>1028</v>
      </c>
    </row>
    <row r="43">
      <c r="A43" s="45">
        <v>42.0</v>
      </c>
      <c r="B43" s="45" t="s">
        <v>395</v>
      </c>
      <c r="C43" s="45" t="s">
        <v>1951</v>
      </c>
      <c r="D43" s="45" t="s">
        <v>1952</v>
      </c>
      <c r="E43" s="45" t="s">
        <v>396</v>
      </c>
      <c r="F43" s="45" t="str">
        <f>VLOOKUP(B43,'Analysis data'!$B$2:$C$358,2,false)</f>
        <v>B</v>
      </c>
      <c r="G43" s="45" t="str">
        <f>VLOOKUP(B43, 'Analysis data'!$B$2:$I$358, 8, FALSE)</f>
        <v> Convener</v>
      </c>
      <c r="H43" s="124" t="s">
        <v>3474</v>
      </c>
      <c r="I43" s="125" t="s">
        <v>3483</v>
      </c>
      <c r="J43" s="119">
        <v>2.89406E11</v>
      </c>
      <c r="K43" s="45">
        <f>VLOOKUP(B43,'Analysis data'!B:E,4,false)</f>
        <v>9</v>
      </c>
      <c r="L43" s="45" t="s">
        <v>1003</v>
      </c>
      <c r="M43" s="45" t="s">
        <v>1003</v>
      </c>
      <c r="N43" s="45" t="s">
        <v>1003</v>
      </c>
      <c r="O43" s="45" t="s">
        <v>1806</v>
      </c>
      <c r="P43" s="45">
        <v>32721.0</v>
      </c>
      <c r="Q43" s="45">
        <v>0.0</v>
      </c>
      <c r="R43" s="45" t="s">
        <v>1953</v>
      </c>
      <c r="S43" s="45" t="s">
        <v>46</v>
      </c>
      <c r="T43" s="45" t="s">
        <v>1006</v>
      </c>
      <c r="U43" s="45">
        <v>97.0</v>
      </c>
      <c r="V43" s="45">
        <v>2019.0</v>
      </c>
      <c r="W43" s="45">
        <v>97.6</v>
      </c>
      <c r="X43" s="45">
        <v>2021.0</v>
      </c>
      <c r="Y43" s="45">
        <v>9.0</v>
      </c>
      <c r="Z43" s="45">
        <v>85.0</v>
      </c>
      <c r="AA43" s="45">
        <v>2025.0</v>
      </c>
      <c r="AB43" s="45">
        <f>VLOOKUP(B43,'Analysis data'!$B$1:$F$358,5,false)</f>
        <v>0</v>
      </c>
      <c r="AC43" s="45">
        <v>0.0</v>
      </c>
      <c r="AD43" s="45" t="s">
        <v>1954</v>
      </c>
      <c r="AE43" s="45" t="s">
        <v>1955</v>
      </c>
      <c r="AF43" s="45">
        <v>6.302669764E9</v>
      </c>
      <c r="AG43" s="45">
        <v>9.652665419E9</v>
      </c>
      <c r="AH43" s="45">
        <v>0.0</v>
      </c>
      <c r="AI43" s="45">
        <v>0.0</v>
      </c>
      <c r="AJ43" s="45" t="str">
        <f>VLOOKUP(B43,'Analysis data'!B:K,10,false)</f>
        <v/>
      </c>
      <c r="AK43" s="45" t="s">
        <v>1956</v>
      </c>
      <c r="AL43" s="45" t="s">
        <v>1957</v>
      </c>
      <c r="AM43" s="45">
        <v>8.68</v>
      </c>
      <c r="AN43" s="45">
        <v>8.32</v>
      </c>
      <c r="AO43" s="45">
        <v>9.14</v>
      </c>
      <c r="AP43" s="45">
        <v>0.0</v>
      </c>
      <c r="AQ43" s="45">
        <v>8.95</v>
      </c>
      <c r="AR43" s="45">
        <v>9.0</v>
      </c>
      <c r="AU43" s="45" t="s">
        <v>1011</v>
      </c>
      <c r="AX43" s="45" t="s">
        <v>1012</v>
      </c>
    </row>
    <row r="44">
      <c r="A44" s="45">
        <v>43.0</v>
      </c>
      <c r="B44" s="45" t="s">
        <v>397</v>
      </c>
      <c r="C44" s="45" t="s">
        <v>1958</v>
      </c>
      <c r="D44" s="45" t="s">
        <v>1959</v>
      </c>
      <c r="E44" s="45" t="s">
        <v>398</v>
      </c>
      <c r="F44" s="45" t="str">
        <f>VLOOKUP(B44,'Analysis data'!$B$2:$C$358,2,false)</f>
        <v>B</v>
      </c>
      <c r="G44" s="45" t="str">
        <f>VLOOKUP(B44, 'Analysis data'!$B$2:$I$358, 8, FALSE)</f>
        <v> Management</v>
      </c>
      <c r="H44" s="124" t="s">
        <v>3480</v>
      </c>
      <c r="I44" s="125" t="s">
        <v>3483</v>
      </c>
      <c r="J44" s="119">
        <v>9.03111E11</v>
      </c>
      <c r="K44" s="45">
        <f>VLOOKUP(B44,'Analysis data'!B:E,4,false)</f>
        <v>8.57</v>
      </c>
      <c r="L44" s="45">
        <v>595.0</v>
      </c>
      <c r="M44" s="45" t="s">
        <v>1003</v>
      </c>
      <c r="N44" s="45" t="s">
        <v>1003</v>
      </c>
      <c r="O44" s="45" t="s">
        <v>1960</v>
      </c>
      <c r="P44" s="45">
        <v>14206.0</v>
      </c>
      <c r="Q44" s="45">
        <v>0.0</v>
      </c>
      <c r="R44" s="121">
        <v>38385.0</v>
      </c>
      <c r="S44" s="45" t="s">
        <v>60</v>
      </c>
      <c r="T44" s="45" t="s">
        <v>1006</v>
      </c>
      <c r="U44" s="45">
        <v>97.0</v>
      </c>
      <c r="V44" s="45">
        <v>2019.0</v>
      </c>
      <c r="W44" s="45">
        <v>95.0</v>
      </c>
      <c r="X44" s="45">
        <v>2021.0</v>
      </c>
      <c r="Y44" s="45">
        <v>8.6</v>
      </c>
      <c r="Z44" s="45">
        <v>81.0</v>
      </c>
      <c r="AA44" s="45">
        <v>2025.0</v>
      </c>
      <c r="AB44" s="45">
        <f>VLOOKUP(B44,'Analysis data'!$B$1:$F$358,5,false)</f>
        <v>0</v>
      </c>
      <c r="AC44" s="45">
        <v>0.0</v>
      </c>
      <c r="AD44" s="45" t="s">
        <v>1961</v>
      </c>
      <c r="AE44" s="45" t="s">
        <v>1962</v>
      </c>
      <c r="AF44" s="45">
        <v>9.398173395E9</v>
      </c>
      <c r="AG44" s="45">
        <v>9.3945566E9</v>
      </c>
      <c r="AH44" s="45">
        <v>0.0</v>
      </c>
      <c r="AI44" s="45">
        <v>0.0</v>
      </c>
      <c r="AJ44" s="45" t="str">
        <f>VLOOKUP(B44,'Analysis data'!B:K,10,false)</f>
        <v>ASSET10 SOFTWARE</v>
      </c>
      <c r="AK44" s="45" t="s">
        <v>1963</v>
      </c>
      <c r="AL44" s="45" t="s">
        <v>1964</v>
      </c>
      <c r="AM44" s="45">
        <v>8.76</v>
      </c>
      <c r="AN44" s="45">
        <v>8.46</v>
      </c>
      <c r="AO44" s="45">
        <v>8.2</v>
      </c>
      <c r="AP44" s="45">
        <v>0.0</v>
      </c>
      <c r="AQ44" s="45">
        <v>8.54</v>
      </c>
      <c r="AR44" s="45">
        <v>8.56</v>
      </c>
      <c r="AU44" s="45" t="s">
        <v>1011</v>
      </c>
      <c r="AX44" s="45" t="s">
        <v>1028</v>
      </c>
    </row>
    <row r="45">
      <c r="A45" s="45">
        <v>44.0</v>
      </c>
      <c r="B45" s="45" t="s">
        <v>399</v>
      </c>
      <c r="C45" s="45" t="s">
        <v>1965</v>
      </c>
      <c r="D45" s="45" t="s">
        <v>1883</v>
      </c>
      <c r="E45" s="45" t="s">
        <v>400</v>
      </c>
      <c r="F45" s="45" t="str">
        <f>VLOOKUP(B45,'Analysis data'!$B$2:$C$358,2,false)</f>
        <v>B</v>
      </c>
      <c r="G45" s="45" t="str">
        <f>VLOOKUP(B45, 'Analysis data'!$B$2:$I$358, 8, FALSE)</f>
        <v> Management</v>
      </c>
      <c r="H45" s="124" t="s">
        <v>3480</v>
      </c>
      <c r="I45" s="125" t="s">
        <v>3483</v>
      </c>
      <c r="J45" s="119">
        <v>6.9436E11</v>
      </c>
      <c r="K45" s="45">
        <f>VLOOKUP(B45,'Analysis data'!B:E,4,false)</f>
        <v>7.45</v>
      </c>
      <c r="L45" s="45" t="s">
        <v>1003</v>
      </c>
      <c r="M45" s="45" t="s">
        <v>1003</v>
      </c>
      <c r="N45" s="45" t="s">
        <v>1003</v>
      </c>
      <c r="O45" s="45" t="s">
        <v>1966</v>
      </c>
      <c r="P45" s="45">
        <v>35000.0</v>
      </c>
      <c r="Q45" s="45">
        <v>0.0</v>
      </c>
      <c r="R45" s="45" t="s">
        <v>1967</v>
      </c>
      <c r="S45" s="45" t="s">
        <v>46</v>
      </c>
      <c r="T45" s="45" t="s">
        <v>1006</v>
      </c>
      <c r="U45" s="45">
        <v>95.0</v>
      </c>
      <c r="V45" s="45">
        <v>2019.0</v>
      </c>
      <c r="W45" s="45">
        <v>78.0</v>
      </c>
      <c r="X45" s="45">
        <v>2021.0</v>
      </c>
      <c r="Y45" s="45">
        <v>7.5</v>
      </c>
      <c r="Z45" s="45">
        <v>70.0</v>
      </c>
      <c r="AA45" s="45">
        <v>2025.0</v>
      </c>
      <c r="AB45" s="45">
        <f>VLOOKUP(B45,'Analysis data'!$B$1:$F$358,5,false)</f>
        <v>0</v>
      </c>
      <c r="AC45" s="45">
        <v>1.0</v>
      </c>
      <c r="AD45" s="45" t="s">
        <v>1968</v>
      </c>
      <c r="AE45" s="45" t="s">
        <v>1969</v>
      </c>
      <c r="AF45" s="45">
        <v>9.398584324E9</v>
      </c>
      <c r="AG45" s="45">
        <v>9.948752639E9</v>
      </c>
      <c r="AH45" s="45" t="s">
        <v>401</v>
      </c>
      <c r="AI45" s="45" t="s">
        <v>440</v>
      </c>
      <c r="AJ45" s="45" t="str">
        <f>VLOOKUP(B45,'Analysis data'!B:K,10,false)</f>
        <v>SKILL DUNIYA &amp; CORIZO-BDA</v>
      </c>
      <c r="AK45" s="45" t="s">
        <v>1970</v>
      </c>
      <c r="AL45" s="45" t="s">
        <v>1971</v>
      </c>
      <c r="AM45" s="45">
        <v>7.49</v>
      </c>
      <c r="AN45" s="45">
        <v>7.8</v>
      </c>
      <c r="AO45" s="45">
        <v>7.35</v>
      </c>
      <c r="AP45" s="45">
        <v>7.13</v>
      </c>
      <c r="AQ45" s="45">
        <v>7.08</v>
      </c>
      <c r="AR45" s="45">
        <v>7.39</v>
      </c>
      <c r="AU45" s="45" t="s">
        <v>1011</v>
      </c>
      <c r="AX45" s="45" t="s">
        <v>1028</v>
      </c>
    </row>
    <row r="46">
      <c r="A46" s="45">
        <v>45.0</v>
      </c>
      <c r="B46" s="45" t="s">
        <v>407</v>
      </c>
      <c r="C46" s="45" t="s">
        <v>1988</v>
      </c>
      <c r="D46" s="45" t="s">
        <v>1989</v>
      </c>
      <c r="E46" s="45" t="s">
        <v>408</v>
      </c>
      <c r="F46" s="45" t="str">
        <f>VLOOKUP(B46,'Analysis data'!$B$2:$C$358,2,false)</f>
        <v>B</v>
      </c>
      <c r="G46" s="45" t="str">
        <f>VLOOKUP(B46, 'Analysis data'!$B$2:$I$358, 8, FALSE)</f>
        <v> Convener</v>
      </c>
      <c r="H46" s="124" t="s">
        <v>3480</v>
      </c>
      <c r="I46" s="125" t="s">
        <v>3483</v>
      </c>
      <c r="J46" s="119">
        <v>9.31614E11</v>
      </c>
      <c r="K46" s="45">
        <f>VLOOKUP(B46,'Analysis data'!B:E,4,false)</f>
        <v>7.89</v>
      </c>
      <c r="L46" s="45" t="s">
        <v>1003</v>
      </c>
      <c r="M46" s="45" t="s">
        <v>1003</v>
      </c>
      <c r="N46" s="45" t="s">
        <v>1003</v>
      </c>
      <c r="O46" s="45" t="s">
        <v>1990</v>
      </c>
      <c r="P46" s="45">
        <v>0.0</v>
      </c>
      <c r="Q46" s="45">
        <v>0.0</v>
      </c>
      <c r="R46" s="121">
        <v>38026.0</v>
      </c>
      <c r="S46" s="45" t="s">
        <v>46</v>
      </c>
      <c r="T46" s="45" t="s">
        <v>1006</v>
      </c>
      <c r="U46" s="45">
        <v>63.0</v>
      </c>
      <c r="V46" s="45">
        <v>2019.0</v>
      </c>
      <c r="W46" s="45">
        <v>92.0</v>
      </c>
      <c r="X46" s="45">
        <v>2021.0</v>
      </c>
      <c r="Y46" s="45">
        <v>7.9</v>
      </c>
      <c r="Z46" s="45">
        <v>74.0</v>
      </c>
      <c r="AA46" s="45">
        <v>2025.0</v>
      </c>
      <c r="AB46" s="45">
        <f>VLOOKUP(B46,'Analysis data'!$B$1:$F$358,5,false)</f>
        <v>0</v>
      </c>
      <c r="AC46" s="45">
        <v>1.0</v>
      </c>
      <c r="AD46" s="45" t="s">
        <v>1991</v>
      </c>
      <c r="AE46" s="45" t="s">
        <v>1992</v>
      </c>
      <c r="AF46" s="45">
        <v>9.966880756E9</v>
      </c>
      <c r="AG46" s="45">
        <v>9.885500737E9</v>
      </c>
      <c r="AH46" s="45" t="s">
        <v>271</v>
      </c>
      <c r="AI46" s="45">
        <v>0.0</v>
      </c>
      <c r="AJ46" s="45" t="str">
        <f>VLOOKUP(B46,'Analysis data'!B:K,10,false)</f>
        <v>CORIZO-BDA &amp; MRF</v>
      </c>
      <c r="AK46" s="45" t="s">
        <v>1993</v>
      </c>
      <c r="AL46" s="45" t="s">
        <v>1994</v>
      </c>
      <c r="AM46" s="45">
        <v>8.24</v>
      </c>
      <c r="AN46" s="45">
        <v>7.32</v>
      </c>
      <c r="AO46" s="45">
        <v>0.0</v>
      </c>
      <c r="AP46" s="45">
        <v>0.0</v>
      </c>
      <c r="AQ46" s="45">
        <v>7.86</v>
      </c>
      <c r="AR46" s="45">
        <v>7.85</v>
      </c>
      <c r="AU46" s="45" t="s">
        <v>1011</v>
      </c>
      <c r="AX46" s="45" t="s">
        <v>1012</v>
      </c>
    </row>
    <row r="47">
      <c r="A47" s="45">
        <v>46.0</v>
      </c>
      <c r="B47" s="45" t="s">
        <v>410</v>
      </c>
      <c r="C47" s="45" t="s">
        <v>1995</v>
      </c>
      <c r="D47" s="45" t="s">
        <v>1996</v>
      </c>
      <c r="E47" s="45" t="s">
        <v>411</v>
      </c>
      <c r="F47" s="45" t="str">
        <f>VLOOKUP(B47,'Analysis data'!$B$2:$C$358,2,false)</f>
        <v>B</v>
      </c>
      <c r="G47" s="45" t="str">
        <f>VLOOKUP(B47, 'Analysis data'!$B$2:$I$358, 8, FALSE)</f>
        <v> Convener</v>
      </c>
      <c r="H47" s="124" t="s">
        <v>3480</v>
      </c>
      <c r="I47" s="125" t="s">
        <v>3483</v>
      </c>
      <c r="J47" s="119">
        <v>8.48607E11</v>
      </c>
      <c r="K47" s="45">
        <f>VLOOKUP(B47,'Analysis data'!B:E,4,false)</f>
        <v>8.83</v>
      </c>
      <c r="L47" s="45" t="s">
        <v>1003</v>
      </c>
      <c r="M47" s="45" t="s">
        <v>1003</v>
      </c>
      <c r="N47" s="45" t="s">
        <v>1003</v>
      </c>
      <c r="O47" s="45" t="s">
        <v>1997</v>
      </c>
      <c r="P47" s="45">
        <v>9482.0</v>
      </c>
      <c r="Q47" s="45">
        <v>0.0</v>
      </c>
      <c r="R47" s="121">
        <v>37934.0</v>
      </c>
      <c r="S47" s="45" t="s">
        <v>60</v>
      </c>
      <c r="T47" s="45" t="s">
        <v>1006</v>
      </c>
      <c r="U47" s="45">
        <v>95.0</v>
      </c>
      <c r="V47" s="45">
        <v>2019.0</v>
      </c>
      <c r="W47" s="45">
        <v>95.8</v>
      </c>
      <c r="X47" s="45">
        <v>2021.0</v>
      </c>
      <c r="Y47" s="45">
        <v>8.8</v>
      </c>
      <c r="Z47" s="45">
        <v>83.0</v>
      </c>
      <c r="AA47" s="45">
        <v>2025.0</v>
      </c>
      <c r="AB47" s="45">
        <f>VLOOKUP(B47,'Analysis data'!$B$1:$F$358,5,false)</f>
        <v>0</v>
      </c>
      <c r="AC47" s="45">
        <v>0.0</v>
      </c>
      <c r="AD47" s="45" t="s">
        <v>1998</v>
      </c>
      <c r="AE47" s="45" t="s">
        <v>1999</v>
      </c>
      <c r="AF47" s="45">
        <v>9.059293538E9</v>
      </c>
      <c r="AG47" s="45">
        <v>9.848293538E9</v>
      </c>
      <c r="AH47" s="45">
        <v>0.0</v>
      </c>
      <c r="AI47" s="45">
        <v>0.0</v>
      </c>
      <c r="AJ47" s="45" t="str">
        <f>VLOOKUP(B47,'Analysis data'!B:K,10,false)</f>
        <v/>
      </c>
      <c r="AK47" s="45" t="s">
        <v>2000</v>
      </c>
      <c r="AL47" s="45" t="s">
        <v>2001</v>
      </c>
      <c r="AM47" s="45">
        <v>8.65</v>
      </c>
      <c r="AN47" s="45">
        <v>8.85</v>
      </c>
      <c r="AO47" s="45">
        <v>8.5</v>
      </c>
      <c r="AP47" s="45">
        <v>0.0</v>
      </c>
      <c r="AQ47" s="45">
        <v>8.74</v>
      </c>
      <c r="AR47" s="45">
        <v>8.78</v>
      </c>
      <c r="AU47" s="45" t="s">
        <v>1011</v>
      </c>
      <c r="AX47" s="45" t="s">
        <v>1028</v>
      </c>
    </row>
    <row r="48">
      <c r="A48" s="45">
        <v>47.0</v>
      </c>
      <c r="B48" s="45" t="s">
        <v>412</v>
      </c>
      <c r="C48" s="45" t="s">
        <v>2002</v>
      </c>
      <c r="D48" s="45" t="s">
        <v>2003</v>
      </c>
      <c r="E48" s="45" t="s">
        <v>413</v>
      </c>
      <c r="F48" s="45" t="str">
        <f>VLOOKUP(B48,'Analysis data'!$B$2:$C$358,2,false)</f>
        <v>B</v>
      </c>
      <c r="G48" s="45" t="str">
        <f>VLOOKUP(B48, 'Analysis data'!$B$2:$I$358, 8, FALSE)</f>
        <v> Management</v>
      </c>
      <c r="H48" s="124" t="s">
        <v>3480</v>
      </c>
      <c r="I48" s="125" t="s">
        <v>3481</v>
      </c>
      <c r="J48" s="119">
        <v>2.87304E11</v>
      </c>
      <c r="K48" s="45">
        <f>VLOOKUP(B48,'Analysis data'!B:E,4,false)</f>
        <v>7.63</v>
      </c>
      <c r="L48" s="45" t="s">
        <v>1003</v>
      </c>
      <c r="M48" s="45" t="s">
        <v>1003</v>
      </c>
      <c r="N48" s="45" t="s">
        <v>1003</v>
      </c>
      <c r="O48" s="45" t="s">
        <v>1123</v>
      </c>
      <c r="P48" s="45">
        <v>0.0</v>
      </c>
      <c r="Q48" s="45">
        <v>1397.0</v>
      </c>
      <c r="R48" s="45" t="s">
        <v>2004</v>
      </c>
      <c r="S48" s="45" t="s">
        <v>46</v>
      </c>
      <c r="T48" s="45" t="s">
        <v>1006</v>
      </c>
      <c r="U48" s="45">
        <v>92.0</v>
      </c>
      <c r="V48" s="45">
        <v>2019.0</v>
      </c>
      <c r="W48" s="45">
        <v>72.0</v>
      </c>
      <c r="X48" s="45">
        <v>2022.0</v>
      </c>
      <c r="Y48" s="45">
        <v>7.6</v>
      </c>
      <c r="Z48" s="45">
        <v>71.0</v>
      </c>
      <c r="AA48" s="45">
        <v>2025.0</v>
      </c>
      <c r="AB48" s="45">
        <f>VLOOKUP(B48,'Analysis data'!$B$1:$F$358,5,false)</f>
        <v>0</v>
      </c>
      <c r="AC48" s="45">
        <v>0.0</v>
      </c>
      <c r="AD48" s="45" t="s">
        <v>2005</v>
      </c>
      <c r="AE48" s="45" t="s">
        <v>2006</v>
      </c>
      <c r="AF48" s="45">
        <v>9.014100865E9</v>
      </c>
      <c r="AG48" s="45">
        <v>9.121617631E9</v>
      </c>
      <c r="AH48" s="45">
        <v>0.0</v>
      </c>
      <c r="AI48" s="45">
        <v>0.0</v>
      </c>
      <c r="AJ48" s="45" t="str">
        <f>VLOOKUP(B48,'Analysis data'!B:K,10,false)</f>
        <v/>
      </c>
      <c r="AK48" s="45" t="s">
        <v>2007</v>
      </c>
      <c r="AL48" s="45" t="s">
        <v>2008</v>
      </c>
      <c r="AM48" s="45">
        <v>0.0</v>
      </c>
      <c r="AN48" s="45">
        <v>0.0</v>
      </c>
      <c r="AO48" s="45">
        <v>6.39</v>
      </c>
      <c r="AP48" s="45">
        <v>0.0</v>
      </c>
      <c r="AQ48" s="45">
        <v>7.22</v>
      </c>
      <c r="AR48" s="45">
        <v>7.43</v>
      </c>
      <c r="AU48" s="45" t="s">
        <v>1011</v>
      </c>
      <c r="AX48" s="45" t="s">
        <v>1012</v>
      </c>
    </row>
    <row r="49">
      <c r="A49" s="45">
        <v>48.0</v>
      </c>
      <c r="B49" s="45" t="s">
        <v>417</v>
      </c>
      <c r="C49" s="45" t="s">
        <v>2016</v>
      </c>
      <c r="D49" s="45" t="s">
        <v>2017</v>
      </c>
      <c r="E49" s="45" t="s">
        <v>418</v>
      </c>
      <c r="F49" s="45" t="str">
        <f>VLOOKUP(B49,'Analysis data'!$B$2:$C$358,2,false)</f>
        <v>B</v>
      </c>
      <c r="G49" s="45" t="str">
        <f>VLOOKUP(B49, 'Analysis data'!$B$2:$I$358, 8, FALSE)</f>
        <v> Management</v>
      </c>
      <c r="H49" s="124" t="s">
        <v>3471</v>
      </c>
      <c r="I49" s="125" t="s">
        <v>3482</v>
      </c>
      <c r="J49" s="119">
        <v>3.19661E11</v>
      </c>
      <c r="K49" s="45">
        <f>VLOOKUP(B49,'Analysis data'!B:E,4,false)</f>
        <v>8.92</v>
      </c>
      <c r="L49" s="45" t="s">
        <v>1003</v>
      </c>
      <c r="M49" s="45" t="s">
        <v>1003</v>
      </c>
      <c r="N49" s="45" t="s">
        <v>1003</v>
      </c>
      <c r="O49" s="45" t="s">
        <v>2018</v>
      </c>
      <c r="P49" s="45">
        <v>0.0</v>
      </c>
      <c r="Q49" s="45">
        <v>774.0</v>
      </c>
      <c r="R49" s="121">
        <v>37626.0</v>
      </c>
      <c r="S49" s="45" t="s">
        <v>60</v>
      </c>
      <c r="T49" s="45" t="s">
        <v>1006</v>
      </c>
      <c r="U49" s="45">
        <v>88.0</v>
      </c>
      <c r="V49" s="45">
        <v>2019.0</v>
      </c>
      <c r="W49" s="45">
        <v>91.0</v>
      </c>
      <c r="X49" s="45">
        <v>2022.0</v>
      </c>
      <c r="Y49" s="45">
        <v>8.9</v>
      </c>
      <c r="Z49" s="45">
        <v>84.0</v>
      </c>
      <c r="AA49" s="45">
        <v>2025.0</v>
      </c>
      <c r="AB49" s="45">
        <f>VLOOKUP(B49,'Analysis data'!$B$1:$F$358,5,false)</f>
        <v>0</v>
      </c>
      <c r="AC49" s="45">
        <v>0.0</v>
      </c>
      <c r="AD49" s="45" t="s">
        <v>2019</v>
      </c>
      <c r="AE49" s="45" t="s">
        <v>2020</v>
      </c>
      <c r="AF49" s="45">
        <v>8.977437191E9</v>
      </c>
      <c r="AG49" s="45">
        <v>9.618837191E9</v>
      </c>
      <c r="AH49" s="45">
        <v>0.0</v>
      </c>
      <c r="AI49" s="45">
        <v>0.0</v>
      </c>
      <c r="AJ49" s="45" t="str">
        <f>VLOOKUP(B49,'Analysis data'!B:K,10,false)</f>
        <v/>
      </c>
      <c r="AK49" s="45" t="s">
        <v>2021</v>
      </c>
      <c r="AL49" s="45" t="s">
        <v>2022</v>
      </c>
      <c r="AM49" s="45">
        <v>0.0</v>
      </c>
      <c r="AN49" s="45">
        <v>0.0</v>
      </c>
      <c r="AO49" s="45">
        <v>8.75</v>
      </c>
      <c r="AP49" s="45">
        <v>0.0</v>
      </c>
      <c r="AQ49" s="45">
        <v>8.98</v>
      </c>
      <c r="AR49" s="45">
        <v>8.94</v>
      </c>
      <c r="AU49" s="45" t="s">
        <v>1011</v>
      </c>
      <c r="AX49" s="45" t="s">
        <v>1028</v>
      </c>
    </row>
    <row r="50">
      <c r="A50" s="45">
        <v>49.0</v>
      </c>
      <c r="B50" s="45" t="s">
        <v>422</v>
      </c>
      <c r="C50" s="45" t="s">
        <v>2031</v>
      </c>
      <c r="D50" s="45" t="s">
        <v>2032</v>
      </c>
      <c r="E50" s="45" t="s">
        <v>423</v>
      </c>
      <c r="F50" s="45" t="str">
        <f>VLOOKUP(B50,'Analysis data'!$B$2:$C$358,2,false)</f>
        <v>B</v>
      </c>
      <c r="G50" s="45" t="str">
        <f>VLOOKUP(B50, 'Analysis data'!$B$2:$I$358, 8, FALSE)</f>
        <v> Convener</v>
      </c>
      <c r="H50" s="124" t="s">
        <v>3480</v>
      </c>
      <c r="I50" s="125" t="s">
        <v>3483</v>
      </c>
      <c r="J50" s="119">
        <v>8.58997E11</v>
      </c>
      <c r="K50" s="45" t="str">
        <f>VLOOKUP(B50,'Analysis data'!B:E,4,false)</f>
        <v/>
      </c>
      <c r="L50" s="45" t="s">
        <v>1003</v>
      </c>
      <c r="M50" s="45" t="s">
        <v>1003</v>
      </c>
      <c r="N50" s="45" t="s">
        <v>1003</v>
      </c>
      <c r="O50" s="45" t="s">
        <v>2033</v>
      </c>
      <c r="P50" s="45">
        <v>0.0</v>
      </c>
      <c r="Q50" s="45">
        <v>0.0</v>
      </c>
      <c r="R50" s="121">
        <v>37443.0</v>
      </c>
      <c r="S50" s="45" t="s">
        <v>46</v>
      </c>
      <c r="T50" s="45" t="s">
        <v>1006</v>
      </c>
      <c r="U50" s="45">
        <v>83.0</v>
      </c>
      <c r="V50" s="45">
        <v>2018.0</v>
      </c>
      <c r="W50" s="45">
        <v>70.0</v>
      </c>
      <c r="X50" s="45">
        <v>2022.0</v>
      </c>
      <c r="Y50" s="45">
        <v>0.0</v>
      </c>
      <c r="Z50" s="45">
        <v>-5.0</v>
      </c>
      <c r="AA50" s="45">
        <v>2025.0</v>
      </c>
      <c r="AB50" s="45">
        <f>VLOOKUP(B50,'Analysis data'!$B$1:$F$358,5,false)</f>
        <v>1</v>
      </c>
      <c r="AC50" s="45">
        <v>2.0</v>
      </c>
      <c r="AD50" s="45" t="s">
        <v>2034</v>
      </c>
      <c r="AE50" s="45" t="s">
        <v>2035</v>
      </c>
      <c r="AF50" s="45">
        <v>8.790571247E9</v>
      </c>
      <c r="AG50" s="45">
        <v>9.182471247E9</v>
      </c>
      <c r="AH50" s="45">
        <v>0.0</v>
      </c>
      <c r="AI50" s="45">
        <v>0.0</v>
      </c>
      <c r="AJ50" s="45" t="str">
        <f>VLOOKUP(B50,'Analysis data'!B:K,10,false)</f>
        <v>EATON-NAT</v>
      </c>
      <c r="AK50" s="45" t="s">
        <v>2036</v>
      </c>
      <c r="AL50" s="45" t="s">
        <v>423</v>
      </c>
      <c r="AM50" s="45">
        <v>0.0</v>
      </c>
      <c r="AN50" s="45">
        <v>0.0</v>
      </c>
      <c r="AO50" s="45">
        <v>0.0</v>
      </c>
      <c r="AP50" s="45">
        <v>0.0</v>
      </c>
      <c r="AQ50" s="45">
        <v>6.79</v>
      </c>
      <c r="AR50" s="45">
        <v>0.0</v>
      </c>
      <c r="AU50" s="45" t="s">
        <v>1011</v>
      </c>
      <c r="AX50" s="45" t="s">
        <v>1012</v>
      </c>
    </row>
    <row r="51">
      <c r="A51" s="45">
        <v>50.0</v>
      </c>
      <c r="B51" s="45" t="s">
        <v>426</v>
      </c>
      <c r="C51" s="45" t="s">
        <v>2044</v>
      </c>
      <c r="D51" s="45" t="s">
        <v>2045</v>
      </c>
      <c r="E51" s="45" t="s">
        <v>427</v>
      </c>
      <c r="F51" s="45" t="str">
        <f>VLOOKUP(B51,'Analysis data'!$B$2:$C$358,2,false)</f>
        <v>B</v>
      </c>
      <c r="G51" s="45" t="str">
        <f>VLOOKUP(B51, 'Analysis data'!$B$2:$I$358, 8, FALSE)</f>
        <v> Convener</v>
      </c>
      <c r="H51" s="124" t="s">
        <v>3480</v>
      </c>
      <c r="I51" s="125" t="s">
        <v>3483</v>
      </c>
      <c r="J51" s="119">
        <v>7.89071E11</v>
      </c>
      <c r="K51" s="45">
        <f>VLOOKUP(B51,'Analysis data'!B:E,4,false)</f>
        <v>8.71</v>
      </c>
      <c r="L51" s="45" t="s">
        <v>1003</v>
      </c>
      <c r="M51" s="45" t="s">
        <v>1003</v>
      </c>
      <c r="N51" s="45" t="s">
        <v>1003</v>
      </c>
      <c r="O51" s="45" t="s">
        <v>1031</v>
      </c>
      <c r="P51" s="45">
        <v>0.0</v>
      </c>
      <c r="Q51" s="45">
        <v>557.0</v>
      </c>
      <c r="R51" s="45" t="s">
        <v>2046</v>
      </c>
      <c r="S51" s="45" t="s">
        <v>60</v>
      </c>
      <c r="T51" s="45" t="s">
        <v>1006</v>
      </c>
      <c r="U51" s="45">
        <v>93.0</v>
      </c>
      <c r="V51" s="45">
        <v>2019.0</v>
      </c>
      <c r="W51" s="45">
        <v>91.0</v>
      </c>
      <c r="X51" s="45">
        <v>2022.0</v>
      </c>
      <c r="Y51" s="45">
        <v>8.7</v>
      </c>
      <c r="Z51" s="45">
        <v>82.0</v>
      </c>
      <c r="AA51" s="45">
        <v>2025.0</v>
      </c>
      <c r="AB51" s="45">
        <f>VLOOKUP(B51,'Analysis data'!$B$1:$F$358,5,false)</f>
        <v>0</v>
      </c>
      <c r="AC51" s="45">
        <v>0.0</v>
      </c>
      <c r="AD51" s="45" t="s">
        <v>2047</v>
      </c>
      <c r="AE51" s="45" t="s">
        <v>2048</v>
      </c>
      <c r="AF51" s="45">
        <v>6.302536782E9</v>
      </c>
      <c r="AG51" s="45">
        <v>8.91939632E9</v>
      </c>
      <c r="AH51" s="45">
        <v>0.0</v>
      </c>
      <c r="AI51" s="45">
        <v>0.0</v>
      </c>
      <c r="AJ51" s="45" t="str">
        <f>VLOOKUP(B51,'Analysis data'!B:K,10,false)</f>
        <v/>
      </c>
      <c r="AK51" s="45" t="s">
        <v>2049</v>
      </c>
      <c r="AL51" s="45" t="s">
        <v>2050</v>
      </c>
      <c r="AM51" s="45">
        <v>0.0</v>
      </c>
      <c r="AN51" s="45">
        <v>0.0</v>
      </c>
      <c r="AO51" s="45">
        <v>8.32</v>
      </c>
      <c r="AP51" s="45">
        <v>0.0</v>
      </c>
      <c r="AQ51" s="45">
        <v>8.54</v>
      </c>
      <c r="AR51" s="45">
        <v>8.67</v>
      </c>
      <c r="AU51" s="45" t="s">
        <v>1011</v>
      </c>
      <c r="AX51" s="45" t="s">
        <v>1028</v>
      </c>
    </row>
    <row r="52">
      <c r="A52" s="45">
        <v>51.0</v>
      </c>
      <c r="B52" s="45" t="s">
        <v>438</v>
      </c>
      <c r="C52" s="45" t="s">
        <v>2072</v>
      </c>
      <c r="D52" s="45" t="s">
        <v>2079</v>
      </c>
      <c r="E52" s="45" t="s">
        <v>439</v>
      </c>
      <c r="F52" s="45" t="str">
        <f>VLOOKUP(B52,'Analysis data'!$B$2:$C$358,2,false)</f>
        <v>C</v>
      </c>
      <c r="G52" s="45" t="str">
        <f>VLOOKUP(B52, 'Analysis data'!$B$2:$I$358, 8, FALSE)</f>
        <v> Management</v>
      </c>
      <c r="H52" s="124" t="s">
        <v>3484</v>
      </c>
      <c r="I52" s="125" t="s">
        <v>3484</v>
      </c>
      <c r="J52" s="119">
        <v>3.12806E11</v>
      </c>
      <c r="K52" s="45">
        <f>VLOOKUP(B52,'Analysis data'!B:E,4,false)</f>
        <v>7.88</v>
      </c>
      <c r="L52" s="45" t="s">
        <v>1003</v>
      </c>
      <c r="M52" s="45" t="s">
        <v>1003</v>
      </c>
      <c r="N52" s="45" t="s">
        <v>1003</v>
      </c>
      <c r="O52" s="45" t="s">
        <v>1084</v>
      </c>
      <c r="P52" s="45">
        <v>29316.0</v>
      </c>
      <c r="Q52" s="45">
        <v>0.0</v>
      </c>
      <c r="R52" s="121">
        <v>37746.0</v>
      </c>
      <c r="S52" s="45" t="s">
        <v>46</v>
      </c>
      <c r="T52" s="45" t="s">
        <v>1006</v>
      </c>
      <c r="U52" s="45">
        <v>93.0</v>
      </c>
      <c r="V52" s="45">
        <v>2019.0</v>
      </c>
      <c r="W52" s="45">
        <v>82.0</v>
      </c>
      <c r="X52" s="45">
        <v>2021.0</v>
      </c>
      <c r="Y52" s="45">
        <v>7.9</v>
      </c>
      <c r="Z52" s="45">
        <v>74.0</v>
      </c>
      <c r="AA52" s="45">
        <v>2025.0</v>
      </c>
      <c r="AB52" s="45">
        <f>VLOOKUP(B52,'Analysis data'!$B$1:$F$358,5,false)</f>
        <v>0</v>
      </c>
      <c r="AC52" s="45">
        <v>0.0</v>
      </c>
      <c r="AD52" s="45" t="s">
        <v>2080</v>
      </c>
      <c r="AE52" s="45" t="s">
        <v>2081</v>
      </c>
      <c r="AF52" s="45">
        <v>9.121907316E9</v>
      </c>
      <c r="AG52" s="45">
        <v>9.652957325E9</v>
      </c>
      <c r="AH52" s="45" t="s">
        <v>440</v>
      </c>
      <c r="AI52" s="45" t="s">
        <v>440</v>
      </c>
      <c r="AJ52" s="45" t="str">
        <f>VLOOKUP(B52,'Analysis data'!B:K,10,false)</f>
        <v>SKILL DUNIYA</v>
      </c>
      <c r="AK52" s="45" t="s">
        <v>2082</v>
      </c>
      <c r="AL52" s="45" t="s">
        <v>2083</v>
      </c>
      <c r="AM52" s="45">
        <v>8.11</v>
      </c>
      <c r="AN52" s="45">
        <v>7.8</v>
      </c>
      <c r="AO52" s="45">
        <v>0.0</v>
      </c>
      <c r="AP52" s="45">
        <v>0.0</v>
      </c>
      <c r="AQ52" s="45">
        <v>7.77</v>
      </c>
      <c r="AR52" s="45">
        <v>7.82</v>
      </c>
      <c r="AU52" s="45" t="s">
        <v>1011</v>
      </c>
      <c r="AX52" s="45" t="s">
        <v>1012</v>
      </c>
    </row>
    <row r="53">
      <c r="A53" s="45">
        <v>52.0</v>
      </c>
      <c r="B53" s="45" t="s">
        <v>448</v>
      </c>
      <c r="C53" s="45" t="s">
        <v>2104</v>
      </c>
      <c r="D53" s="45" t="s">
        <v>2105</v>
      </c>
      <c r="E53" s="45" t="s">
        <v>449</v>
      </c>
      <c r="F53" s="45" t="str">
        <f>VLOOKUP(B53,'Analysis data'!$B$2:$C$358,2,false)</f>
        <v>C</v>
      </c>
      <c r="G53" s="45" t="str">
        <f>VLOOKUP(B53, 'Analysis data'!$B$2:$I$358, 8, FALSE)</f>
        <v> Convener</v>
      </c>
      <c r="H53" s="124" t="s">
        <v>3474</v>
      </c>
      <c r="I53" s="125" t="s">
        <v>3484</v>
      </c>
      <c r="J53" s="119">
        <v>7.3048E11</v>
      </c>
      <c r="K53" s="45">
        <f>VLOOKUP(B53,'Analysis data'!B:E,4,false)</f>
        <v>9.1</v>
      </c>
      <c r="L53" s="45">
        <v>16098.0</v>
      </c>
      <c r="M53" s="45">
        <v>18898.0</v>
      </c>
      <c r="N53" s="45" t="s">
        <v>1003</v>
      </c>
      <c r="O53" s="45" t="s">
        <v>1479</v>
      </c>
      <c r="P53" s="45">
        <v>8551.0</v>
      </c>
      <c r="Q53" s="45">
        <v>0.0</v>
      </c>
      <c r="R53" s="121">
        <v>37931.0</v>
      </c>
      <c r="S53" s="45" t="s">
        <v>60</v>
      </c>
      <c r="T53" s="45" t="s">
        <v>1006</v>
      </c>
      <c r="U53" s="45">
        <v>100.0</v>
      </c>
      <c r="V53" s="45">
        <v>2019.0</v>
      </c>
      <c r="W53" s="45">
        <v>98.6</v>
      </c>
      <c r="X53" s="45">
        <v>2021.0</v>
      </c>
      <c r="Y53" s="45">
        <v>9.1</v>
      </c>
      <c r="Z53" s="45">
        <v>86.0</v>
      </c>
      <c r="AA53" s="45">
        <v>2025.0</v>
      </c>
      <c r="AB53" s="45">
        <f>VLOOKUP(B53,'Analysis data'!$B$1:$F$358,5,false)</f>
        <v>0</v>
      </c>
      <c r="AC53" s="45">
        <v>0.0</v>
      </c>
      <c r="AD53" s="45" t="s">
        <v>2106</v>
      </c>
      <c r="AE53" s="45" t="s">
        <v>2107</v>
      </c>
      <c r="AF53" s="45">
        <v>9.963048547E9</v>
      </c>
      <c r="AG53" s="45">
        <v>9.291369672E9</v>
      </c>
      <c r="AH53" s="45" t="s">
        <v>94</v>
      </c>
      <c r="AI53" s="45" t="s">
        <v>2108</v>
      </c>
      <c r="AJ53" s="45" t="str">
        <f>VLOOKUP(B53,'Analysis data'!B:K,10,false)</f>
        <v>VIAPLUS &amp; AMAZON-SDE-FTE</v>
      </c>
      <c r="AK53" s="45" t="s">
        <v>2109</v>
      </c>
      <c r="AL53" s="45" t="s">
        <v>2110</v>
      </c>
      <c r="AM53" s="45">
        <v>9.43</v>
      </c>
      <c r="AN53" s="45">
        <v>9.32</v>
      </c>
      <c r="AO53" s="45">
        <v>8.73</v>
      </c>
      <c r="AP53" s="45">
        <v>0.0</v>
      </c>
      <c r="AQ53" s="45">
        <v>9.1</v>
      </c>
      <c r="AR53" s="45">
        <v>9.08</v>
      </c>
      <c r="AU53" s="45" t="s">
        <v>1011</v>
      </c>
      <c r="AX53" s="45" t="s">
        <v>1028</v>
      </c>
    </row>
    <row r="54">
      <c r="A54" s="45">
        <v>53.0</v>
      </c>
      <c r="B54" s="45" t="s">
        <v>452</v>
      </c>
      <c r="C54" s="45" t="s">
        <v>2111</v>
      </c>
      <c r="D54" s="45" t="s">
        <v>2112</v>
      </c>
      <c r="E54" s="45" t="s">
        <v>453</v>
      </c>
      <c r="F54" s="45" t="str">
        <f>VLOOKUP(B54,'Analysis data'!$B$2:$C$358,2,false)</f>
        <v>C</v>
      </c>
      <c r="G54" s="45" t="str">
        <f>VLOOKUP(B54, 'Analysis data'!$B$2:$I$358, 8, FALSE)</f>
        <v> Management</v>
      </c>
      <c r="H54" s="124" t="s">
        <v>3484</v>
      </c>
      <c r="I54" s="125" t="s">
        <v>3484</v>
      </c>
      <c r="J54" s="119">
        <v>2.34092E11</v>
      </c>
      <c r="K54" s="45">
        <f>VLOOKUP(B54,'Analysis data'!B:E,4,false)</f>
        <v>7.25</v>
      </c>
      <c r="L54" s="45" t="s">
        <v>1003</v>
      </c>
      <c r="M54" s="45" t="s">
        <v>1003</v>
      </c>
      <c r="N54" s="45" t="s">
        <v>1003</v>
      </c>
      <c r="O54" s="45" t="s">
        <v>1123</v>
      </c>
      <c r="P54" s="45">
        <v>89000.0</v>
      </c>
      <c r="Q54" s="45">
        <v>0.0</v>
      </c>
      <c r="R54" s="121">
        <v>37837.0</v>
      </c>
      <c r="S54" s="45" t="s">
        <v>46</v>
      </c>
      <c r="T54" s="45" t="s">
        <v>1006</v>
      </c>
      <c r="U54" s="45">
        <v>90.0</v>
      </c>
      <c r="V54" s="45">
        <v>2019.0</v>
      </c>
      <c r="W54" s="45">
        <v>91.0</v>
      </c>
      <c r="X54" s="45">
        <v>2021.0</v>
      </c>
      <c r="Y54" s="45">
        <v>7.3</v>
      </c>
      <c r="Z54" s="45">
        <v>68.0</v>
      </c>
      <c r="AA54" s="45">
        <v>2025.0</v>
      </c>
      <c r="AB54" s="45">
        <f>VLOOKUP(B54,'Analysis data'!$B$1:$F$358,5,false)</f>
        <v>0</v>
      </c>
      <c r="AC54" s="45">
        <v>0.0</v>
      </c>
      <c r="AD54" s="45" t="s">
        <v>2113</v>
      </c>
      <c r="AE54" s="45" t="s">
        <v>2114</v>
      </c>
      <c r="AF54" s="45">
        <v>6.303686439E9</v>
      </c>
      <c r="AG54" s="45">
        <v>9.885471157E9</v>
      </c>
      <c r="AH54" s="45">
        <v>0.0</v>
      </c>
      <c r="AI54" s="45">
        <v>0.0</v>
      </c>
      <c r="AJ54" s="45" t="str">
        <f>VLOOKUP(B54,'Analysis data'!B:K,10,false)</f>
        <v/>
      </c>
      <c r="AK54" s="45" t="s">
        <v>2115</v>
      </c>
      <c r="AL54" s="45" t="s">
        <v>2116</v>
      </c>
      <c r="AM54" s="45">
        <v>7.43</v>
      </c>
      <c r="AN54" s="45">
        <v>7.2</v>
      </c>
      <c r="AO54" s="45">
        <v>7.25</v>
      </c>
      <c r="AP54" s="45">
        <v>0.0</v>
      </c>
      <c r="AQ54" s="45">
        <v>7.33</v>
      </c>
      <c r="AR54" s="45">
        <v>7.28</v>
      </c>
      <c r="AU54" s="45" t="s">
        <v>1011</v>
      </c>
      <c r="AX54" s="45" t="s">
        <v>1012</v>
      </c>
    </row>
    <row r="55">
      <c r="A55" s="45">
        <v>54.0</v>
      </c>
      <c r="B55" s="45" t="s">
        <v>454</v>
      </c>
      <c r="C55" s="45" t="s">
        <v>2117</v>
      </c>
      <c r="D55" s="45" t="s">
        <v>2118</v>
      </c>
      <c r="E55" s="45" t="s">
        <v>455</v>
      </c>
      <c r="F55" s="45" t="str">
        <f>VLOOKUP(B55,'Analysis data'!$B$2:$C$358,2,false)</f>
        <v>C</v>
      </c>
      <c r="G55" s="45" t="str">
        <f>VLOOKUP(B55, 'Analysis data'!$B$2:$I$358, 8, FALSE)</f>
        <v> Management</v>
      </c>
      <c r="H55" s="124" t="s">
        <v>3484</v>
      </c>
      <c r="I55" s="125" t="s">
        <v>3484</v>
      </c>
      <c r="J55" s="119">
        <v>3.24499E11</v>
      </c>
      <c r="K55" s="45" t="str">
        <f>VLOOKUP(B55,'Analysis data'!B:E,4,false)</f>
        <v/>
      </c>
      <c r="L55" s="45" t="s">
        <v>1003</v>
      </c>
      <c r="M55" s="45" t="s">
        <v>1003</v>
      </c>
      <c r="N55" s="45" t="s">
        <v>1003</v>
      </c>
      <c r="O55" s="45" t="s">
        <v>1620</v>
      </c>
      <c r="P55" s="45">
        <v>24614.0</v>
      </c>
      <c r="Q55" s="45">
        <v>0.0</v>
      </c>
      <c r="R55" s="121">
        <v>37840.0</v>
      </c>
      <c r="S55" s="45" t="s">
        <v>46</v>
      </c>
      <c r="T55" s="45" t="s">
        <v>1006</v>
      </c>
      <c r="U55" s="45">
        <v>87.0</v>
      </c>
      <c r="V55" s="45">
        <v>2019.0</v>
      </c>
      <c r="W55" s="45">
        <v>89.6</v>
      </c>
      <c r="X55" s="45">
        <v>2021.0</v>
      </c>
      <c r="Y55" s="45">
        <v>0.0</v>
      </c>
      <c r="Z55" s="45">
        <v>-5.0</v>
      </c>
      <c r="AA55" s="45">
        <v>2025.0</v>
      </c>
      <c r="AB55" s="45">
        <f>VLOOKUP(B55,'Analysis data'!$B$1:$F$358,5,false)</f>
        <v>1</v>
      </c>
      <c r="AC55" s="45">
        <v>0.0</v>
      </c>
      <c r="AD55" s="45" t="s">
        <v>2119</v>
      </c>
      <c r="AE55" s="45" t="s">
        <v>2120</v>
      </c>
      <c r="AF55" s="45">
        <v>8.328618723E9</v>
      </c>
      <c r="AG55" s="45">
        <v>7.036310466E9</v>
      </c>
      <c r="AH55" s="45">
        <v>0.0</v>
      </c>
      <c r="AI55" s="45">
        <v>0.0</v>
      </c>
      <c r="AJ55" s="45" t="str">
        <f>VLOOKUP(B55,'Analysis data'!B:K,10,false)</f>
        <v/>
      </c>
      <c r="AK55" s="45" t="s">
        <v>2121</v>
      </c>
      <c r="AL55" s="45" t="s">
        <v>2122</v>
      </c>
      <c r="AM55" s="45">
        <v>6.41</v>
      </c>
      <c r="AN55" s="45">
        <v>0.0</v>
      </c>
      <c r="AO55" s="45">
        <v>6.57</v>
      </c>
      <c r="AP55" s="45">
        <v>0.0</v>
      </c>
      <c r="AQ55" s="45">
        <v>6.84</v>
      </c>
      <c r="AR55" s="45">
        <v>6.86</v>
      </c>
      <c r="AU55" s="45" t="s">
        <v>1011</v>
      </c>
      <c r="AX55" s="45" t="s">
        <v>1012</v>
      </c>
    </row>
    <row r="56">
      <c r="A56" s="45">
        <v>55.0</v>
      </c>
      <c r="B56" s="45" t="s">
        <v>482</v>
      </c>
      <c r="C56" s="45" t="s">
        <v>2189</v>
      </c>
      <c r="D56" s="45" t="s">
        <v>2190</v>
      </c>
      <c r="E56" s="45" t="s">
        <v>483</v>
      </c>
      <c r="F56" s="45" t="str">
        <f>VLOOKUP(B56,'Analysis data'!$B$2:$C$358,2,false)</f>
        <v>C</v>
      </c>
      <c r="G56" s="45" t="str">
        <f>VLOOKUP(B56, 'Analysis data'!$B$2:$I$358, 8, FALSE)</f>
        <v> Convener</v>
      </c>
      <c r="H56" s="124" t="s">
        <v>3484</v>
      </c>
      <c r="I56" s="125" t="s">
        <v>3485</v>
      </c>
      <c r="J56" s="119">
        <v>5.31105E11</v>
      </c>
      <c r="K56" s="45">
        <f>VLOOKUP(B56,'Analysis data'!B:E,4,false)</f>
        <v>8.6</v>
      </c>
      <c r="L56" s="45">
        <v>6958.0</v>
      </c>
      <c r="M56" s="45" t="s">
        <v>1003</v>
      </c>
      <c r="N56" s="45" t="s">
        <v>1003</v>
      </c>
      <c r="O56" s="45" t="s">
        <v>2191</v>
      </c>
      <c r="P56" s="45">
        <v>0.0</v>
      </c>
      <c r="Q56" s="45">
        <v>0.0</v>
      </c>
      <c r="R56" s="45" t="s">
        <v>1472</v>
      </c>
      <c r="S56" s="45" t="s">
        <v>60</v>
      </c>
      <c r="T56" s="45" t="s">
        <v>1006</v>
      </c>
      <c r="U56" s="45">
        <v>97.0</v>
      </c>
      <c r="V56" s="45">
        <v>2019.0</v>
      </c>
      <c r="W56" s="45">
        <v>94.8</v>
      </c>
      <c r="X56" s="45">
        <v>2021.0</v>
      </c>
      <c r="Y56" s="45">
        <v>8.6</v>
      </c>
      <c r="Z56" s="45">
        <v>81.0</v>
      </c>
      <c r="AA56" s="45">
        <v>2025.0</v>
      </c>
      <c r="AB56" s="45">
        <f>VLOOKUP(B56,'Analysis data'!$B$1:$F$358,5,false)</f>
        <v>0</v>
      </c>
      <c r="AC56" s="45">
        <v>0.0</v>
      </c>
      <c r="AD56" s="45" t="s">
        <v>2192</v>
      </c>
      <c r="AE56" s="45" t="s">
        <v>2193</v>
      </c>
      <c r="AF56" s="45">
        <v>9.014882199E9</v>
      </c>
      <c r="AG56" s="45">
        <v>9.246936559E9</v>
      </c>
      <c r="AH56" s="45">
        <v>0.0</v>
      </c>
      <c r="AI56" s="45">
        <v>0.0</v>
      </c>
      <c r="AJ56" s="45" t="str">
        <f>VLOOKUP(B56,'Analysis data'!B:K,10,false)</f>
        <v/>
      </c>
      <c r="AK56" s="45" t="s">
        <v>2194</v>
      </c>
      <c r="AL56" s="45" t="s">
        <v>2195</v>
      </c>
      <c r="AM56" s="45">
        <v>8.59</v>
      </c>
      <c r="AN56" s="45">
        <v>8.56</v>
      </c>
      <c r="AO56" s="45">
        <v>7.73</v>
      </c>
      <c r="AP56" s="45">
        <v>0.0</v>
      </c>
      <c r="AQ56" s="45">
        <v>8.57</v>
      </c>
      <c r="AR56" s="45">
        <v>8.56</v>
      </c>
      <c r="AU56" s="45" t="s">
        <v>1011</v>
      </c>
      <c r="AX56" s="45" t="s">
        <v>1028</v>
      </c>
    </row>
    <row r="57">
      <c r="A57" s="45">
        <v>56.0</v>
      </c>
      <c r="B57" s="45" t="s">
        <v>497</v>
      </c>
      <c r="C57" s="45" t="s">
        <v>2235</v>
      </c>
      <c r="D57" s="45" t="s">
        <v>1599</v>
      </c>
      <c r="E57" s="45" t="s">
        <v>498</v>
      </c>
      <c r="F57" s="45" t="str">
        <f>VLOOKUP(B57,'Analysis data'!$B$2:$C$358,2,false)</f>
        <v>C</v>
      </c>
      <c r="G57" s="45" t="str">
        <f>VLOOKUP(B57, 'Analysis data'!$B$2:$I$358, 8, FALSE)</f>
        <v> Convener</v>
      </c>
      <c r="H57" s="124" t="s">
        <v>3484</v>
      </c>
      <c r="I57" s="125" t="s">
        <v>3485</v>
      </c>
      <c r="J57" s="119">
        <v>8.86859E11</v>
      </c>
      <c r="K57" s="45" t="str">
        <f>VLOOKUP(B57,'Analysis data'!B:E,4,false)</f>
        <v/>
      </c>
      <c r="L57" s="45" t="s">
        <v>1003</v>
      </c>
      <c r="M57" s="45" t="s">
        <v>1003</v>
      </c>
      <c r="N57" s="45" t="s">
        <v>1003</v>
      </c>
      <c r="O57" s="45" t="s">
        <v>2236</v>
      </c>
      <c r="P57" s="45">
        <v>0.0</v>
      </c>
      <c r="Q57" s="45">
        <v>0.0</v>
      </c>
      <c r="R57" s="45" t="s">
        <v>2237</v>
      </c>
      <c r="S57" s="45" t="s">
        <v>46</v>
      </c>
      <c r="T57" s="45" t="s">
        <v>1006</v>
      </c>
      <c r="U57" s="45">
        <v>85.0</v>
      </c>
      <c r="V57" s="45">
        <v>2019.0</v>
      </c>
      <c r="W57" s="45">
        <v>85.0</v>
      </c>
      <c r="X57" s="45">
        <v>2021.0</v>
      </c>
      <c r="Y57" s="45">
        <v>7.62</v>
      </c>
      <c r="Z57" s="45">
        <v>71.2</v>
      </c>
      <c r="AA57" s="45">
        <v>2025.0</v>
      </c>
      <c r="AB57" s="45">
        <f>VLOOKUP(B57,'Analysis data'!$B$1:$F$358,5,false)</f>
        <v>1</v>
      </c>
      <c r="AC57" s="45">
        <v>1.0</v>
      </c>
      <c r="AD57" s="45" t="s">
        <v>2238</v>
      </c>
      <c r="AE57" s="45" t="s">
        <v>2239</v>
      </c>
      <c r="AF57" s="45">
        <v>9.573923247E9</v>
      </c>
      <c r="AG57" s="45">
        <v>9.573923247E9</v>
      </c>
      <c r="AH57" s="45">
        <v>0.0</v>
      </c>
      <c r="AI57" s="45">
        <v>0.0</v>
      </c>
      <c r="AJ57" s="45" t="str">
        <f>VLOOKUP(B57,'Analysis data'!B:K,10,false)</f>
        <v>EDU-VERSITY</v>
      </c>
      <c r="AK57" s="45" t="s">
        <v>2240</v>
      </c>
      <c r="AL57" s="45" t="s">
        <v>2241</v>
      </c>
      <c r="AM57" s="45">
        <v>7.78</v>
      </c>
      <c r="AN57" s="45">
        <v>6.95</v>
      </c>
      <c r="AO57" s="45">
        <v>7.05</v>
      </c>
      <c r="AP57" s="45">
        <v>0.0</v>
      </c>
      <c r="AQ57" s="45">
        <v>7.61</v>
      </c>
      <c r="AR57" s="45">
        <v>7.61</v>
      </c>
      <c r="AU57" s="45" t="s">
        <v>1011</v>
      </c>
      <c r="AX57" s="45" t="s">
        <v>1012</v>
      </c>
    </row>
    <row r="58">
      <c r="A58" s="45">
        <v>57.0</v>
      </c>
      <c r="B58" s="45" t="s">
        <v>501</v>
      </c>
      <c r="C58" s="45" t="s">
        <v>2250</v>
      </c>
      <c r="D58" s="45" t="s">
        <v>2251</v>
      </c>
      <c r="E58" s="45" t="s">
        <v>502</v>
      </c>
      <c r="F58" s="45" t="str">
        <f>VLOOKUP(B58,'Analysis data'!$B$2:$C$358,2,false)</f>
        <v>C</v>
      </c>
      <c r="G58" s="45" t="str">
        <f>VLOOKUP(B58, 'Analysis data'!$B$2:$I$358, 8, FALSE)</f>
        <v> Convener</v>
      </c>
      <c r="H58" s="124" t="s">
        <v>3484</v>
      </c>
      <c r="I58" s="125" t="s">
        <v>3485</v>
      </c>
      <c r="J58" s="119">
        <v>4.88153E11</v>
      </c>
      <c r="K58" s="45" t="str">
        <f>VLOOKUP(B58,'Analysis data'!B:E,4,false)</f>
        <v/>
      </c>
      <c r="L58" s="45">
        <v>2102.0</v>
      </c>
      <c r="M58" s="45" t="s">
        <v>1003</v>
      </c>
      <c r="N58" s="45" t="s">
        <v>1003</v>
      </c>
      <c r="O58" s="45" t="s">
        <v>1123</v>
      </c>
      <c r="P58" s="45">
        <v>0.0</v>
      </c>
      <c r="Q58" s="45">
        <v>0.0</v>
      </c>
      <c r="R58" s="45" t="s">
        <v>1397</v>
      </c>
      <c r="S58" s="45" t="s">
        <v>46</v>
      </c>
      <c r="T58" s="45" t="s">
        <v>1006</v>
      </c>
      <c r="U58" s="45">
        <v>78.0</v>
      </c>
      <c r="V58" s="45">
        <v>2019.0</v>
      </c>
      <c r="W58" s="45">
        <v>54.0</v>
      </c>
      <c r="X58" s="45">
        <v>2021.0</v>
      </c>
      <c r="Y58" s="45">
        <v>0.0</v>
      </c>
      <c r="Z58" s="45">
        <v>-5.0</v>
      </c>
      <c r="AA58" s="45">
        <v>2025.0</v>
      </c>
      <c r="AB58" s="45">
        <f>VLOOKUP(B58,'Analysis data'!$B$1:$F$358,5,false)</f>
        <v>4</v>
      </c>
      <c r="AC58" s="45">
        <v>4.0</v>
      </c>
      <c r="AD58" s="45" t="s">
        <v>2252</v>
      </c>
      <c r="AE58" s="45" t="s">
        <v>2253</v>
      </c>
      <c r="AF58" s="45">
        <v>9.154948181E9</v>
      </c>
      <c r="AG58" s="45">
        <v>9.963781478E9</v>
      </c>
      <c r="AH58" s="45">
        <v>0.0</v>
      </c>
      <c r="AI58" s="45">
        <v>0.0</v>
      </c>
      <c r="AJ58" s="45" t="str">
        <f>VLOOKUP(B58,'Analysis data'!B:K,10,false)</f>
        <v/>
      </c>
      <c r="AK58" s="45" t="s">
        <v>2254</v>
      </c>
      <c r="AL58" s="45" t="s">
        <v>2255</v>
      </c>
      <c r="AM58" s="45">
        <v>0.0</v>
      </c>
      <c r="AN58" s="45">
        <v>0.0</v>
      </c>
      <c r="AO58" s="45">
        <v>0.0</v>
      </c>
      <c r="AP58" s="45">
        <v>0.0</v>
      </c>
      <c r="AQ58" s="45">
        <v>5.9</v>
      </c>
      <c r="AR58" s="45">
        <v>0.0</v>
      </c>
      <c r="AU58" s="45" t="s">
        <v>1011</v>
      </c>
      <c r="AX58" s="45" t="s">
        <v>1012</v>
      </c>
    </row>
    <row r="59">
      <c r="A59" s="45">
        <v>58.0</v>
      </c>
      <c r="B59" s="45" t="s">
        <v>511</v>
      </c>
      <c r="C59" s="45" t="s">
        <v>2277</v>
      </c>
      <c r="D59" s="45" t="s">
        <v>2170</v>
      </c>
      <c r="E59" s="45" t="s">
        <v>512</v>
      </c>
      <c r="F59" s="45" t="str">
        <f>VLOOKUP(B59,'Analysis data'!$B$2:$C$358,2,false)</f>
        <v>C</v>
      </c>
      <c r="G59" s="45" t="str">
        <f>VLOOKUP(B59, 'Analysis data'!$B$2:$I$358, 8, FALSE)</f>
        <v> Convener</v>
      </c>
      <c r="H59" s="124" t="s">
        <v>3484</v>
      </c>
      <c r="I59" s="125" t="s">
        <v>3485</v>
      </c>
      <c r="J59" s="119">
        <v>5.88954E11</v>
      </c>
      <c r="K59" s="45">
        <f>VLOOKUP(B59,'Analysis data'!B:E,4,false)</f>
        <v>7.07</v>
      </c>
      <c r="L59" s="45">
        <v>7543.0</v>
      </c>
      <c r="M59" s="45">
        <v>8940.0</v>
      </c>
      <c r="N59" s="45" t="s">
        <v>1003</v>
      </c>
      <c r="O59" s="45" t="s">
        <v>2278</v>
      </c>
      <c r="P59" s="45">
        <v>16731.0</v>
      </c>
      <c r="Q59" s="45">
        <v>0.0</v>
      </c>
      <c r="R59" s="45" t="s">
        <v>2279</v>
      </c>
      <c r="S59" s="45" t="s">
        <v>46</v>
      </c>
      <c r="T59" s="45" t="s">
        <v>1006</v>
      </c>
      <c r="U59" s="45">
        <v>90.0</v>
      </c>
      <c r="V59" s="45">
        <v>2019.0</v>
      </c>
      <c r="W59" s="45">
        <v>89.2</v>
      </c>
      <c r="X59" s="45">
        <v>2021.0</v>
      </c>
      <c r="Y59" s="45">
        <v>7.1</v>
      </c>
      <c r="Z59" s="45">
        <v>66.0</v>
      </c>
      <c r="AA59" s="45">
        <v>2025.0</v>
      </c>
      <c r="AB59" s="45">
        <f>VLOOKUP(B59,'Analysis data'!$B$1:$F$358,5,false)</f>
        <v>0</v>
      </c>
      <c r="AC59" s="45">
        <v>0.0</v>
      </c>
      <c r="AD59" s="45" t="s">
        <v>2280</v>
      </c>
      <c r="AE59" s="45" t="s">
        <v>2281</v>
      </c>
      <c r="AF59" s="45">
        <v>6.304280461E9</v>
      </c>
      <c r="AG59" s="45">
        <v>8.247275224E9</v>
      </c>
      <c r="AH59" s="45" t="s">
        <v>52</v>
      </c>
      <c r="AI59" s="45">
        <v>0.0</v>
      </c>
      <c r="AJ59" s="45" t="str">
        <f>VLOOKUP(B59,'Analysis data'!B:K,10,false)</f>
        <v>Accenture ASE</v>
      </c>
      <c r="AK59" s="45" t="s">
        <v>2282</v>
      </c>
      <c r="AL59" s="45" t="s">
        <v>2283</v>
      </c>
      <c r="AM59" s="45">
        <v>6.86</v>
      </c>
      <c r="AN59" s="45">
        <v>6.88</v>
      </c>
      <c r="AO59" s="45">
        <v>6.36</v>
      </c>
      <c r="AP59" s="45">
        <v>0.0</v>
      </c>
      <c r="AQ59" s="45">
        <v>6.88</v>
      </c>
      <c r="AR59" s="45">
        <v>7.02</v>
      </c>
      <c r="AU59" s="45" t="s">
        <v>1011</v>
      </c>
      <c r="AX59" s="45" t="s">
        <v>1012</v>
      </c>
    </row>
    <row r="60">
      <c r="A60" s="45">
        <v>59.0</v>
      </c>
      <c r="B60" s="45" t="s">
        <v>513</v>
      </c>
      <c r="C60" s="45" t="s">
        <v>2284</v>
      </c>
      <c r="D60" s="45" t="s">
        <v>2285</v>
      </c>
      <c r="E60" s="45" t="s">
        <v>514</v>
      </c>
      <c r="F60" s="45" t="str">
        <f>VLOOKUP(B60,'Analysis data'!$B$2:$C$358,2,false)</f>
        <v>C</v>
      </c>
      <c r="G60" s="45" t="str">
        <f>VLOOKUP(B60, 'Analysis data'!$B$2:$I$358, 8, FALSE)</f>
        <v> Convener</v>
      </c>
      <c r="H60" s="124" t="s">
        <v>3484</v>
      </c>
      <c r="I60" s="125" t="s">
        <v>3485</v>
      </c>
      <c r="J60" s="119">
        <v>8.19755E11</v>
      </c>
      <c r="K60" s="45">
        <f>VLOOKUP(B60,'Analysis data'!B:E,4,false)</f>
        <v>7.3</v>
      </c>
      <c r="L60" s="45" t="s">
        <v>1003</v>
      </c>
      <c r="M60" s="45" t="s">
        <v>1003</v>
      </c>
      <c r="N60" s="45" t="s">
        <v>1003</v>
      </c>
      <c r="O60" s="45" t="s">
        <v>2286</v>
      </c>
      <c r="P60" s="45">
        <v>52915.0</v>
      </c>
      <c r="Q60" s="45">
        <v>0.0</v>
      </c>
      <c r="R60" s="45" t="s">
        <v>2287</v>
      </c>
      <c r="S60" s="45" t="s">
        <v>46</v>
      </c>
      <c r="T60" s="45" t="s">
        <v>1006</v>
      </c>
      <c r="U60" s="45">
        <v>97.0</v>
      </c>
      <c r="V60" s="45">
        <v>2019.0</v>
      </c>
      <c r="W60" s="45">
        <v>94.4</v>
      </c>
      <c r="X60" s="45">
        <v>2021.0</v>
      </c>
      <c r="Y60" s="45">
        <v>7.3</v>
      </c>
      <c r="Z60" s="45">
        <v>68.0</v>
      </c>
      <c r="AA60" s="45">
        <v>2025.0</v>
      </c>
      <c r="AB60" s="45">
        <f>VLOOKUP(B60,'Analysis data'!$B$1:$F$358,5,false)</f>
        <v>0</v>
      </c>
      <c r="AC60" s="45">
        <v>0.0</v>
      </c>
      <c r="AD60" s="45" t="s">
        <v>2288</v>
      </c>
      <c r="AE60" s="45" t="s">
        <v>2289</v>
      </c>
      <c r="AF60" s="45">
        <v>6.305769056E9</v>
      </c>
      <c r="AG60" s="45">
        <v>9.440829565E9</v>
      </c>
      <c r="AH60" s="45" t="s">
        <v>515</v>
      </c>
      <c r="AI60" s="45" t="s">
        <v>515</v>
      </c>
      <c r="AJ60" s="45" t="str">
        <f>VLOOKUP(B60,'Analysis data'!B:K,10,false)</f>
        <v>MOVATE1-DIS</v>
      </c>
      <c r="AK60" s="45" t="s">
        <v>2290</v>
      </c>
      <c r="AL60" s="45" t="s">
        <v>2291</v>
      </c>
      <c r="AM60" s="45">
        <v>7.65</v>
      </c>
      <c r="AN60" s="45">
        <v>7.27</v>
      </c>
      <c r="AO60" s="45">
        <v>6.57</v>
      </c>
      <c r="AP60" s="45">
        <v>0.0</v>
      </c>
      <c r="AQ60" s="45">
        <v>7.27</v>
      </c>
      <c r="AR60" s="45">
        <v>7.25</v>
      </c>
      <c r="AU60" s="45" t="s">
        <v>1011</v>
      </c>
      <c r="AX60" s="45" t="s">
        <v>1028</v>
      </c>
    </row>
    <row r="61">
      <c r="A61" s="45">
        <v>60.0</v>
      </c>
      <c r="B61" s="45" t="s">
        <v>528</v>
      </c>
      <c r="C61" s="45" t="s">
        <v>2325</v>
      </c>
      <c r="D61" s="45" t="s">
        <v>2326</v>
      </c>
      <c r="E61" s="45" t="s">
        <v>529</v>
      </c>
      <c r="F61" s="45" t="str">
        <f>VLOOKUP(B61,'Analysis data'!$B$2:$C$358,2,false)</f>
        <v>C</v>
      </c>
      <c r="G61" s="45" t="str">
        <f>VLOOKUP(B61, 'Analysis data'!$B$2:$I$358, 8, FALSE)</f>
        <v> Convener</v>
      </c>
      <c r="H61" s="124" t="s">
        <v>3484</v>
      </c>
      <c r="I61" s="125" t="s">
        <v>3485</v>
      </c>
      <c r="J61" s="119">
        <v>6.19216E11</v>
      </c>
      <c r="K61" s="45" t="str">
        <f>VLOOKUP(B61,'Analysis data'!B:E,4,false)</f>
        <v/>
      </c>
      <c r="L61" s="45" t="s">
        <v>1003</v>
      </c>
      <c r="M61" s="45" t="s">
        <v>1003</v>
      </c>
      <c r="N61" s="45" t="s">
        <v>1003</v>
      </c>
      <c r="O61" s="45" t="s">
        <v>2327</v>
      </c>
      <c r="P61" s="45">
        <v>18188.0</v>
      </c>
      <c r="Q61" s="45">
        <v>0.0</v>
      </c>
      <c r="R61" s="121">
        <v>37742.0</v>
      </c>
      <c r="S61" s="45" t="s">
        <v>46</v>
      </c>
      <c r="T61" s="45" t="s">
        <v>1006</v>
      </c>
      <c r="U61" s="45">
        <v>88.35</v>
      </c>
      <c r="V61" s="45">
        <v>2019.0</v>
      </c>
      <c r="W61" s="45">
        <v>90.4</v>
      </c>
      <c r="X61" s="45">
        <v>2021.0</v>
      </c>
      <c r="Y61" s="45">
        <v>7.7</v>
      </c>
      <c r="Z61" s="45">
        <v>72.0</v>
      </c>
      <c r="AA61" s="45">
        <v>2025.0</v>
      </c>
      <c r="AB61" s="45">
        <f>VLOOKUP(B61,'Analysis data'!$B$1:$F$358,5,false)</f>
        <v>1</v>
      </c>
      <c r="AC61" s="45">
        <v>0.0</v>
      </c>
      <c r="AD61" s="45" t="s">
        <v>2328</v>
      </c>
      <c r="AE61" s="45" t="s">
        <v>2329</v>
      </c>
      <c r="AF61" s="45">
        <v>9.392698788E9</v>
      </c>
      <c r="AG61" s="45">
        <v>9.000438052E9</v>
      </c>
      <c r="AH61" s="45">
        <v>0.0</v>
      </c>
      <c r="AI61" s="45">
        <v>0.0</v>
      </c>
      <c r="AJ61" s="45" t="str">
        <f>VLOOKUP(B61,'Analysis data'!B:K,10,false)</f>
        <v>NOMISO</v>
      </c>
      <c r="AK61" s="45" t="s">
        <v>2330</v>
      </c>
      <c r="AL61" s="45" t="s">
        <v>2331</v>
      </c>
      <c r="AM61" s="45">
        <v>7.95</v>
      </c>
      <c r="AN61" s="45">
        <v>8.29</v>
      </c>
      <c r="AO61" s="45">
        <v>7.57</v>
      </c>
      <c r="AP61" s="45">
        <v>0.0</v>
      </c>
      <c r="AQ61" s="45">
        <v>7.98</v>
      </c>
      <c r="AR61" s="45">
        <v>7.83</v>
      </c>
      <c r="AU61" s="45" t="s">
        <v>1011</v>
      </c>
      <c r="AX61" s="45" t="s">
        <v>1028</v>
      </c>
    </row>
    <row r="62">
      <c r="A62" s="45">
        <v>61.0</v>
      </c>
      <c r="B62" s="45" t="s">
        <v>540</v>
      </c>
      <c r="C62" s="45" t="s">
        <v>2362</v>
      </c>
      <c r="D62" s="45" t="s">
        <v>2363</v>
      </c>
      <c r="E62" s="45" t="s">
        <v>541</v>
      </c>
      <c r="F62" s="45" t="str">
        <f>VLOOKUP(B62,'Analysis data'!$B$2:$C$358,2,false)</f>
        <v>C</v>
      </c>
      <c r="G62" s="45" t="str">
        <f>VLOOKUP(B62, 'Analysis data'!$B$2:$I$358, 8, FALSE)</f>
        <v> Management</v>
      </c>
      <c r="H62" s="124" t="s">
        <v>3484</v>
      </c>
      <c r="I62" s="125" t="s">
        <v>3486</v>
      </c>
      <c r="J62" s="119">
        <v>2.40771E11</v>
      </c>
      <c r="K62" s="45" t="str">
        <f>VLOOKUP(B62,'Analysis data'!B:E,4,false)</f>
        <v/>
      </c>
      <c r="L62" s="45" t="s">
        <v>1003</v>
      </c>
      <c r="M62" s="45" t="s">
        <v>1003</v>
      </c>
      <c r="N62" s="45" t="s">
        <v>1003</v>
      </c>
      <c r="O62" s="45" t="s">
        <v>2364</v>
      </c>
      <c r="P62" s="45">
        <v>24400.0</v>
      </c>
      <c r="Q62" s="45">
        <v>0.0</v>
      </c>
      <c r="R62" s="45" t="s">
        <v>2365</v>
      </c>
      <c r="S62" s="45" t="s">
        <v>46</v>
      </c>
      <c r="T62" s="45" t="s">
        <v>1006</v>
      </c>
      <c r="U62" s="45">
        <v>93.0</v>
      </c>
      <c r="V62" s="45">
        <v>2019.0</v>
      </c>
      <c r="W62" s="45">
        <v>73.6</v>
      </c>
      <c r="X62" s="45">
        <v>2021.0</v>
      </c>
      <c r="Y62" s="45">
        <v>0.0</v>
      </c>
      <c r="Z62" s="45">
        <v>-5.0</v>
      </c>
      <c r="AA62" s="45">
        <v>2025.0</v>
      </c>
      <c r="AB62" s="45">
        <f>VLOOKUP(B62,'Analysis data'!$B$1:$F$358,5,false)</f>
        <v>1</v>
      </c>
      <c r="AC62" s="45">
        <v>0.0</v>
      </c>
      <c r="AD62" s="45" t="s">
        <v>2366</v>
      </c>
      <c r="AE62" s="45" t="s">
        <v>2367</v>
      </c>
      <c r="AF62" s="45">
        <v>8.125787826E9</v>
      </c>
      <c r="AG62" s="45">
        <v>9.177627827E9</v>
      </c>
      <c r="AH62" s="45">
        <v>0.0</v>
      </c>
      <c r="AI62" s="45">
        <v>0.0</v>
      </c>
      <c r="AJ62" s="45" t="str">
        <f>VLOOKUP(B62,'Analysis data'!B:K,10,false)</f>
        <v/>
      </c>
      <c r="AK62" s="45" t="s">
        <v>2368</v>
      </c>
      <c r="AL62" s="45" t="s">
        <v>2369</v>
      </c>
      <c r="AM62" s="45">
        <v>7.05</v>
      </c>
      <c r="AN62" s="45">
        <v>6.66</v>
      </c>
      <c r="AO62" s="45">
        <v>6.27</v>
      </c>
      <c r="AP62" s="45">
        <v>0.0</v>
      </c>
      <c r="AQ62" s="45">
        <v>6.99</v>
      </c>
      <c r="AR62" s="45">
        <v>7.04</v>
      </c>
      <c r="AU62" s="45" t="s">
        <v>1011</v>
      </c>
      <c r="AX62" s="45" t="s">
        <v>1012</v>
      </c>
    </row>
    <row r="63">
      <c r="A63" s="45">
        <v>62.0</v>
      </c>
      <c r="B63" s="45" t="s">
        <v>549</v>
      </c>
      <c r="C63" s="45" t="s">
        <v>2390</v>
      </c>
      <c r="D63" s="45" t="s">
        <v>2391</v>
      </c>
      <c r="E63" s="45" t="s">
        <v>550</v>
      </c>
      <c r="F63" s="45" t="str">
        <f>VLOOKUP(B63,'Analysis data'!$B$2:$C$358,2,false)</f>
        <v>C</v>
      </c>
      <c r="G63" s="45" t="str">
        <f>VLOOKUP(B63, 'Analysis data'!$B$2:$I$358, 8, FALSE)</f>
        <v> Convener</v>
      </c>
      <c r="H63" s="124" t="s">
        <v>3476</v>
      </c>
      <c r="I63" s="125" t="s">
        <v>3486</v>
      </c>
      <c r="J63" s="119">
        <v>8.90193E11</v>
      </c>
      <c r="K63" s="45">
        <f>VLOOKUP(B63,'Analysis data'!B:E,4,false)</f>
        <v>8.14</v>
      </c>
      <c r="L63" s="45">
        <v>3251.0</v>
      </c>
      <c r="M63" s="45" t="s">
        <v>1003</v>
      </c>
      <c r="N63" s="45" t="s">
        <v>1003</v>
      </c>
      <c r="O63" s="45" t="s">
        <v>1479</v>
      </c>
      <c r="P63" s="45">
        <v>33000.0</v>
      </c>
      <c r="Q63" s="45">
        <v>0.0</v>
      </c>
      <c r="R63" s="45" t="s">
        <v>1648</v>
      </c>
      <c r="S63" s="45" t="s">
        <v>60</v>
      </c>
      <c r="T63" s="45" t="s">
        <v>1006</v>
      </c>
      <c r="U63" s="45">
        <v>92.0</v>
      </c>
      <c r="V63" s="45">
        <v>2019.0</v>
      </c>
      <c r="W63" s="45">
        <v>82.0</v>
      </c>
      <c r="X63" s="45">
        <v>2021.0</v>
      </c>
      <c r="Y63" s="45">
        <v>8.1</v>
      </c>
      <c r="Z63" s="45">
        <v>76.0</v>
      </c>
      <c r="AA63" s="45">
        <v>2025.0</v>
      </c>
      <c r="AB63" s="45">
        <f>VLOOKUP(B63,'Analysis data'!$B$1:$F$358,5,false)</f>
        <v>0</v>
      </c>
      <c r="AC63" s="45">
        <v>0.0</v>
      </c>
      <c r="AD63" s="45" t="s">
        <v>2392</v>
      </c>
      <c r="AE63" s="45" t="s">
        <v>2393</v>
      </c>
      <c r="AF63" s="45">
        <v>9.949250651E9</v>
      </c>
      <c r="AG63" s="45">
        <v>9.848029263E9</v>
      </c>
      <c r="AH63" s="45">
        <v>0.0</v>
      </c>
      <c r="AI63" s="45">
        <v>0.0</v>
      </c>
      <c r="AJ63" s="45" t="str">
        <f>VLOOKUP(B63,'Analysis data'!B:K,10,false)</f>
        <v/>
      </c>
      <c r="AK63" s="45" t="s">
        <v>2394</v>
      </c>
      <c r="AL63" s="45" t="s">
        <v>2395</v>
      </c>
      <c r="AM63" s="45">
        <v>7.68</v>
      </c>
      <c r="AN63" s="45">
        <v>7.88</v>
      </c>
      <c r="AO63" s="45">
        <v>7.45</v>
      </c>
      <c r="AP63" s="45">
        <v>0.0</v>
      </c>
      <c r="AQ63" s="45">
        <v>7.87</v>
      </c>
      <c r="AR63" s="45">
        <v>8.04</v>
      </c>
      <c r="AU63" s="45" t="s">
        <v>1011</v>
      </c>
      <c r="AX63" s="45" t="s">
        <v>1012</v>
      </c>
    </row>
    <row r="64">
      <c r="A64" s="45">
        <v>63.0</v>
      </c>
      <c r="B64" s="45" t="s">
        <v>551</v>
      </c>
      <c r="C64" s="45" t="s">
        <v>2396</v>
      </c>
      <c r="D64" s="45" t="s">
        <v>2397</v>
      </c>
      <c r="E64" s="45" t="s">
        <v>552</v>
      </c>
      <c r="F64" s="45" t="str">
        <f>VLOOKUP(B64,'Analysis data'!$B$2:$C$358,2,false)</f>
        <v>C</v>
      </c>
      <c r="G64" s="45" t="str">
        <f>VLOOKUP(B64, 'Analysis data'!$B$2:$I$358, 8, FALSE)</f>
        <v> Management</v>
      </c>
      <c r="H64" s="124" t="s">
        <v>3484</v>
      </c>
      <c r="I64" s="125" t="s">
        <v>3486</v>
      </c>
      <c r="J64" s="119">
        <v>3.09878E11</v>
      </c>
      <c r="K64" s="45">
        <f>VLOOKUP(B64,'Analysis data'!B:E,4,false)</f>
        <v>7.8</v>
      </c>
      <c r="L64" s="45" t="s">
        <v>1003</v>
      </c>
      <c r="M64" s="45" t="s">
        <v>1003</v>
      </c>
      <c r="N64" s="45" t="s">
        <v>1003</v>
      </c>
      <c r="O64" s="45" t="s">
        <v>1123</v>
      </c>
      <c r="P64" s="45">
        <v>7339.0</v>
      </c>
      <c r="Q64" s="45">
        <v>0.0</v>
      </c>
      <c r="R64" s="45" t="s">
        <v>2398</v>
      </c>
      <c r="S64" s="45" t="s">
        <v>46</v>
      </c>
      <c r="T64" s="45" t="s">
        <v>1006</v>
      </c>
      <c r="U64" s="45">
        <v>97.0</v>
      </c>
      <c r="V64" s="45">
        <v>2019.0</v>
      </c>
      <c r="W64" s="45">
        <v>97.6</v>
      </c>
      <c r="X64" s="45">
        <v>2021.0</v>
      </c>
      <c r="Y64" s="45">
        <v>7.8</v>
      </c>
      <c r="Z64" s="45">
        <v>73.0</v>
      </c>
      <c r="AA64" s="45">
        <v>2025.0</v>
      </c>
      <c r="AB64" s="45">
        <f>VLOOKUP(B64,'Analysis data'!$B$1:$F$358,5,false)</f>
        <v>0</v>
      </c>
      <c r="AC64" s="45">
        <v>0.0</v>
      </c>
      <c r="AD64" s="45" t="s">
        <v>2399</v>
      </c>
      <c r="AE64" s="45" t="s">
        <v>2400</v>
      </c>
      <c r="AF64" s="45">
        <v>8.309463469E9</v>
      </c>
      <c r="AG64" s="45">
        <v>9.032067313E9</v>
      </c>
      <c r="AH64" s="45">
        <v>0.0</v>
      </c>
      <c r="AI64" s="45">
        <v>0.0</v>
      </c>
      <c r="AJ64" s="45" t="str">
        <f>VLOOKUP(B64,'Analysis data'!B:K,10,false)</f>
        <v/>
      </c>
      <c r="AK64" s="45" t="s">
        <v>2401</v>
      </c>
      <c r="AL64" s="45" t="s">
        <v>2402</v>
      </c>
      <c r="AM64" s="45">
        <v>8.32</v>
      </c>
      <c r="AN64" s="45">
        <v>8.41</v>
      </c>
      <c r="AO64" s="45">
        <v>7.11</v>
      </c>
      <c r="AP64" s="45">
        <v>0.0</v>
      </c>
      <c r="AQ64" s="45">
        <v>7.74</v>
      </c>
      <c r="AR64" s="45">
        <v>7.75</v>
      </c>
      <c r="AU64" s="45" t="s">
        <v>1011</v>
      </c>
      <c r="AX64" s="45" t="s">
        <v>1028</v>
      </c>
    </row>
    <row r="65">
      <c r="A65" s="45">
        <v>64.0</v>
      </c>
      <c r="B65" s="45" t="s">
        <v>566</v>
      </c>
      <c r="C65" s="45" t="s">
        <v>2441</v>
      </c>
      <c r="D65" s="45" t="s">
        <v>2442</v>
      </c>
      <c r="E65" s="45" t="s">
        <v>567</v>
      </c>
      <c r="F65" s="45" t="str">
        <f>VLOOKUP(B65,'Analysis data'!$B$2:$C$358,2,false)</f>
        <v>C</v>
      </c>
      <c r="G65" s="45" t="str">
        <f>VLOOKUP(B65, 'Analysis data'!$B$2:$I$358, 8, FALSE)</f>
        <v> Convener</v>
      </c>
      <c r="H65" s="124" t="s">
        <v>3484</v>
      </c>
      <c r="I65" s="125" t="s">
        <v>3486</v>
      </c>
      <c r="J65" s="119">
        <v>5.34327E11</v>
      </c>
      <c r="K65" s="45" t="str">
        <f>VLOOKUP(B65,'Analysis data'!B:E,4,false)</f>
        <v/>
      </c>
      <c r="L65" s="45">
        <v>948.0</v>
      </c>
      <c r="M65" s="45" t="s">
        <v>1003</v>
      </c>
      <c r="N65" s="45" t="s">
        <v>1003</v>
      </c>
      <c r="O65" s="45" t="s">
        <v>2443</v>
      </c>
      <c r="P65" s="45">
        <v>21789.0</v>
      </c>
      <c r="Q65" s="45">
        <v>0.0</v>
      </c>
      <c r="R65" s="121">
        <v>37320.0</v>
      </c>
      <c r="S65" s="45" t="s">
        <v>46</v>
      </c>
      <c r="T65" s="45" t="s">
        <v>1006</v>
      </c>
      <c r="U65" s="45">
        <v>90.0</v>
      </c>
      <c r="V65" s="45">
        <v>2018.0</v>
      </c>
      <c r="W65" s="45">
        <v>90.0</v>
      </c>
      <c r="X65" s="45">
        <v>2020.0</v>
      </c>
      <c r="Y65" s="45">
        <v>0.0</v>
      </c>
      <c r="Z65" s="45">
        <v>-5.0</v>
      </c>
      <c r="AA65" s="45">
        <v>2025.0</v>
      </c>
      <c r="AB65" s="45">
        <f>VLOOKUP(B65,'Analysis data'!$B$1:$F$358,5,false)</f>
        <v>1</v>
      </c>
      <c r="AC65" s="45">
        <v>0.0</v>
      </c>
      <c r="AD65" s="45" t="s">
        <v>2444</v>
      </c>
      <c r="AE65" s="45" t="s">
        <v>2445</v>
      </c>
      <c r="AF65" s="45">
        <v>6.301218142E9</v>
      </c>
      <c r="AG65" s="45">
        <v>9.6667218E9</v>
      </c>
      <c r="AH65" s="45">
        <v>0.0</v>
      </c>
      <c r="AI65" s="45">
        <v>0.0</v>
      </c>
      <c r="AJ65" s="45" t="str">
        <f>VLOOKUP(B65,'Analysis data'!B:K,10,false)</f>
        <v/>
      </c>
      <c r="AK65" s="45" t="s">
        <v>2446</v>
      </c>
      <c r="AL65" s="45" t="s">
        <v>2447</v>
      </c>
      <c r="AM65" s="45">
        <v>6.89</v>
      </c>
      <c r="AN65" s="45">
        <v>6.98</v>
      </c>
      <c r="AO65" s="45">
        <v>0.0</v>
      </c>
      <c r="AP65" s="45">
        <v>0.0</v>
      </c>
      <c r="AQ65" s="45">
        <v>6.85</v>
      </c>
      <c r="AR65" s="45">
        <v>6.82</v>
      </c>
      <c r="AU65" s="45" t="s">
        <v>1011</v>
      </c>
      <c r="AX65" s="45" t="s">
        <v>1012</v>
      </c>
    </row>
    <row r="66">
      <c r="A66" s="45">
        <v>65.0</v>
      </c>
      <c r="B66" s="45" t="s">
        <v>577</v>
      </c>
      <c r="C66" s="45" t="s">
        <v>2473</v>
      </c>
      <c r="D66" s="45" t="s">
        <v>2474</v>
      </c>
      <c r="E66" s="45" t="s">
        <v>578</v>
      </c>
      <c r="F66" s="45" t="str">
        <f>VLOOKUP(B66,'Analysis data'!$B$2:$C$358,2,false)</f>
        <v>C</v>
      </c>
      <c r="G66" s="45" t="str">
        <f>VLOOKUP(B66, 'Analysis data'!$B$2:$I$358, 8, FALSE)</f>
        <v> Convener</v>
      </c>
      <c r="H66" s="124" t="s">
        <v>3474</v>
      </c>
      <c r="I66" s="125" t="s">
        <v>3486</v>
      </c>
      <c r="J66" s="119">
        <v>5.33356E11</v>
      </c>
      <c r="K66" s="45">
        <f>VLOOKUP(B66,'Analysis data'!B:E,4,false)</f>
        <v>8.16</v>
      </c>
      <c r="L66" s="45">
        <v>6143.0</v>
      </c>
      <c r="M66" s="45">
        <v>8263.0</v>
      </c>
      <c r="N66" s="45" t="s">
        <v>1003</v>
      </c>
      <c r="O66" s="45" t="s">
        <v>2475</v>
      </c>
      <c r="P66" s="45">
        <v>9136.0</v>
      </c>
      <c r="Q66" s="45">
        <v>0.0</v>
      </c>
      <c r="R66" s="45" t="s">
        <v>2476</v>
      </c>
      <c r="S66" s="45" t="s">
        <v>46</v>
      </c>
      <c r="T66" s="45" t="s">
        <v>1006</v>
      </c>
      <c r="U66" s="45">
        <v>93.0</v>
      </c>
      <c r="V66" s="45">
        <v>2019.0</v>
      </c>
      <c r="W66" s="45">
        <v>98.2</v>
      </c>
      <c r="X66" s="45">
        <v>2021.0</v>
      </c>
      <c r="Y66" s="45">
        <v>8.2</v>
      </c>
      <c r="Z66" s="45">
        <v>77.0</v>
      </c>
      <c r="AA66" s="45">
        <v>2025.0</v>
      </c>
      <c r="AB66" s="45">
        <f>VLOOKUP(B66,'Analysis data'!$B$1:$F$358,5,false)</f>
        <v>0</v>
      </c>
      <c r="AC66" s="45">
        <v>0.0</v>
      </c>
      <c r="AD66" s="45" t="s">
        <v>2477</v>
      </c>
      <c r="AE66" s="45" t="s">
        <v>2478</v>
      </c>
      <c r="AF66" s="45">
        <v>9.010236025E9</v>
      </c>
      <c r="AG66" s="45">
        <v>9.440602743E9</v>
      </c>
      <c r="AH66" s="45" t="s">
        <v>90</v>
      </c>
      <c r="AI66" s="45" t="s">
        <v>90</v>
      </c>
      <c r="AJ66" s="45" t="str">
        <f>VLOOKUP(B66,'Analysis data'!B:K,10,false)</f>
        <v>SEOAK</v>
      </c>
      <c r="AK66" s="45" t="s">
        <v>2479</v>
      </c>
      <c r="AL66" s="45" t="s">
        <v>2480</v>
      </c>
      <c r="AM66" s="45">
        <v>8.46</v>
      </c>
      <c r="AN66" s="45">
        <v>8.0</v>
      </c>
      <c r="AO66" s="45">
        <v>7.98</v>
      </c>
      <c r="AP66" s="45">
        <v>0.0</v>
      </c>
      <c r="AQ66" s="45">
        <v>8.08</v>
      </c>
      <c r="AR66" s="45">
        <v>8.11</v>
      </c>
      <c r="AU66" s="45" t="s">
        <v>1011</v>
      </c>
      <c r="AX66" s="45" t="s">
        <v>1012</v>
      </c>
    </row>
    <row r="67">
      <c r="A67" s="45">
        <v>66.0</v>
      </c>
      <c r="B67" s="45" t="s">
        <v>579</v>
      </c>
      <c r="C67" s="45" t="s">
        <v>2481</v>
      </c>
      <c r="D67" s="45" t="s">
        <v>737</v>
      </c>
      <c r="E67" s="45" t="s">
        <v>580</v>
      </c>
      <c r="F67" s="45" t="str">
        <f>VLOOKUP(B67,'Analysis data'!$B$2:$C$358,2,false)</f>
        <v>C</v>
      </c>
      <c r="G67" s="45" t="str">
        <f>VLOOKUP(B67, 'Analysis data'!$B$2:$I$358, 8, FALSE)</f>
        <v> Convener</v>
      </c>
      <c r="H67" s="124" t="s">
        <v>3484</v>
      </c>
      <c r="I67" s="125" t="s">
        <v>3484</v>
      </c>
      <c r="J67" s="119">
        <v>4.07829E11</v>
      </c>
      <c r="K67" s="45">
        <f>VLOOKUP(B67,'Analysis data'!B:E,4,false)</f>
        <v>8.25</v>
      </c>
      <c r="L67" s="45">
        <v>3062.0</v>
      </c>
      <c r="M67" s="45" t="s">
        <v>1003</v>
      </c>
      <c r="N67" s="45" t="s">
        <v>1003</v>
      </c>
      <c r="O67" s="45" t="s">
        <v>2482</v>
      </c>
      <c r="P67" s="45">
        <v>0.0</v>
      </c>
      <c r="Q67" s="45">
        <v>616.0</v>
      </c>
      <c r="R67" s="45" t="s">
        <v>2483</v>
      </c>
      <c r="S67" s="45" t="s">
        <v>60</v>
      </c>
      <c r="T67" s="45" t="s">
        <v>1006</v>
      </c>
      <c r="U67" s="45">
        <v>97.0</v>
      </c>
      <c r="V67" s="45">
        <v>2019.0</v>
      </c>
      <c r="W67" s="45">
        <v>96.0</v>
      </c>
      <c r="X67" s="45">
        <v>2022.0</v>
      </c>
      <c r="Y67" s="45">
        <v>8.3</v>
      </c>
      <c r="Z67" s="45">
        <v>78.0</v>
      </c>
      <c r="AA67" s="45">
        <v>2025.0</v>
      </c>
      <c r="AB67" s="45">
        <f>VLOOKUP(B67,'Analysis data'!$B$1:$F$358,5,false)</f>
        <v>0</v>
      </c>
      <c r="AC67" s="45">
        <v>0.0</v>
      </c>
      <c r="AD67" s="45" t="s">
        <v>2484</v>
      </c>
      <c r="AE67" s="45" t="s">
        <v>2485</v>
      </c>
      <c r="AF67" s="45">
        <v>9.392541989E9</v>
      </c>
      <c r="AG67" s="45">
        <v>9.49007015E9</v>
      </c>
      <c r="AH67" s="45" t="s">
        <v>440</v>
      </c>
      <c r="AI67" s="45" t="s">
        <v>440</v>
      </c>
      <c r="AJ67" s="45" t="str">
        <f>VLOOKUP(B67,'Analysis data'!B:K,10,false)</f>
        <v>SKILL DUNIYA</v>
      </c>
      <c r="AK67" s="45" t="s">
        <v>2486</v>
      </c>
      <c r="AL67" s="45" t="s">
        <v>2487</v>
      </c>
      <c r="AM67" s="45">
        <v>0.0</v>
      </c>
      <c r="AN67" s="45">
        <v>0.0</v>
      </c>
      <c r="AO67" s="45">
        <v>8.18</v>
      </c>
      <c r="AP67" s="45">
        <v>0.0</v>
      </c>
      <c r="AQ67" s="45">
        <v>8.11</v>
      </c>
      <c r="AR67" s="45">
        <v>8.12</v>
      </c>
      <c r="AU67" s="45" t="s">
        <v>1011</v>
      </c>
      <c r="AX67" s="45" t="s">
        <v>1012</v>
      </c>
    </row>
    <row r="68">
      <c r="A68" s="45">
        <v>67.0</v>
      </c>
      <c r="B68" s="45" t="s">
        <v>583</v>
      </c>
      <c r="C68" s="45" t="s">
        <v>2495</v>
      </c>
      <c r="D68" s="45" t="s">
        <v>2496</v>
      </c>
      <c r="E68" s="45" t="s">
        <v>584</v>
      </c>
      <c r="F68" s="45" t="str">
        <f>VLOOKUP(B68,'Analysis data'!$B$2:$C$358,2,false)</f>
        <v>C</v>
      </c>
      <c r="G68" s="45" t="str">
        <f>VLOOKUP(B68, 'Analysis data'!$B$2:$I$358, 8, FALSE)</f>
        <v> Management</v>
      </c>
      <c r="H68" s="124" t="s">
        <v>3471</v>
      </c>
      <c r="I68" s="125" t="s">
        <v>3485</v>
      </c>
      <c r="J68" s="119">
        <v>8.990282291E10</v>
      </c>
      <c r="K68" s="45">
        <f>VLOOKUP(B68,'Analysis data'!B:E,4,false)</f>
        <v>7.71</v>
      </c>
      <c r="L68" s="45" t="s">
        <v>1003</v>
      </c>
      <c r="M68" s="45" t="s">
        <v>1003</v>
      </c>
      <c r="N68" s="45" t="s">
        <v>1003</v>
      </c>
      <c r="O68" s="45" t="s">
        <v>2497</v>
      </c>
      <c r="P68" s="45">
        <v>11400.0</v>
      </c>
      <c r="Q68" s="45">
        <v>1480.0</v>
      </c>
      <c r="R68" s="45" t="s">
        <v>2498</v>
      </c>
      <c r="S68" s="45" t="s">
        <v>46</v>
      </c>
      <c r="T68" s="45" t="s">
        <v>1006</v>
      </c>
      <c r="U68" s="45">
        <v>90.0</v>
      </c>
      <c r="V68" s="45">
        <v>2019.0</v>
      </c>
      <c r="W68" s="45">
        <v>75.0</v>
      </c>
      <c r="X68" s="45">
        <v>2022.0</v>
      </c>
      <c r="Y68" s="45">
        <v>7.7</v>
      </c>
      <c r="Z68" s="45">
        <v>72.0</v>
      </c>
      <c r="AA68" s="45">
        <v>2025.0</v>
      </c>
      <c r="AB68" s="45">
        <f>VLOOKUP(B68,'Analysis data'!$B$1:$F$358,5,false)</f>
        <v>0</v>
      </c>
      <c r="AC68" s="45">
        <v>0.0</v>
      </c>
      <c r="AD68" s="45" t="s">
        <v>2499</v>
      </c>
      <c r="AE68" s="45" t="s">
        <v>2500</v>
      </c>
      <c r="AF68" s="45">
        <v>6.281370642E9</v>
      </c>
      <c r="AG68" s="45">
        <v>7.981095057E9</v>
      </c>
      <c r="AH68" s="45">
        <v>0.0</v>
      </c>
      <c r="AI68" s="45">
        <v>0.0</v>
      </c>
      <c r="AJ68" s="45" t="str">
        <f>VLOOKUP(B68,'Analysis data'!B:K,10,false)</f>
        <v>CAPGEMINI-SSE</v>
      </c>
      <c r="AK68" s="45" t="s">
        <v>2501</v>
      </c>
      <c r="AL68" s="45" t="s">
        <v>2502</v>
      </c>
      <c r="AM68" s="45">
        <v>0.0</v>
      </c>
      <c r="AN68" s="45">
        <v>0.0</v>
      </c>
      <c r="AO68" s="45">
        <v>0.0</v>
      </c>
      <c r="AP68" s="45">
        <v>0.0</v>
      </c>
      <c r="AQ68" s="45">
        <v>7.5</v>
      </c>
      <c r="AR68" s="45">
        <v>7.5</v>
      </c>
      <c r="AU68" s="45" t="s">
        <v>1011</v>
      </c>
      <c r="AX68" s="45" t="s">
        <v>1012</v>
      </c>
    </row>
    <row r="69">
      <c r="A69" s="45">
        <v>68.0</v>
      </c>
      <c r="B69" s="45" t="s">
        <v>597</v>
      </c>
      <c r="C69" s="45" t="s">
        <v>2541</v>
      </c>
      <c r="D69" s="45" t="s">
        <v>2542</v>
      </c>
      <c r="E69" s="45" t="s">
        <v>598</v>
      </c>
      <c r="F69" s="45" t="str">
        <f>VLOOKUP(B69,'Analysis data'!$B$2:$C$358,2,false)</f>
        <v>D</v>
      </c>
      <c r="G69" s="45" t="str">
        <f>VLOOKUP(B69, 'Analysis data'!$B$2:$I$358, 8, FALSE)</f>
        <v> Management</v>
      </c>
      <c r="H69" s="124" t="s">
        <v>3487</v>
      </c>
      <c r="I69" s="125" t="s">
        <v>3488</v>
      </c>
      <c r="J69" s="119">
        <v>7.90668E11</v>
      </c>
      <c r="K69" s="45">
        <f>VLOOKUP(B69,'Analysis data'!B:E,4,false)</f>
        <v>7.27</v>
      </c>
      <c r="L69" s="45" t="s">
        <v>1003</v>
      </c>
      <c r="M69" s="45" t="s">
        <v>1003</v>
      </c>
      <c r="N69" s="45" t="s">
        <v>1003</v>
      </c>
      <c r="O69" s="45" t="s">
        <v>2543</v>
      </c>
      <c r="P69" s="45">
        <v>0.0</v>
      </c>
      <c r="Q69" s="45">
        <v>0.0</v>
      </c>
      <c r="R69" s="45" t="s">
        <v>1397</v>
      </c>
      <c r="S69" s="45" t="s">
        <v>60</v>
      </c>
      <c r="T69" s="45" t="s">
        <v>1006</v>
      </c>
      <c r="U69" s="45">
        <v>76.0</v>
      </c>
      <c r="V69" s="45">
        <v>2019.0</v>
      </c>
      <c r="W69" s="45">
        <v>80.0</v>
      </c>
      <c r="X69" s="45">
        <v>2021.0</v>
      </c>
      <c r="Y69" s="45">
        <v>7.3</v>
      </c>
      <c r="Z69" s="45">
        <v>68.0</v>
      </c>
      <c r="AA69" s="45">
        <v>2025.0</v>
      </c>
      <c r="AB69" s="45">
        <f>VLOOKUP(B69,'Analysis data'!$B$1:$F$358,5,false)</f>
        <v>0</v>
      </c>
      <c r="AC69" s="45">
        <v>0.0</v>
      </c>
      <c r="AD69" s="45" t="s">
        <v>2544</v>
      </c>
      <c r="AE69" s="45" t="s">
        <v>2545</v>
      </c>
      <c r="AF69" s="45">
        <v>9.704599977E9</v>
      </c>
      <c r="AG69" s="45">
        <v>9.618238669E9</v>
      </c>
      <c r="AH69" s="45" t="s">
        <v>52</v>
      </c>
      <c r="AI69" s="45">
        <v>0.0</v>
      </c>
      <c r="AJ69" s="45" t="str">
        <f>VLOOKUP(B69,'Analysis data'!B:K,10,false)</f>
        <v>Accenture ASE</v>
      </c>
      <c r="AK69" s="45" t="s">
        <v>2546</v>
      </c>
      <c r="AL69" s="45" t="s">
        <v>2547</v>
      </c>
      <c r="AM69" s="45">
        <v>7.0</v>
      </c>
      <c r="AN69" s="45">
        <v>6.73</v>
      </c>
      <c r="AO69" s="45">
        <v>6.95</v>
      </c>
      <c r="AP69" s="45">
        <v>0.0</v>
      </c>
      <c r="AQ69" s="45">
        <v>7.04</v>
      </c>
      <c r="AR69" s="45">
        <v>7.19</v>
      </c>
      <c r="AU69" s="45" t="s">
        <v>1011</v>
      </c>
      <c r="AX69" s="45" t="s">
        <v>1012</v>
      </c>
    </row>
    <row r="70">
      <c r="A70" s="45">
        <v>69.0</v>
      </c>
      <c r="B70" s="45" t="s">
        <v>599</v>
      </c>
      <c r="C70" s="45" t="s">
        <v>2548</v>
      </c>
      <c r="D70" s="45" t="s">
        <v>2549</v>
      </c>
      <c r="E70" s="45" t="s">
        <v>600</v>
      </c>
      <c r="F70" s="45" t="str">
        <f>VLOOKUP(B70,'Analysis data'!$B$2:$C$358,2,false)</f>
        <v>D</v>
      </c>
      <c r="G70" s="45" t="str">
        <f>VLOOKUP(B70, 'Analysis data'!$B$2:$I$358, 8, FALSE)</f>
        <v> Management</v>
      </c>
      <c r="H70" s="124" t="s">
        <v>3474</v>
      </c>
      <c r="I70" s="125" t="s">
        <v>3488</v>
      </c>
      <c r="J70" s="119">
        <v>6.04499E11</v>
      </c>
      <c r="K70" s="45">
        <f>VLOOKUP(B70,'Analysis data'!B:E,4,false)</f>
        <v>8.32</v>
      </c>
      <c r="L70" s="45" t="s">
        <v>1003</v>
      </c>
      <c r="M70" s="45" t="s">
        <v>1003</v>
      </c>
      <c r="N70" s="45" t="s">
        <v>1003</v>
      </c>
      <c r="O70" s="45" t="s">
        <v>2550</v>
      </c>
      <c r="P70" s="45">
        <v>7170.0</v>
      </c>
      <c r="Q70" s="45">
        <v>0.0</v>
      </c>
      <c r="R70" s="121">
        <v>38053.0</v>
      </c>
      <c r="S70" s="45" t="s">
        <v>46</v>
      </c>
      <c r="T70" s="45" t="s">
        <v>1006</v>
      </c>
      <c r="U70" s="45">
        <v>80.0</v>
      </c>
      <c r="V70" s="45">
        <v>2019.0</v>
      </c>
      <c r="W70" s="45">
        <v>68.8</v>
      </c>
      <c r="X70" s="45">
        <v>2021.0</v>
      </c>
      <c r="Y70" s="45">
        <v>8.3</v>
      </c>
      <c r="Z70" s="45">
        <v>78.0</v>
      </c>
      <c r="AA70" s="45">
        <v>2025.0</v>
      </c>
      <c r="AB70" s="45">
        <f>VLOOKUP(B70,'Analysis data'!$B$1:$F$358,5,false)</f>
        <v>0</v>
      </c>
      <c r="AC70" s="45">
        <v>0.0</v>
      </c>
      <c r="AD70" s="45" t="s">
        <v>2551</v>
      </c>
      <c r="AE70" s="45" t="s">
        <v>2552</v>
      </c>
      <c r="AF70" s="45">
        <v>7.075487791E9</v>
      </c>
      <c r="AG70" s="45">
        <v>9.440048323E9</v>
      </c>
      <c r="AH70" s="45" t="s">
        <v>271</v>
      </c>
      <c r="AI70" s="45">
        <v>0.0</v>
      </c>
      <c r="AJ70" s="45" t="str">
        <f>VLOOKUP(B70,'Analysis data'!B:K,10,false)</f>
        <v>CORIZO-BDA &amp; CAPGEMINI-ANALYST</v>
      </c>
      <c r="AK70" s="45" t="s">
        <v>2553</v>
      </c>
      <c r="AL70" s="45" t="s">
        <v>2554</v>
      </c>
      <c r="AM70" s="45">
        <v>8.43</v>
      </c>
      <c r="AN70" s="45">
        <v>7.56</v>
      </c>
      <c r="AO70" s="45">
        <v>7.64</v>
      </c>
      <c r="AP70" s="45">
        <v>0.0</v>
      </c>
      <c r="AQ70" s="45">
        <v>8.03</v>
      </c>
      <c r="AR70" s="45">
        <v>8.2</v>
      </c>
      <c r="AU70" s="45" t="s">
        <v>1011</v>
      </c>
      <c r="AX70" s="45" t="s">
        <v>1012</v>
      </c>
    </row>
    <row r="71">
      <c r="A71" s="45">
        <v>70.0</v>
      </c>
      <c r="B71" s="45" t="s">
        <v>602</v>
      </c>
      <c r="C71" s="45" t="s">
        <v>2555</v>
      </c>
      <c r="D71" s="45" t="s">
        <v>2556</v>
      </c>
      <c r="E71" s="45" t="s">
        <v>603</v>
      </c>
      <c r="F71" s="45" t="str">
        <f>VLOOKUP(B71,'Analysis data'!$B$2:$C$358,2,false)</f>
        <v>D</v>
      </c>
      <c r="G71" s="45" t="str">
        <f>VLOOKUP(B71, 'Analysis data'!$B$2:$I$358, 8, FALSE)</f>
        <v> Management</v>
      </c>
      <c r="H71" s="124" t="s">
        <v>3487</v>
      </c>
      <c r="I71" s="125" t="s">
        <v>3488</v>
      </c>
      <c r="J71" s="119">
        <v>5.36073E11</v>
      </c>
      <c r="K71" s="45">
        <f>VLOOKUP(B71,'Analysis data'!B:E,4,false)</f>
        <v>7.69</v>
      </c>
      <c r="L71" s="45" t="s">
        <v>1003</v>
      </c>
      <c r="M71" s="45" t="s">
        <v>1003</v>
      </c>
      <c r="N71" s="45" t="s">
        <v>1003</v>
      </c>
      <c r="O71" s="45" t="s">
        <v>1123</v>
      </c>
      <c r="P71" s="45">
        <v>0.0</v>
      </c>
      <c r="Q71" s="45">
        <v>0.0</v>
      </c>
      <c r="R71" s="45" t="s">
        <v>2557</v>
      </c>
      <c r="S71" s="45" t="s">
        <v>46</v>
      </c>
      <c r="T71" s="45" t="s">
        <v>1006</v>
      </c>
      <c r="U71" s="45">
        <v>66.0</v>
      </c>
      <c r="V71" s="45">
        <v>2019.0</v>
      </c>
      <c r="W71" s="45">
        <v>66.0</v>
      </c>
      <c r="X71" s="45">
        <v>2021.0</v>
      </c>
      <c r="Y71" s="45">
        <v>7.7</v>
      </c>
      <c r="Z71" s="45">
        <v>72.0</v>
      </c>
      <c r="AA71" s="45">
        <v>2025.0</v>
      </c>
      <c r="AB71" s="45">
        <f>VLOOKUP(B71,'Analysis data'!$B$1:$F$358,5,false)</f>
        <v>0</v>
      </c>
      <c r="AC71" s="45">
        <v>0.0</v>
      </c>
      <c r="AD71" s="45" t="s">
        <v>2558</v>
      </c>
      <c r="AE71" s="45" t="s">
        <v>2559</v>
      </c>
      <c r="AF71" s="45">
        <v>9.640073704E9</v>
      </c>
      <c r="AG71" s="45">
        <v>9.866139666E9</v>
      </c>
      <c r="AH71" s="45">
        <v>0.0</v>
      </c>
      <c r="AI71" s="45">
        <v>0.0</v>
      </c>
      <c r="AJ71" s="45" t="str">
        <f>VLOOKUP(B71,'Analysis data'!B:K,10,false)</f>
        <v>CAPGEMINI-ANALYST &amp; PENNANT TECHNOLOGIES</v>
      </c>
      <c r="AK71" s="45" t="s">
        <v>2560</v>
      </c>
      <c r="AL71" s="45" t="s">
        <v>2561</v>
      </c>
      <c r="AM71" s="45">
        <v>7.35</v>
      </c>
      <c r="AN71" s="45">
        <v>6.95</v>
      </c>
      <c r="AO71" s="45">
        <v>7.14</v>
      </c>
      <c r="AP71" s="45">
        <v>0.0</v>
      </c>
      <c r="AQ71" s="45">
        <v>7.54</v>
      </c>
      <c r="AR71" s="45">
        <v>7.59</v>
      </c>
      <c r="AU71" s="45" t="s">
        <v>1011</v>
      </c>
      <c r="AX71" s="45" t="s">
        <v>1012</v>
      </c>
    </row>
    <row r="72">
      <c r="A72" s="45">
        <v>71.0</v>
      </c>
      <c r="B72" s="45" t="s">
        <v>605</v>
      </c>
      <c r="C72" s="45" t="s">
        <v>2562</v>
      </c>
      <c r="D72" s="45" t="s">
        <v>2563</v>
      </c>
      <c r="E72" s="45" t="s">
        <v>606</v>
      </c>
      <c r="F72" s="45" t="str">
        <f>VLOOKUP(B72,'Analysis data'!$B$2:$C$358,2,false)</f>
        <v>D</v>
      </c>
      <c r="G72" s="45" t="str">
        <f>VLOOKUP(B72, 'Analysis data'!$B$2:$I$358, 8, FALSE)</f>
        <v> Convener</v>
      </c>
      <c r="H72" s="124" t="s">
        <v>3487</v>
      </c>
      <c r="I72" s="125" t="s">
        <v>3488</v>
      </c>
      <c r="J72" s="119">
        <v>4.72943E11</v>
      </c>
      <c r="K72" s="45">
        <f>VLOOKUP(B72,'Analysis data'!B:E,4,false)</f>
        <v>7.41</v>
      </c>
      <c r="L72" s="45" t="s">
        <v>1003</v>
      </c>
      <c r="M72" s="45" t="s">
        <v>1003</v>
      </c>
      <c r="N72" s="45" t="s">
        <v>1003</v>
      </c>
      <c r="O72" s="45" t="s">
        <v>1123</v>
      </c>
      <c r="P72" s="45">
        <v>69197.0</v>
      </c>
      <c r="Q72" s="45">
        <v>0.0</v>
      </c>
      <c r="R72" s="45" t="s">
        <v>2564</v>
      </c>
      <c r="S72" s="45" t="s">
        <v>46</v>
      </c>
      <c r="T72" s="45" t="s">
        <v>1006</v>
      </c>
      <c r="U72" s="45">
        <v>95.0</v>
      </c>
      <c r="V72" s="45">
        <v>2019.0</v>
      </c>
      <c r="W72" s="45">
        <v>95.0</v>
      </c>
      <c r="X72" s="45">
        <v>2021.0</v>
      </c>
      <c r="Y72" s="45">
        <v>7.4</v>
      </c>
      <c r="Z72" s="45">
        <v>69.0</v>
      </c>
      <c r="AA72" s="45">
        <v>2025.0</v>
      </c>
      <c r="AB72" s="45">
        <f>VLOOKUP(B72,'Analysis data'!$B$1:$F$358,5,false)</f>
        <v>0</v>
      </c>
      <c r="AC72" s="45">
        <v>0.0</v>
      </c>
      <c r="AD72" s="45" t="s">
        <v>2565</v>
      </c>
      <c r="AE72" s="45" t="s">
        <v>2566</v>
      </c>
      <c r="AF72" s="45">
        <v>9.059210547E9</v>
      </c>
      <c r="AG72" s="45">
        <v>9.95148024E9</v>
      </c>
      <c r="AH72" s="45">
        <v>0.0</v>
      </c>
      <c r="AI72" s="45">
        <v>0.0</v>
      </c>
      <c r="AJ72" s="45" t="str">
        <f>VLOOKUP(B72,'Analysis data'!B:K,10,false)</f>
        <v/>
      </c>
      <c r="AK72" s="45" t="s">
        <v>2567</v>
      </c>
      <c r="AL72" s="45" t="s">
        <v>2568</v>
      </c>
      <c r="AM72" s="45">
        <v>7.92</v>
      </c>
      <c r="AN72" s="45">
        <v>7.05</v>
      </c>
      <c r="AO72" s="45">
        <v>6.98</v>
      </c>
      <c r="AP72" s="45">
        <v>0.0</v>
      </c>
      <c r="AQ72" s="45">
        <v>7.4</v>
      </c>
      <c r="AR72" s="45">
        <v>7.4</v>
      </c>
      <c r="AU72" s="45" t="s">
        <v>1011</v>
      </c>
      <c r="AX72" s="45" t="s">
        <v>1012</v>
      </c>
    </row>
    <row r="73">
      <c r="A73" s="45">
        <v>72.0</v>
      </c>
      <c r="B73" s="45" t="s">
        <v>607</v>
      </c>
      <c r="C73" s="45" t="s">
        <v>2569</v>
      </c>
      <c r="D73" s="45" t="s">
        <v>2570</v>
      </c>
      <c r="E73" s="45" t="s">
        <v>608</v>
      </c>
      <c r="F73" s="45" t="str">
        <f>VLOOKUP(B73,'Analysis data'!$B$2:$C$358,2,false)</f>
        <v>D</v>
      </c>
      <c r="G73" s="45" t="str">
        <f>VLOOKUP(B73, 'Analysis data'!$B$2:$I$358, 8, FALSE)</f>
        <v> Management</v>
      </c>
      <c r="H73" s="124" t="s">
        <v>3476</v>
      </c>
      <c r="I73" s="125" t="s">
        <v>3488</v>
      </c>
      <c r="J73" s="119">
        <v>6.74346E11</v>
      </c>
      <c r="K73" s="45">
        <f>VLOOKUP(B73,'Analysis data'!B:E,4,false)</f>
        <v>8.07</v>
      </c>
      <c r="L73" s="45" t="s">
        <v>1003</v>
      </c>
      <c r="M73" s="45" t="s">
        <v>1003</v>
      </c>
      <c r="N73" s="45" t="s">
        <v>1003</v>
      </c>
      <c r="O73" s="45" t="s">
        <v>1084</v>
      </c>
      <c r="P73" s="45">
        <v>7354.0</v>
      </c>
      <c r="Q73" s="45">
        <v>0.0</v>
      </c>
      <c r="R73" s="45" t="s">
        <v>2571</v>
      </c>
      <c r="S73" s="45" t="s">
        <v>60</v>
      </c>
      <c r="T73" s="45" t="s">
        <v>1006</v>
      </c>
      <c r="U73" s="45">
        <v>78.33</v>
      </c>
      <c r="V73" s="45">
        <v>2018.0</v>
      </c>
      <c r="W73" s="45">
        <v>95.7</v>
      </c>
      <c r="X73" s="45">
        <v>2020.0</v>
      </c>
      <c r="Y73" s="45">
        <v>8.1</v>
      </c>
      <c r="Z73" s="45">
        <v>76.0</v>
      </c>
      <c r="AA73" s="45">
        <v>2025.0</v>
      </c>
      <c r="AB73" s="45">
        <f>VLOOKUP(B73,'Analysis data'!$B$1:$F$358,5,false)</f>
        <v>0</v>
      </c>
      <c r="AC73" s="45">
        <v>0.0</v>
      </c>
      <c r="AD73" s="45" t="s">
        <v>2572</v>
      </c>
      <c r="AE73" s="45" t="s">
        <v>2573</v>
      </c>
      <c r="AF73" s="45">
        <v>8.125878108E9</v>
      </c>
      <c r="AG73" s="45">
        <v>8.106837904E9</v>
      </c>
      <c r="AH73" s="45" t="s">
        <v>515</v>
      </c>
      <c r="AI73" s="45" t="s">
        <v>515</v>
      </c>
      <c r="AJ73" s="45" t="str">
        <f>VLOOKUP(B73,'Analysis data'!B:K,10,false)</f>
        <v>MOVATE1-DIS &amp; INFOSYS-OFFCAMPUS-SE</v>
      </c>
      <c r="AK73" s="45" t="s">
        <v>2574</v>
      </c>
      <c r="AL73" s="45" t="s">
        <v>2575</v>
      </c>
      <c r="AM73" s="45">
        <v>9.11</v>
      </c>
      <c r="AN73" s="45">
        <v>7.49</v>
      </c>
      <c r="AO73" s="45">
        <v>7.86</v>
      </c>
      <c r="AP73" s="45">
        <v>0.0</v>
      </c>
      <c r="AQ73" s="45">
        <v>8.11</v>
      </c>
      <c r="AR73" s="45">
        <v>8.1</v>
      </c>
      <c r="AU73" s="45" t="s">
        <v>1011</v>
      </c>
      <c r="AX73" s="45" t="s">
        <v>1012</v>
      </c>
    </row>
    <row r="74">
      <c r="A74" s="45">
        <v>73.0</v>
      </c>
      <c r="B74" s="45" t="s">
        <v>614</v>
      </c>
      <c r="C74" s="45" t="s">
        <v>2589</v>
      </c>
      <c r="D74" s="45" t="s">
        <v>2590</v>
      </c>
      <c r="E74" s="45" t="s">
        <v>615</v>
      </c>
      <c r="F74" s="45" t="str">
        <f>VLOOKUP(B74,'Analysis data'!$B$2:$C$358,2,false)</f>
        <v>D</v>
      </c>
      <c r="G74" s="45" t="str">
        <f>VLOOKUP(B74, 'Analysis data'!$B$2:$I$358, 8, FALSE)</f>
        <v> Convener</v>
      </c>
      <c r="H74" s="124" t="s">
        <v>3487</v>
      </c>
      <c r="I74" s="125" t="s">
        <v>3488</v>
      </c>
      <c r="J74" s="119">
        <v>3.59669E11</v>
      </c>
      <c r="K74" s="45">
        <f>VLOOKUP(B74,'Analysis data'!B:E,4,false)</f>
        <v>8.4</v>
      </c>
      <c r="L74" s="45" t="s">
        <v>1003</v>
      </c>
      <c r="M74" s="45" t="s">
        <v>1003</v>
      </c>
      <c r="N74" s="45" t="s">
        <v>1003</v>
      </c>
      <c r="O74" s="45" t="s">
        <v>2591</v>
      </c>
      <c r="P74" s="45">
        <v>9048.0</v>
      </c>
      <c r="Q74" s="45">
        <v>0.0</v>
      </c>
      <c r="R74" s="45" t="s">
        <v>1124</v>
      </c>
      <c r="S74" s="45" t="s">
        <v>46</v>
      </c>
      <c r="T74" s="45" t="s">
        <v>1006</v>
      </c>
      <c r="U74" s="45">
        <v>98.0</v>
      </c>
      <c r="V74" s="45">
        <v>2019.0</v>
      </c>
      <c r="W74" s="45">
        <v>94.2</v>
      </c>
      <c r="X74" s="45">
        <v>2021.0</v>
      </c>
      <c r="Y74" s="45">
        <v>8.4</v>
      </c>
      <c r="Z74" s="45">
        <v>79.0</v>
      </c>
      <c r="AA74" s="45">
        <v>2025.0</v>
      </c>
      <c r="AB74" s="45">
        <f>VLOOKUP(B74,'Analysis data'!$B$1:$F$358,5,false)</f>
        <v>0</v>
      </c>
      <c r="AC74" s="45">
        <v>0.0</v>
      </c>
      <c r="AD74" s="45" t="s">
        <v>2592</v>
      </c>
      <c r="AE74" s="45" t="s">
        <v>2593</v>
      </c>
      <c r="AF74" s="45">
        <v>9.6528486E9</v>
      </c>
      <c r="AG74" s="45">
        <v>9.440863051E9</v>
      </c>
      <c r="AH74" s="45">
        <v>0.0</v>
      </c>
      <c r="AI74" s="45">
        <v>0.0</v>
      </c>
      <c r="AJ74" s="45" t="str">
        <f>VLOOKUP(B74,'Analysis data'!B:K,10,false)</f>
        <v>INFOSYS-OFFCAMPUS-SE</v>
      </c>
      <c r="AK74" s="45" t="s">
        <v>2594</v>
      </c>
      <c r="AL74" s="45" t="s">
        <v>2595</v>
      </c>
      <c r="AM74" s="45">
        <v>8.27</v>
      </c>
      <c r="AN74" s="45">
        <v>8.39</v>
      </c>
      <c r="AO74" s="45">
        <v>7.93</v>
      </c>
      <c r="AP74" s="45">
        <v>0.0</v>
      </c>
      <c r="AQ74" s="45">
        <v>8.4</v>
      </c>
      <c r="AR74" s="45">
        <v>8.45</v>
      </c>
      <c r="AU74" s="45" t="s">
        <v>1011</v>
      </c>
      <c r="AX74" s="45" t="s">
        <v>1012</v>
      </c>
    </row>
    <row r="75">
      <c r="A75" s="45">
        <v>74.0</v>
      </c>
      <c r="B75" s="45" t="s">
        <v>623</v>
      </c>
      <c r="C75" s="45" t="s">
        <v>2609</v>
      </c>
      <c r="D75" s="45" t="s">
        <v>1456</v>
      </c>
      <c r="E75" s="45" t="s">
        <v>624</v>
      </c>
      <c r="F75" s="45" t="str">
        <f>VLOOKUP(B75,'Analysis data'!$B$2:$C$358,2,false)</f>
        <v>D</v>
      </c>
      <c r="G75" s="45" t="str">
        <f>VLOOKUP(B75, 'Analysis data'!$B$2:$I$358, 8, FALSE)</f>
        <v> Convener</v>
      </c>
      <c r="H75" s="124" t="s">
        <v>3487</v>
      </c>
      <c r="I75" s="125" t="s">
        <v>3488</v>
      </c>
      <c r="J75" s="119">
        <v>8.53959E11</v>
      </c>
      <c r="K75" s="45">
        <f>VLOOKUP(B75,'Analysis data'!B:E,4,false)</f>
        <v>6.93</v>
      </c>
      <c r="L75" s="45" t="s">
        <v>1003</v>
      </c>
      <c r="M75" s="45" t="s">
        <v>1003</v>
      </c>
      <c r="N75" s="45" t="s">
        <v>1003</v>
      </c>
      <c r="O75" s="45" t="s">
        <v>2610</v>
      </c>
      <c r="P75" s="45">
        <v>118518.0</v>
      </c>
      <c r="Q75" s="45">
        <v>0.0</v>
      </c>
      <c r="R75" s="121">
        <v>37897.0</v>
      </c>
      <c r="S75" s="45" t="s">
        <v>60</v>
      </c>
      <c r="T75" s="45" t="s">
        <v>1006</v>
      </c>
      <c r="U75" s="45">
        <v>83.6</v>
      </c>
      <c r="V75" s="45">
        <v>2019.0</v>
      </c>
      <c r="W75" s="45">
        <v>75.8</v>
      </c>
      <c r="X75" s="45">
        <v>2021.0</v>
      </c>
      <c r="Y75" s="45">
        <v>6.9</v>
      </c>
      <c r="Z75" s="45">
        <v>64.0</v>
      </c>
      <c r="AA75" s="45">
        <v>2025.0</v>
      </c>
      <c r="AB75" s="45">
        <f>VLOOKUP(B75,'Analysis data'!$B$1:$F$358,5,false)</f>
        <v>0</v>
      </c>
      <c r="AC75" s="45">
        <v>0.0</v>
      </c>
      <c r="AD75" s="45" t="s">
        <v>2611</v>
      </c>
      <c r="AE75" s="45" t="s">
        <v>2612</v>
      </c>
      <c r="AF75" s="45">
        <v>9.849732675E9</v>
      </c>
      <c r="AG75" s="45">
        <v>8.790594476E9</v>
      </c>
      <c r="AH75" s="45">
        <v>0.0</v>
      </c>
      <c r="AI75" s="45">
        <v>0.0</v>
      </c>
      <c r="AJ75" s="45" t="str">
        <f>VLOOKUP(B75,'Analysis data'!B:K,10,false)</f>
        <v/>
      </c>
      <c r="AK75" s="45" t="s">
        <v>2613</v>
      </c>
      <c r="AL75" s="45" t="s">
        <v>2614</v>
      </c>
      <c r="AM75" s="45">
        <v>6.76</v>
      </c>
      <c r="AN75" s="45">
        <v>0.0</v>
      </c>
      <c r="AO75" s="45">
        <v>6.57</v>
      </c>
      <c r="AP75" s="45">
        <v>0.0</v>
      </c>
      <c r="AQ75" s="45">
        <v>6.73</v>
      </c>
      <c r="AR75" s="45">
        <v>6.87</v>
      </c>
      <c r="AU75" s="45" t="s">
        <v>1011</v>
      </c>
      <c r="AX75" s="45" t="s">
        <v>1012</v>
      </c>
    </row>
    <row r="76">
      <c r="A76" s="45">
        <v>75.0</v>
      </c>
      <c r="B76" s="45" t="s">
        <v>625</v>
      </c>
      <c r="C76" s="45" t="s">
        <v>2615</v>
      </c>
      <c r="D76" s="45" t="s">
        <v>2616</v>
      </c>
      <c r="E76" s="45" t="s">
        <v>626</v>
      </c>
      <c r="F76" s="45" t="str">
        <f>VLOOKUP(B76,'Analysis data'!$B$2:$C$358,2,false)</f>
        <v>D</v>
      </c>
      <c r="G76" s="45" t="str">
        <f>VLOOKUP(B76, 'Analysis data'!$B$2:$I$358, 8, FALSE)</f>
        <v> Convener</v>
      </c>
      <c r="H76" s="124" t="s">
        <v>3471</v>
      </c>
      <c r="I76" s="125" t="s">
        <v>3488</v>
      </c>
      <c r="J76" s="119">
        <v>7.28723E11</v>
      </c>
      <c r="K76" s="45">
        <f>VLOOKUP(B76,'Analysis data'!B:E,4,false)</f>
        <v>8.2</v>
      </c>
      <c r="L76" s="45">
        <v>2009.0</v>
      </c>
      <c r="M76" s="45" t="s">
        <v>1003</v>
      </c>
      <c r="N76" s="45" t="s">
        <v>1003</v>
      </c>
      <c r="O76" s="45" t="s">
        <v>1123</v>
      </c>
      <c r="P76" s="45">
        <v>31597.0</v>
      </c>
      <c r="Q76" s="45">
        <v>0.0</v>
      </c>
      <c r="R76" s="121">
        <v>37535.0</v>
      </c>
      <c r="S76" s="45" t="s">
        <v>46</v>
      </c>
      <c r="T76" s="45" t="s">
        <v>1006</v>
      </c>
      <c r="U76" s="45">
        <v>95.0</v>
      </c>
      <c r="V76" s="45">
        <v>2019.0</v>
      </c>
      <c r="W76" s="45">
        <v>98.0</v>
      </c>
      <c r="X76" s="45">
        <v>2021.0</v>
      </c>
      <c r="Y76" s="45">
        <v>8.2</v>
      </c>
      <c r="Z76" s="45">
        <v>77.0</v>
      </c>
      <c r="AA76" s="45">
        <v>2025.0</v>
      </c>
      <c r="AB76" s="45">
        <f>VLOOKUP(B76,'Analysis data'!$B$1:$F$358,5,false)</f>
        <v>0</v>
      </c>
      <c r="AC76" s="45">
        <v>0.0</v>
      </c>
      <c r="AD76" s="45" t="s">
        <v>2617</v>
      </c>
      <c r="AE76" s="45" t="s">
        <v>2618</v>
      </c>
      <c r="AF76" s="45">
        <v>6.300194071E9</v>
      </c>
      <c r="AG76" s="45">
        <v>9.15484941E9</v>
      </c>
      <c r="AH76" s="45">
        <v>0.0</v>
      </c>
      <c r="AI76" s="45">
        <v>0.0</v>
      </c>
      <c r="AJ76" s="45" t="str">
        <f>VLOOKUP(B76,'Analysis data'!B:K,10,false)</f>
        <v>ASSET10 SOFTWARE</v>
      </c>
      <c r="AK76" s="45" t="s">
        <v>2619</v>
      </c>
      <c r="AL76" s="45" t="s">
        <v>2620</v>
      </c>
      <c r="AM76" s="45">
        <v>8.03</v>
      </c>
      <c r="AN76" s="45">
        <v>7.76</v>
      </c>
      <c r="AO76" s="45">
        <v>7.77</v>
      </c>
      <c r="AP76" s="45">
        <v>0.0</v>
      </c>
      <c r="AQ76" s="45">
        <v>8.17</v>
      </c>
      <c r="AR76" s="45">
        <v>8.23</v>
      </c>
      <c r="AU76" s="45" t="s">
        <v>1011</v>
      </c>
      <c r="AX76" s="45" t="s">
        <v>1028</v>
      </c>
    </row>
    <row r="77">
      <c r="A77" s="45">
        <v>76.0</v>
      </c>
      <c r="B77" s="45" t="s">
        <v>630</v>
      </c>
      <c r="C77" s="45" t="s">
        <v>2627</v>
      </c>
      <c r="D77" s="45" t="s">
        <v>2628</v>
      </c>
      <c r="E77" s="45" t="s">
        <v>631</v>
      </c>
      <c r="F77" s="45" t="str">
        <f>VLOOKUP(B77,'Analysis data'!$B$2:$C$358,2,false)</f>
        <v>D</v>
      </c>
      <c r="G77" s="45" t="str">
        <f>VLOOKUP(B77, 'Analysis data'!$B$2:$I$358, 8, FALSE)</f>
        <v> Management</v>
      </c>
      <c r="H77" s="124" t="s">
        <v>3487</v>
      </c>
      <c r="I77" s="125" t="s">
        <v>3488</v>
      </c>
      <c r="J77" s="119">
        <v>5.20644E11</v>
      </c>
      <c r="K77" s="45" t="str">
        <f>VLOOKUP(B77,'Analysis data'!B:E,4,false)</f>
        <v/>
      </c>
      <c r="L77" s="45" t="s">
        <v>1003</v>
      </c>
      <c r="M77" s="45" t="s">
        <v>1003</v>
      </c>
      <c r="N77" s="45" t="s">
        <v>1003</v>
      </c>
      <c r="O77" s="45" t="s">
        <v>1577</v>
      </c>
      <c r="P77" s="45">
        <v>19065.0</v>
      </c>
      <c r="Q77" s="45">
        <v>0.0</v>
      </c>
      <c r="R77" s="121">
        <v>37388.0</v>
      </c>
      <c r="S77" s="45" t="s">
        <v>60</v>
      </c>
      <c r="T77" s="45" t="s">
        <v>1006</v>
      </c>
      <c r="U77" s="45">
        <v>90.0</v>
      </c>
      <c r="V77" s="45">
        <v>2018.0</v>
      </c>
      <c r="W77" s="45">
        <v>85.0</v>
      </c>
      <c r="X77" s="45">
        <v>2020.0</v>
      </c>
      <c r="Y77" s="45">
        <v>0.0</v>
      </c>
      <c r="Z77" s="45">
        <v>-5.0</v>
      </c>
      <c r="AA77" s="45">
        <v>2025.0</v>
      </c>
      <c r="AB77" s="45">
        <f>VLOOKUP(B77,'Analysis data'!$B$1:$F$358,5,false)</f>
        <v>1</v>
      </c>
      <c r="AC77" s="45">
        <v>2.0</v>
      </c>
      <c r="AD77" s="45" t="s">
        <v>2629</v>
      </c>
      <c r="AE77" s="45" t="s">
        <v>2630</v>
      </c>
      <c r="AF77" s="45">
        <v>8.309105939E9</v>
      </c>
      <c r="AG77" s="45">
        <v>9.959362455E9</v>
      </c>
      <c r="AH77" s="45">
        <v>0.0</v>
      </c>
      <c r="AI77" s="45">
        <v>0.0</v>
      </c>
      <c r="AJ77" s="45" t="str">
        <f>VLOOKUP(B77,'Analysis data'!B:K,10,false)</f>
        <v/>
      </c>
      <c r="AK77" s="45" t="s">
        <v>2631</v>
      </c>
      <c r="AL77" s="45" t="s">
        <v>2632</v>
      </c>
      <c r="AM77" s="45">
        <v>0.0</v>
      </c>
      <c r="AN77" s="45">
        <v>0.0</v>
      </c>
      <c r="AO77" s="45">
        <v>0.0</v>
      </c>
      <c r="AP77" s="45">
        <v>0.0</v>
      </c>
      <c r="AQ77" s="45">
        <v>5.83</v>
      </c>
      <c r="AR77" s="45">
        <v>0.0</v>
      </c>
      <c r="AU77" s="45" t="s">
        <v>1011</v>
      </c>
      <c r="AX77" s="45" t="s">
        <v>1012</v>
      </c>
    </row>
    <row r="78">
      <c r="A78" s="45">
        <v>77.0</v>
      </c>
      <c r="B78" s="45" t="s">
        <v>634</v>
      </c>
      <c r="C78" s="45" t="s">
        <v>2640</v>
      </c>
      <c r="D78" s="45" t="s">
        <v>2641</v>
      </c>
      <c r="E78" s="45" t="s">
        <v>635</v>
      </c>
      <c r="F78" s="45" t="str">
        <f>VLOOKUP(B78,'Analysis data'!$B$2:$C$358,2,false)</f>
        <v>D</v>
      </c>
      <c r="G78" s="45" t="str">
        <f>VLOOKUP(B78, 'Analysis data'!$B$2:$I$358, 8, FALSE)</f>
        <v> Convener</v>
      </c>
      <c r="H78" s="124" t="s">
        <v>3476</v>
      </c>
      <c r="I78" s="125" t="s">
        <v>3488</v>
      </c>
      <c r="J78" s="119">
        <v>4.06102E11</v>
      </c>
      <c r="K78" s="45">
        <f>VLOOKUP(B78,'Analysis data'!B:E,4,false)</f>
        <v>7.85</v>
      </c>
      <c r="L78" s="45" t="s">
        <v>1003</v>
      </c>
      <c r="M78" s="45" t="s">
        <v>1003</v>
      </c>
      <c r="N78" s="45" t="s">
        <v>1003</v>
      </c>
      <c r="O78" s="45" t="s">
        <v>2642</v>
      </c>
      <c r="P78" s="45">
        <v>0.0</v>
      </c>
      <c r="Q78" s="45">
        <v>0.0</v>
      </c>
      <c r="R78" s="45" t="s">
        <v>2476</v>
      </c>
      <c r="S78" s="45" t="s">
        <v>60</v>
      </c>
      <c r="T78" s="45" t="s">
        <v>1006</v>
      </c>
      <c r="U78" s="45">
        <v>94.0</v>
      </c>
      <c r="V78" s="45">
        <v>2019.0</v>
      </c>
      <c r="W78" s="45">
        <v>81.0</v>
      </c>
      <c r="X78" s="45">
        <v>2021.0</v>
      </c>
      <c r="Y78" s="45">
        <v>7.9</v>
      </c>
      <c r="Z78" s="45">
        <v>74.0</v>
      </c>
      <c r="AA78" s="45">
        <v>2025.0</v>
      </c>
      <c r="AB78" s="45">
        <f>VLOOKUP(B78,'Analysis data'!$B$1:$F$358,5,false)</f>
        <v>0</v>
      </c>
      <c r="AC78" s="45">
        <v>0.0</v>
      </c>
      <c r="AD78" s="45" t="s">
        <v>2643</v>
      </c>
      <c r="AE78" s="45" t="s">
        <v>2644</v>
      </c>
      <c r="AF78" s="45">
        <v>8.790759334E9</v>
      </c>
      <c r="AG78" s="45">
        <v>8.790736311E9</v>
      </c>
      <c r="AH78" s="45">
        <v>0.0</v>
      </c>
      <c r="AI78" s="45">
        <v>0.0</v>
      </c>
      <c r="AJ78" s="45" t="str">
        <f>VLOOKUP(B78,'Analysis data'!B:K,10,false)</f>
        <v>INFINITE COMPUTER SOLUTIONS</v>
      </c>
      <c r="AK78" s="45" t="s">
        <v>2645</v>
      </c>
      <c r="AL78" s="45" t="s">
        <v>2646</v>
      </c>
      <c r="AM78" s="45">
        <v>8.7</v>
      </c>
      <c r="AN78" s="45">
        <v>7.59</v>
      </c>
      <c r="AO78" s="45">
        <v>7.59</v>
      </c>
      <c r="AP78" s="45">
        <v>0.0</v>
      </c>
      <c r="AQ78" s="45">
        <v>7.82</v>
      </c>
      <c r="AR78" s="45">
        <v>7.82</v>
      </c>
      <c r="AU78" s="45" t="s">
        <v>1011</v>
      </c>
      <c r="AX78" s="45" t="s">
        <v>1012</v>
      </c>
    </row>
    <row r="79">
      <c r="A79" s="45">
        <v>78.0</v>
      </c>
      <c r="B79" s="45" t="s">
        <v>637</v>
      </c>
      <c r="C79" s="45" t="s">
        <v>2647</v>
      </c>
      <c r="D79" s="45" t="s">
        <v>1599</v>
      </c>
      <c r="E79" s="45" t="s">
        <v>638</v>
      </c>
      <c r="F79" s="45" t="str">
        <f>VLOOKUP(B79,'Analysis data'!$B$2:$C$358,2,false)</f>
        <v>D</v>
      </c>
      <c r="G79" s="45" t="str">
        <f>VLOOKUP(B79, 'Analysis data'!$B$2:$I$358, 8, FALSE)</f>
        <v> Convener</v>
      </c>
      <c r="H79" s="124" t="s">
        <v>3476</v>
      </c>
      <c r="I79" s="125" t="s">
        <v>3488</v>
      </c>
      <c r="J79" s="119">
        <v>3.81929E11</v>
      </c>
      <c r="K79" s="45">
        <f>VLOOKUP(B79,'Analysis data'!B:E,4,false)</f>
        <v>8.26</v>
      </c>
      <c r="L79" s="45" t="s">
        <v>1003</v>
      </c>
      <c r="M79" s="45" t="s">
        <v>1003</v>
      </c>
      <c r="N79" s="45" t="s">
        <v>1003</v>
      </c>
      <c r="O79" s="45" t="s">
        <v>1931</v>
      </c>
      <c r="P79" s="45">
        <v>0.0</v>
      </c>
      <c r="Q79" s="45">
        <v>0.0</v>
      </c>
      <c r="R79" s="45" t="s">
        <v>2648</v>
      </c>
      <c r="S79" s="45" t="s">
        <v>60</v>
      </c>
      <c r="T79" s="45" t="s">
        <v>1006</v>
      </c>
      <c r="U79" s="45">
        <v>97.0</v>
      </c>
      <c r="V79" s="45">
        <v>2019.0</v>
      </c>
      <c r="W79" s="45">
        <v>92.0</v>
      </c>
      <c r="X79" s="45">
        <v>2021.0</v>
      </c>
      <c r="Y79" s="45">
        <v>8.3</v>
      </c>
      <c r="Z79" s="45">
        <v>78.0</v>
      </c>
      <c r="AA79" s="45">
        <v>2025.0</v>
      </c>
      <c r="AB79" s="45">
        <f>VLOOKUP(B79,'Analysis data'!$B$1:$F$358,5,false)</f>
        <v>0</v>
      </c>
      <c r="AC79" s="45">
        <v>0.0</v>
      </c>
      <c r="AD79" s="45" t="s">
        <v>2649</v>
      </c>
      <c r="AE79" s="45" t="s">
        <v>2650</v>
      </c>
      <c r="AF79" s="45">
        <v>9.11053453E9</v>
      </c>
      <c r="AG79" s="45">
        <v>9.948126565E9</v>
      </c>
      <c r="AH79" s="45" t="s">
        <v>639</v>
      </c>
      <c r="AI79" s="45" t="s">
        <v>639</v>
      </c>
      <c r="AJ79" s="45" t="str">
        <f>VLOOKUP(B79,'Analysis data'!B:K,10,false)</f>
        <v>SKILL DUNIYA &amp; MOVATE1-DIS</v>
      </c>
      <c r="AK79" s="45" t="s">
        <v>2651</v>
      </c>
      <c r="AL79" s="45" t="s">
        <v>2652</v>
      </c>
      <c r="AM79" s="45">
        <v>8.38</v>
      </c>
      <c r="AN79" s="45">
        <v>7.88</v>
      </c>
      <c r="AO79" s="45">
        <v>7.45</v>
      </c>
      <c r="AP79" s="45">
        <v>0.0</v>
      </c>
      <c r="AQ79" s="45">
        <v>8.16</v>
      </c>
      <c r="AR79" s="45">
        <v>8.25</v>
      </c>
      <c r="AU79" s="45" t="s">
        <v>1011</v>
      </c>
      <c r="AX79" s="45" t="s">
        <v>1028</v>
      </c>
    </row>
    <row r="80">
      <c r="A80" s="45">
        <v>79.0</v>
      </c>
      <c r="B80" s="45" t="s">
        <v>640</v>
      </c>
      <c r="C80" s="45" t="s">
        <v>2653</v>
      </c>
      <c r="D80" s="45" t="s">
        <v>2654</v>
      </c>
      <c r="E80" s="45" t="s">
        <v>641</v>
      </c>
      <c r="F80" s="45" t="str">
        <f>VLOOKUP(B80,'Analysis data'!$B$2:$C$358,2,false)</f>
        <v>D</v>
      </c>
      <c r="G80" s="45" t="str">
        <f>VLOOKUP(B80, 'Analysis data'!$B$2:$I$358, 8, FALSE)</f>
        <v> Management</v>
      </c>
      <c r="H80" s="124" t="s">
        <v>3487</v>
      </c>
      <c r="I80" s="125" t="s">
        <v>3488</v>
      </c>
      <c r="J80" s="119">
        <v>2.68645E11</v>
      </c>
      <c r="K80" s="45">
        <f>VLOOKUP(B80,'Analysis data'!B:E,4,false)</f>
        <v>8.04</v>
      </c>
      <c r="L80" s="45" t="s">
        <v>1003</v>
      </c>
      <c r="M80" s="45" t="s">
        <v>1003</v>
      </c>
      <c r="N80" s="45" t="s">
        <v>1003</v>
      </c>
      <c r="O80" s="45" t="s">
        <v>2655</v>
      </c>
      <c r="P80" s="45">
        <v>15000.0</v>
      </c>
      <c r="Q80" s="45">
        <v>0.0</v>
      </c>
      <c r="R80" s="45" t="s">
        <v>2656</v>
      </c>
      <c r="S80" s="45" t="s">
        <v>46</v>
      </c>
      <c r="T80" s="45" t="s">
        <v>1006</v>
      </c>
      <c r="U80" s="45">
        <v>98.0</v>
      </c>
      <c r="V80" s="45">
        <v>2019.0</v>
      </c>
      <c r="W80" s="45">
        <v>92.0</v>
      </c>
      <c r="X80" s="45">
        <v>2021.0</v>
      </c>
      <c r="Y80" s="45">
        <v>8.0</v>
      </c>
      <c r="Z80" s="45">
        <v>75.0</v>
      </c>
      <c r="AA80" s="45">
        <v>2025.0</v>
      </c>
      <c r="AB80" s="45">
        <f>VLOOKUP(B80,'Analysis data'!$B$1:$F$358,5,false)</f>
        <v>0</v>
      </c>
      <c r="AC80" s="45">
        <v>0.0</v>
      </c>
      <c r="AD80" s="45" t="s">
        <v>2657</v>
      </c>
      <c r="AE80" s="45" t="s">
        <v>2658</v>
      </c>
      <c r="AF80" s="45">
        <v>9.381649011E9</v>
      </c>
      <c r="AG80" s="45">
        <v>9.381649011E9</v>
      </c>
      <c r="AH80" s="45">
        <v>0.0</v>
      </c>
      <c r="AI80" s="45">
        <v>0.0</v>
      </c>
      <c r="AJ80" s="45" t="str">
        <f>VLOOKUP(B80,'Analysis data'!B:K,10,false)</f>
        <v/>
      </c>
      <c r="AK80" s="45" t="s">
        <v>2659</v>
      </c>
      <c r="AL80" s="45" t="s">
        <v>2660</v>
      </c>
      <c r="AM80" s="45">
        <v>7.76</v>
      </c>
      <c r="AN80" s="45">
        <v>7.51</v>
      </c>
      <c r="AO80" s="45">
        <v>7.66</v>
      </c>
      <c r="AP80" s="45">
        <v>0.0</v>
      </c>
      <c r="AQ80" s="45">
        <v>7.94</v>
      </c>
      <c r="AR80" s="45">
        <v>8.02</v>
      </c>
      <c r="AU80" s="45" t="s">
        <v>1011</v>
      </c>
      <c r="AX80" s="45" t="s">
        <v>1012</v>
      </c>
    </row>
    <row r="81">
      <c r="A81" s="45">
        <v>80.0</v>
      </c>
      <c r="B81" s="45" t="s">
        <v>642</v>
      </c>
      <c r="C81" s="45" t="s">
        <v>2661</v>
      </c>
      <c r="D81" s="45" t="s">
        <v>2144</v>
      </c>
      <c r="E81" s="45" t="s">
        <v>643</v>
      </c>
      <c r="F81" s="45" t="str">
        <f>VLOOKUP(B81,'Analysis data'!$B$2:$C$358,2,false)</f>
        <v>D</v>
      </c>
      <c r="G81" s="45" t="str">
        <f>VLOOKUP(B81, 'Analysis data'!$B$2:$I$358, 8, FALSE)</f>
        <v> Convener</v>
      </c>
      <c r="H81" s="124" t="s">
        <v>3487</v>
      </c>
      <c r="I81" s="125" t="s">
        <v>3488</v>
      </c>
      <c r="J81" s="119">
        <v>8.65173E11</v>
      </c>
      <c r="K81" s="45" t="str">
        <f>VLOOKUP(B81,'Analysis data'!B:E,4,false)</f>
        <v/>
      </c>
      <c r="L81" s="45">
        <v>2749.0</v>
      </c>
      <c r="M81" s="45" t="s">
        <v>1003</v>
      </c>
      <c r="N81" s="45" t="s">
        <v>1003</v>
      </c>
      <c r="O81" s="45" t="s">
        <v>2662</v>
      </c>
      <c r="P81" s="45">
        <v>0.0</v>
      </c>
      <c r="Q81" s="45">
        <v>0.0</v>
      </c>
      <c r="R81" s="121">
        <v>37865.0</v>
      </c>
      <c r="S81" s="45" t="s">
        <v>60</v>
      </c>
      <c r="T81" s="45" t="s">
        <v>1006</v>
      </c>
      <c r="U81" s="45">
        <v>95.0</v>
      </c>
      <c r="V81" s="45">
        <v>2019.0</v>
      </c>
      <c r="W81" s="45">
        <v>70.0</v>
      </c>
      <c r="X81" s="45">
        <v>2021.0</v>
      </c>
      <c r="Y81" s="45">
        <v>0.0</v>
      </c>
      <c r="Z81" s="45">
        <v>-5.0</v>
      </c>
      <c r="AA81" s="45">
        <v>2025.0</v>
      </c>
      <c r="AB81" s="45">
        <f>VLOOKUP(B81,'Analysis data'!$B$1:$F$358,5,false)</f>
        <v>1</v>
      </c>
      <c r="AC81" s="45">
        <v>1.0</v>
      </c>
      <c r="AD81" s="45" t="s">
        <v>2663</v>
      </c>
      <c r="AE81" s="45" t="s">
        <v>2664</v>
      </c>
      <c r="AF81" s="45">
        <v>8.712143398E9</v>
      </c>
      <c r="AG81" s="45">
        <v>9.951158767E9</v>
      </c>
      <c r="AH81" s="45" t="s">
        <v>645</v>
      </c>
      <c r="AI81" s="45" t="s">
        <v>3489</v>
      </c>
      <c r="AJ81" s="45" t="str">
        <f>VLOOKUP(B81,'Analysis data'!B:K,10,false)</f>
        <v>CORIZO-BDA &amp; VIDYANTH &amp; SEOAK</v>
      </c>
      <c r="AK81" s="45" t="s">
        <v>2666</v>
      </c>
      <c r="AL81" s="45" t="s">
        <v>2667</v>
      </c>
      <c r="AM81" s="45">
        <v>7.57</v>
      </c>
      <c r="AN81" s="45">
        <v>0.0</v>
      </c>
      <c r="AO81" s="45">
        <v>0.0</v>
      </c>
      <c r="AP81" s="45">
        <v>0.0</v>
      </c>
      <c r="AQ81" s="45">
        <v>7.06</v>
      </c>
      <c r="AR81" s="45">
        <v>0.0</v>
      </c>
      <c r="AU81" s="45" t="s">
        <v>1011</v>
      </c>
      <c r="AX81" s="45" t="s">
        <v>1012</v>
      </c>
    </row>
    <row r="82">
      <c r="A82" s="45">
        <v>81.0</v>
      </c>
      <c r="B82" s="45" t="s">
        <v>650</v>
      </c>
      <c r="C82" s="45" t="s">
        <v>2682</v>
      </c>
      <c r="D82" s="45" t="s">
        <v>1599</v>
      </c>
      <c r="E82" s="45" t="s">
        <v>651</v>
      </c>
      <c r="F82" s="45" t="str">
        <f>VLOOKUP(B82,'Analysis data'!$B$2:$C$358,2,false)</f>
        <v>D</v>
      </c>
      <c r="G82" s="45" t="str">
        <f>VLOOKUP(B82, 'Analysis data'!$B$2:$I$358, 8, FALSE)</f>
        <v> Management</v>
      </c>
      <c r="H82" s="124" t="s">
        <v>3487</v>
      </c>
      <c r="I82" s="125" t="s">
        <v>3490</v>
      </c>
      <c r="J82" s="119">
        <v>4.10636E11</v>
      </c>
      <c r="K82" s="45">
        <f>VLOOKUP(B82,'Analysis data'!B:E,4,false)</f>
        <v>7.47</v>
      </c>
      <c r="L82" s="45" t="s">
        <v>1003</v>
      </c>
      <c r="M82" s="45" t="s">
        <v>1003</v>
      </c>
      <c r="N82" s="45" t="s">
        <v>1003</v>
      </c>
      <c r="O82" s="45" t="s">
        <v>2683</v>
      </c>
      <c r="P82" s="45">
        <v>0.0</v>
      </c>
      <c r="Q82" s="45">
        <v>0.0</v>
      </c>
      <c r="R82" s="45" t="s">
        <v>2684</v>
      </c>
      <c r="S82" s="45" t="s">
        <v>60</v>
      </c>
      <c r="T82" s="45" t="s">
        <v>1006</v>
      </c>
      <c r="U82" s="45">
        <v>88.0</v>
      </c>
      <c r="V82" s="45">
        <v>2019.0</v>
      </c>
      <c r="W82" s="45">
        <v>85.0</v>
      </c>
      <c r="X82" s="45">
        <v>2021.0</v>
      </c>
      <c r="Y82" s="45">
        <v>7.5</v>
      </c>
      <c r="Z82" s="45">
        <v>70.0</v>
      </c>
      <c r="AA82" s="45">
        <v>2025.0</v>
      </c>
      <c r="AB82" s="45">
        <f>VLOOKUP(B82,'Analysis data'!$B$1:$F$358,5,false)</f>
        <v>0</v>
      </c>
      <c r="AC82" s="45">
        <v>0.0</v>
      </c>
      <c r="AD82" s="45" t="s">
        <v>2685</v>
      </c>
      <c r="AE82" s="45" t="s">
        <v>2686</v>
      </c>
      <c r="AF82" s="45">
        <v>9.951252533E9</v>
      </c>
      <c r="AG82" s="45">
        <v>9.951252536E9</v>
      </c>
      <c r="AH82" s="45">
        <v>0.0</v>
      </c>
      <c r="AI82" s="45">
        <v>0.0</v>
      </c>
      <c r="AJ82" s="45" t="str">
        <f>VLOOKUP(B82,'Analysis data'!B:K,10,false)</f>
        <v/>
      </c>
      <c r="AK82" s="45" t="s">
        <v>2687</v>
      </c>
      <c r="AL82" s="45" t="s">
        <v>2688</v>
      </c>
      <c r="AM82" s="45">
        <v>7.81</v>
      </c>
      <c r="AN82" s="45">
        <v>7.0</v>
      </c>
      <c r="AO82" s="45">
        <v>7.18</v>
      </c>
      <c r="AP82" s="45">
        <v>0.0</v>
      </c>
      <c r="AQ82" s="45">
        <v>7.47</v>
      </c>
      <c r="AR82" s="45">
        <v>7.51</v>
      </c>
      <c r="AU82" s="45" t="s">
        <v>1011</v>
      </c>
      <c r="AX82" s="45" t="s">
        <v>1012</v>
      </c>
    </row>
    <row r="83">
      <c r="A83" s="45">
        <v>82.0</v>
      </c>
      <c r="B83" s="45" t="s">
        <v>652</v>
      </c>
      <c r="C83" s="45" t="s">
        <v>2689</v>
      </c>
      <c r="D83" s="45" t="s">
        <v>2690</v>
      </c>
      <c r="E83" s="45" t="s">
        <v>653</v>
      </c>
      <c r="F83" s="45" t="str">
        <f>VLOOKUP(B83,'Analysis data'!$B$2:$C$358,2,false)</f>
        <v>D</v>
      </c>
      <c r="G83" s="45" t="str">
        <f>VLOOKUP(B83, 'Analysis data'!$B$2:$I$358, 8, FALSE)</f>
        <v> Convener</v>
      </c>
      <c r="H83" s="124" t="s">
        <v>3487</v>
      </c>
      <c r="I83" s="125" t="s">
        <v>3490</v>
      </c>
      <c r="J83" s="119">
        <v>2.47197E11</v>
      </c>
      <c r="K83" s="45" t="str">
        <f>VLOOKUP(B83,'Analysis data'!B:E,4,false)</f>
        <v/>
      </c>
      <c r="L83" s="45" t="s">
        <v>1003</v>
      </c>
      <c r="M83" s="45" t="s">
        <v>1003</v>
      </c>
      <c r="N83" s="45" t="s">
        <v>1003</v>
      </c>
      <c r="O83" s="45" t="s">
        <v>2691</v>
      </c>
      <c r="P83" s="45">
        <v>0.0</v>
      </c>
      <c r="Q83" s="45">
        <v>0.0</v>
      </c>
      <c r="R83" s="121">
        <v>38019.0</v>
      </c>
      <c r="S83" s="45" t="s">
        <v>46</v>
      </c>
      <c r="T83" s="45" t="s">
        <v>1006</v>
      </c>
      <c r="U83" s="45">
        <v>93.0</v>
      </c>
      <c r="V83" s="45">
        <v>2019.0</v>
      </c>
      <c r="W83" s="45">
        <v>90.0</v>
      </c>
      <c r="X83" s="45">
        <v>2021.0</v>
      </c>
      <c r="Y83" s="45">
        <v>0.0</v>
      </c>
      <c r="Z83" s="45">
        <v>-5.0</v>
      </c>
      <c r="AA83" s="45">
        <v>2025.0</v>
      </c>
      <c r="AB83" s="45">
        <f>VLOOKUP(B83,'Analysis data'!$B$1:$F$358,5,false)</f>
        <v>1</v>
      </c>
      <c r="AC83" s="45">
        <v>0.0</v>
      </c>
      <c r="AD83" s="45" t="s">
        <v>2692</v>
      </c>
      <c r="AE83" s="45" t="s">
        <v>2693</v>
      </c>
      <c r="AF83" s="45">
        <v>7.601068233E9</v>
      </c>
      <c r="AG83" s="45">
        <v>9.908558558E9</v>
      </c>
      <c r="AH83" s="45">
        <v>0.0</v>
      </c>
      <c r="AI83" s="45">
        <v>0.0</v>
      </c>
      <c r="AJ83" s="45" t="str">
        <f>VLOOKUP(B83,'Analysis data'!B:K,10,false)</f>
        <v/>
      </c>
      <c r="AK83" s="45" t="s">
        <v>2694</v>
      </c>
      <c r="AL83" s="45" t="s">
        <v>2695</v>
      </c>
      <c r="AM83" s="45">
        <v>6.76</v>
      </c>
      <c r="AN83" s="45">
        <v>6.46</v>
      </c>
      <c r="AO83" s="45">
        <v>6.11</v>
      </c>
      <c r="AP83" s="45">
        <v>0.0</v>
      </c>
      <c r="AQ83" s="45">
        <v>6.51</v>
      </c>
      <c r="AR83" s="45">
        <v>0.0</v>
      </c>
      <c r="AU83" s="45" t="s">
        <v>1011</v>
      </c>
      <c r="AX83" s="45" t="s">
        <v>1012</v>
      </c>
    </row>
    <row r="84">
      <c r="A84" s="45">
        <v>83.0</v>
      </c>
      <c r="B84" s="45" t="s">
        <v>665</v>
      </c>
      <c r="C84" s="45" t="s">
        <v>2723</v>
      </c>
      <c r="D84" s="45" t="s">
        <v>2724</v>
      </c>
      <c r="E84" s="45" t="s">
        <v>666</v>
      </c>
      <c r="F84" s="45" t="str">
        <f>VLOOKUP(B84,'Analysis data'!$B$2:$C$358,2,false)</f>
        <v>D</v>
      </c>
      <c r="G84" s="45" t="str">
        <f>VLOOKUP(B84, 'Analysis data'!$B$2:$I$358, 8, FALSE)</f>
        <v> Convener</v>
      </c>
      <c r="H84" s="124" t="s">
        <v>3487</v>
      </c>
      <c r="I84" s="125" t="s">
        <v>3490</v>
      </c>
      <c r="J84" s="119">
        <v>5.80809E11</v>
      </c>
      <c r="K84" s="45" t="str">
        <f>VLOOKUP(B84,'Analysis data'!B:E,4,false)</f>
        <v/>
      </c>
      <c r="L84" s="45" t="s">
        <v>1003</v>
      </c>
      <c r="M84" s="45" t="s">
        <v>1003</v>
      </c>
      <c r="N84" s="45" t="s">
        <v>1003</v>
      </c>
      <c r="O84" s="45" t="s">
        <v>2725</v>
      </c>
      <c r="P84" s="45">
        <v>16061.0</v>
      </c>
      <c r="Q84" s="45">
        <v>0.0</v>
      </c>
      <c r="R84" s="121">
        <v>37899.0</v>
      </c>
      <c r="S84" s="45" t="s">
        <v>46</v>
      </c>
      <c r="T84" s="45" t="s">
        <v>1006</v>
      </c>
      <c r="U84" s="45">
        <v>78.0</v>
      </c>
      <c r="V84" s="45">
        <v>2019.0</v>
      </c>
      <c r="W84" s="45">
        <v>61.0</v>
      </c>
      <c r="X84" s="45">
        <v>2021.0</v>
      </c>
      <c r="Y84" s="45">
        <v>0.0</v>
      </c>
      <c r="Z84" s="45">
        <v>-5.0</v>
      </c>
      <c r="AA84" s="45">
        <v>2025.0</v>
      </c>
      <c r="AB84" s="45">
        <f>VLOOKUP(B84,'Analysis data'!$B$1:$F$358,5,false)</f>
        <v>8</v>
      </c>
      <c r="AC84" s="45">
        <v>10.0</v>
      </c>
      <c r="AD84" s="45" t="s">
        <v>2726</v>
      </c>
      <c r="AE84" s="45" t="s">
        <v>2727</v>
      </c>
      <c r="AF84" s="45">
        <v>9.059671722E9</v>
      </c>
      <c r="AG84" s="45">
        <v>9.44066422E9</v>
      </c>
      <c r="AH84" s="45">
        <v>0.0</v>
      </c>
      <c r="AI84" s="45">
        <v>0.0</v>
      </c>
      <c r="AJ84" s="45" t="str">
        <f>VLOOKUP(B84,'Analysis data'!B:K,10,false)</f>
        <v/>
      </c>
      <c r="AK84" s="45" t="s">
        <v>2728</v>
      </c>
      <c r="AL84" s="45" t="s">
        <v>2729</v>
      </c>
      <c r="AM84" s="45">
        <v>0.0</v>
      </c>
      <c r="AN84" s="45">
        <v>0.0</v>
      </c>
      <c r="AO84" s="45">
        <v>0.0</v>
      </c>
      <c r="AP84" s="45">
        <v>0.0</v>
      </c>
      <c r="AQ84" s="45">
        <v>4.9</v>
      </c>
      <c r="AR84" s="45">
        <v>0.0</v>
      </c>
      <c r="AU84" s="45" t="s">
        <v>1011</v>
      </c>
      <c r="AX84" s="45" t="s">
        <v>1012</v>
      </c>
    </row>
    <row r="85">
      <c r="A85" s="45">
        <v>84.0</v>
      </c>
      <c r="B85" s="45" t="s">
        <v>667</v>
      </c>
      <c r="C85" s="45" t="s">
        <v>2730</v>
      </c>
      <c r="D85" s="45" t="s">
        <v>2731</v>
      </c>
      <c r="E85" s="45" t="s">
        <v>668</v>
      </c>
      <c r="F85" s="45" t="str">
        <f>VLOOKUP(B85,'Analysis data'!$B$2:$C$358,2,false)</f>
        <v>D</v>
      </c>
      <c r="G85" s="45" t="str">
        <f>VLOOKUP(B85, 'Analysis data'!$B$2:$I$358, 8, FALSE)</f>
        <v> Convener</v>
      </c>
      <c r="H85" s="124" t="s">
        <v>3474</v>
      </c>
      <c r="I85" s="125" t="s">
        <v>3490</v>
      </c>
      <c r="J85" s="119">
        <v>9.87542E11</v>
      </c>
      <c r="K85" s="45">
        <f>VLOOKUP(B85,'Analysis data'!B:E,4,false)</f>
        <v>8.45</v>
      </c>
      <c r="L85" s="45" t="s">
        <v>1003</v>
      </c>
      <c r="M85" s="45" t="s">
        <v>1003</v>
      </c>
      <c r="N85" s="45" t="s">
        <v>1003</v>
      </c>
      <c r="O85" s="45" t="s">
        <v>2732</v>
      </c>
      <c r="P85" s="45">
        <v>9253.0</v>
      </c>
      <c r="Q85" s="45">
        <v>0.0</v>
      </c>
      <c r="R85" s="120">
        <v>37961.0</v>
      </c>
      <c r="S85" s="45" t="s">
        <v>60</v>
      </c>
      <c r="T85" s="45" t="s">
        <v>1006</v>
      </c>
      <c r="U85" s="45">
        <v>95.0</v>
      </c>
      <c r="V85" s="45">
        <v>2019.0</v>
      </c>
      <c r="W85" s="45">
        <v>99.2</v>
      </c>
      <c r="X85" s="45">
        <v>2021.0</v>
      </c>
      <c r="Y85" s="45">
        <v>8.5</v>
      </c>
      <c r="Z85" s="45">
        <v>80.0</v>
      </c>
      <c r="AA85" s="45">
        <v>2025.0</v>
      </c>
      <c r="AB85" s="45">
        <f>VLOOKUP(B85,'Analysis data'!$B$1:$F$358,5,false)</f>
        <v>0</v>
      </c>
      <c r="AC85" s="45">
        <v>0.0</v>
      </c>
      <c r="AD85" s="45" t="s">
        <v>2733</v>
      </c>
      <c r="AE85" s="45" t="s">
        <v>2734</v>
      </c>
      <c r="AF85" s="45">
        <v>8.00832965E9</v>
      </c>
      <c r="AG85" s="45">
        <v>9.17766005E9</v>
      </c>
      <c r="AH85" s="45" t="s">
        <v>670</v>
      </c>
      <c r="AI85" s="45" t="s">
        <v>2735</v>
      </c>
      <c r="AJ85" s="45" t="str">
        <f>VLOOKUP(B85,'Analysis data'!B:K,10,false)</f>
        <v>SKILL DUNIYA &amp; CORIZO-BDA &amp; VIDYANTH</v>
      </c>
      <c r="AK85" s="45" t="s">
        <v>2736</v>
      </c>
      <c r="AL85" s="45" t="s">
        <v>2737</v>
      </c>
      <c r="AM85" s="45">
        <v>8.11</v>
      </c>
      <c r="AN85" s="45">
        <v>8.41</v>
      </c>
      <c r="AO85" s="45">
        <v>7.89</v>
      </c>
      <c r="AP85" s="45">
        <v>0.0</v>
      </c>
      <c r="AQ85" s="45">
        <v>8.29</v>
      </c>
      <c r="AR85" s="45">
        <v>8.44</v>
      </c>
      <c r="AU85" s="45" t="s">
        <v>1011</v>
      </c>
      <c r="AX85" s="45" t="s">
        <v>1012</v>
      </c>
    </row>
    <row r="86">
      <c r="A86" s="45">
        <v>85.0</v>
      </c>
      <c r="B86" s="45" t="s">
        <v>671</v>
      </c>
      <c r="C86" s="45" t="s">
        <v>2738</v>
      </c>
      <c r="D86" s="45" t="s">
        <v>2739</v>
      </c>
      <c r="E86" s="45" t="s">
        <v>672</v>
      </c>
      <c r="F86" s="45" t="str">
        <f>VLOOKUP(B86,'Analysis data'!$B$2:$C$358,2,false)</f>
        <v>D</v>
      </c>
      <c r="G86" s="45" t="str">
        <f>VLOOKUP(B86, 'Analysis data'!$B$2:$I$358, 8, FALSE)</f>
        <v> Convener</v>
      </c>
      <c r="H86" s="124" t="s">
        <v>3487</v>
      </c>
      <c r="I86" s="125" t="s">
        <v>3490</v>
      </c>
      <c r="J86" s="119">
        <v>9.1468E11</v>
      </c>
      <c r="K86" s="45">
        <f>VLOOKUP(B86,'Analysis data'!B:E,4,false)</f>
        <v>7.42</v>
      </c>
      <c r="L86" s="45" t="s">
        <v>1003</v>
      </c>
      <c r="M86" s="45" t="s">
        <v>1003</v>
      </c>
      <c r="N86" s="45" t="s">
        <v>1003</v>
      </c>
      <c r="O86" s="45" t="s">
        <v>2740</v>
      </c>
      <c r="P86" s="45">
        <v>17645.0</v>
      </c>
      <c r="Q86" s="45">
        <v>0.0</v>
      </c>
      <c r="R86" s="45" t="s">
        <v>2741</v>
      </c>
      <c r="S86" s="45" t="s">
        <v>46</v>
      </c>
      <c r="T86" s="45" t="s">
        <v>1006</v>
      </c>
      <c r="U86" s="45">
        <v>92.0</v>
      </c>
      <c r="V86" s="45">
        <v>2019.0</v>
      </c>
      <c r="W86" s="45">
        <v>96.0</v>
      </c>
      <c r="X86" s="45">
        <v>2021.0</v>
      </c>
      <c r="Y86" s="45">
        <v>7.4</v>
      </c>
      <c r="Z86" s="45">
        <v>69.0</v>
      </c>
      <c r="AA86" s="45">
        <v>2025.0</v>
      </c>
      <c r="AB86" s="45">
        <f>VLOOKUP(B86,'Analysis data'!$B$1:$F$358,5,false)</f>
        <v>0</v>
      </c>
      <c r="AC86" s="45">
        <v>0.0</v>
      </c>
      <c r="AD86" s="45" t="s">
        <v>2742</v>
      </c>
      <c r="AE86" s="45" t="s">
        <v>2743</v>
      </c>
      <c r="AF86" s="45">
        <v>8.309359937E9</v>
      </c>
      <c r="AG86" s="45">
        <v>9.010454788E9</v>
      </c>
      <c r="AH86" s="45">
        <v>0.0</v>
      </c>
      <c r="AI86" s="45">
        <v>0.0</v>
      </c>
      <c r="AJ86" s="45" t="str">
        <f>VLOOKUP(B86,'Analysis data'!B:K,10,false)</f>
        <v/>
      </c>
      <c r="AK86" s="45" t="s">
        <v>2744</v>
      </c>
      <c r="AL86" s="45" t="s">
        <v>2745</v>
      </c>
      <c r="AM86" s="45">
        <v>7.49</v>
      </c>
      <c r="AN86" s="45">
        <v>7.61</v>
      </c>
      <c r="AO86" s="45">
        <v>6.64</v>
      </c>
      <c r="AP86" s="45">
        <v>0.0</v>
      </c>
      <c r="AQ86" s="45">
        <v>7.43</v>
      </c>
      <c r="AR86" s="45">
        <v>7.46</v>
      </c>
      <c r="AU86" s="45" t="s">
        <v>1011</v>
      </c>
      <c r="AX86" s="45" t="s">
        <v>1028</v>
      </c>
    </row>
    <row r="87">
      <c r="A87" s="45">
        <v>86.0</v>
      </c>
      <c r="B87" s="45" t="s">
        <v>691</v>
      </c>
      <c r="C87" s="45" t="s">
        <v>2788</v>
      </c>
      <c r="D87" s="45" t="s">
        <v>2789</v>
      </c>
      <c r="E87" s="45" t="s">
        <v>692</v>
      </c>
      <c r="F87" s="45" t="str">
        <f>VLOOKUP(B87,'Analysis data'!$B$2:$C$358,2,false)</f>
        <v>D</v>
      </c>
      <c r="G87" s="45" t="str">
        <f>VLOOKUP(B87, 'Analysis data'!$B$2:$I$358, 8, FALSE)</f>
        <v> Convener</v>
      </c>
      <c r="H87" s="124" t="s">
        <v>3487</v>
      </c>
      <c r="I87" s="125" t="s">
        <v>3490</v>
      </c>
      <c r="J87" s="119">
        <v>3.56178E11</v>
      </c>
      <c r="K87" s="45">
        <f>VLOOKUP(B87,'Analysis data'!B:E,4,false)</f>
        <v>7.08</v>
      </c>
      <c r="L87" s="45" t="s">
        <v>1003</v>
      </c>
      <c r="M87" s="45" t="s">
        <v>1003</v>
      </c>
      <c r="N87" s="45" t="s">
        <v>1003</v>
      </c>
      <c r="O87" s="45" t="s">
        <v>2790</v>
      </c>
      <c r="P87" s="45">
        <v>25204.0</v>
      </c>
      <c r="Q87" s="45">
        <v>0.0</v>
      </c>
      <c r="R87" s="121">
        <v>37629.0</v>
      </c>
      <c r="S87" s="45" t="s">
        <v>46</v>
      </c>
      <c r="T87" s="45" t="s">
        <v>1006</v>
      </c>
      <c r="U87" s="45">
        <v>95.0</v>
      </c>
      <c r="V87" s="45">
        <v>2019.0</v>
      </c>
      <c r="W87" s="45">
        <v>52.6</v>
      </c>
      <c r="X87" s="45">
        <v>2021.0</v>
      </c>
      <c r="Y87" s="45">
        <v>7.1</v>
      </c>
      <c r="Z87" s="45">
        <v>66.0</v>
      </c>
      <c r="AA87" s="45">
        <v>2025.0</v>
      </c>
      <c r="AB87" s="45">
        <f>VLOOKUP(B87,'Analysis data'!$B$1:$F$358,5,false)</f>
        <v>0</v>
      </c>
      <c r="AC87" s="45">
        <v>1.0</v>
      </c>
      <c r="AD87" s="45" t="s">
        <v>2791</v>
      </c>
      <c r="AE87" s="45" t="s">
        <v>2792</v>
      </c>
      <c r="AF87" s="45">
        <v>9.398053269E9</v>
      </c>
      <c r="AG87" s="45">
        <v>9.493899374E9</v>
      </c>
      <c r="AH87" s="45">
        <v>0.0</v>
      </c>
      <c r="AI87" s="45">
        <v>0.0</v>
      </c>
      <c r="AJ87" s="45" t="str">
        <f>VLOOKUP(B87,'Analysis data'!B:K,10,false)</f>
        <v/>
      </c>
      <c r="AK87" s="45" t="s">
        <v>2793</v>
      </c>
      <c r="AL87" s="45" t="s">
        <v>2794</v>
      </c>
      <c r="AM87" s="45">
        <v>7.32</v>
      </c>
      <c r="AN87" s="45">
        <v>0.0</v>
      </c>
      <c r="AO87" s="45">
        <v>6.95</v>
      </c>
      <c r="AP87" s="45">
        <v>6.97</v>
      </c>
      <c r="AQ87" s="45">
        <v>6.72</v>
      </c>
      <c r="AR87" s="45">
        <v>7.03</v>
      </c>
      <c r="AU87" s="45" t="s">
        <v>1011</v>
      </c>
      <c r="AX87" s="45" t="s">
        <v>1012</v>
      </c>
    </row>
    <row r="88">
      <c r="A88" s="45">
        <v>87.0</v>
      </c>
      <c r="B88" s="45" t="s">
        <v>702</v>
      </c>
      <c r="C88" s="45" t="s">
        <v>2819</v>
      </c>
      <c r="D88" s="45" t="s">
        <v>2820</v>
      </c>
      <c r="E88" s="45" t="s">
        <v>703</v>
      </c>
      <c r="F88" s="45" t="str">
        <f>VLOOKUP(B88,'Analysis data'!$B$2:$C$358,2,false)</f>
        <v>D</v>
      </c>
      <c r="G88" s="45" t="str">
        <f>VLOOKUP(B88, 'Analysis data'!$B$2:$I$358, 8, FALSE)</f>
        <v> Convener</v>
      </c>
      <c r="H88" s="124" t="s">
        <v>3471</v>
      </c>
      <c r="I88" s="125" t="s">
        <v>3490</v>
      </c>
      <c r="J88" s="119">
        <v>2.51393E11</v>
      </c>
      <c r="K88" s="45">
        <f>VLOOKUP(B88,'Analysis data'!B:E,4,false)</f>
        <v>8.82</v>
      </c>
      <c r="L88" s="45">
        <v>15905.0</v>
      </c>
      <c r="M88" s="45">
        <v>18299.0</v>
      </c>
      <c r="N88" s="45">
        <v>22346.0</v>
      </c>
      <c r="O88" s="45" t="s">
        <v>1236</v>
      </c>
      <c r="P88" s="45">
        <v>12092.0</v>
      </c>
      <c r="Q88" s="45">
        <v>0.0</v>
      </c>
      <c r="R88" s="45" t="s">
        <v>2821</v>
      </c>
      <c r="S88" s="45" t="s">
        <v>46</v>
      </c>
      <c r="T88" s="45" t="s">
        <v>1006</v>
      </c>
      <c r="U88" s="45">
        <v>98.0</v>
      </c>
      <c r="V88" s="45">
        <v>2019.0</v>
      </c>
      <c r="W88" s="45">
        <v>98.0</v>
      </c>
      <c r="X88" s="45">
        <v>2021.0</v>
      </c>
      <c r="Y88" s="45">
        <v>8.8</v>
      </c>
      <c r="Z88" s="45">
        <v>83.0</v>
      </c>
      <c r="AA88" s="45">
        <v>2025.0</v>
      </c>
      <c r="AB88" s="45">
        <f>VLOOKUP(B88,'Analysis data'!$B$1:$F$358,5,false)</f>
        <v>0</v>
      </c>
      <c r="AC88" s="45">
        <v>0.0</v>
      </c>
      <c r="AD88" s="45" t="s">
        <v>2822</v>
      </c>
      <c r="AE88" s="45" t="s">
        <v>2823</v>
      </c>
      <c r="AF88" s="45">
        <v>9.05916946E9</v>
      </c>
      <c r="AG88" s="45">
        <v>9.701520319E9</v>
      </c>
      <c r="AH88" s="45">
        <v>0.0</v>
      </c>
      <c r="AI88" s="45">
        <v>0.0</v>
      </c>
      <c r="AJ88" s="45" t="str">
        <f>VLOOKUP(B88,'Analysis data'!B:K,10,false)</f>
        <v>CADSYS</v>
      </c>
      <c r="AK88" s="45" t="s">
        <v>2824</v>
      </c>
      <c r="AL88" s="45" t="s">
        <v>2825</v>
      </c>
      <c r="AM88" s="45">
        <v>9.19</v>
      </c>
      <c r="AN88" s="45">
        <v>8.68</v>
      </c>
      <c r="AO88" s="45">
        <v>8.45</v>
      </c>
      <c r="AP88" s="45">
        <v>0.0</v>
      </c>
      <c r="AQ88" s="45">
        <v>8.8</v>
      </c>
      <c r="AR88" s="45">
        <v>8.82</v>
      </c>
      <c r="AU88" s="45" t="s">
        <v>1011</v>
      </c>
      <c r="AX88" s="45" t="s">
        <v>1028</v>
      </c>
    </row>
    <row r="89">
      <c r="A89" s="45">
        <v>88.0</v>
      </c>
      <c r="B89" s="45" t="s">
        <v>721</v>
      </c>
      <c r="C89" s="45" t="s">
        <v>2866</v>
      </c>
      <c r="D89" s="45" t="s">
        <v>1945</v>
      </c>
      <c r="E89" s="45" t="s">
        <v>722</v>
      </c>
      <c r="F89" s="45" t="str">
        <f>VLOOKUP(B89,'Analysis data'!$B$2:$C$358,2,false)</f>
        <v>D</v>
      </c>
      <c r="G89" s="45" t="str">
        <f>VLOOKUP(B89, 'Analysis data'!$B$2:$I$358, 8, FALSE)</f>
        <v> Convener</v>
      </c>
      <c r="H89" s="124" t="s">
        <v>3487</v>
      </c>
      <c r="I89" s="125" t="s">
        <v>3487</v>
      </c>
      <c r="J89" s="119">
        <v>9.67723E11</v>
      </c>
      <c r="K89" s="45" t="str">
        <f>VLOOKUP(B89,'Analysis data'!B:E,4,false)</f>
        <v/>
      </c>
      <c r="L89" s="45" t="s">
        <v>1003</v>
      </c>
      <c r="M89" s="45" t="s">
        <v>1003</v>
      </c>
      <c r="N89" s="45" t="s">
        <v>1003</v>
      </c>
      <c r="O89" s="45" t="s">
        <v>1404</v>
      </c>
      <c r="P89" s="45">
        <v>25000.0</v>
      </c>
      <c r="Q89" s="45">
        <v>0.0</v>
      </c>
      <c r="R89" s="45" t="s">
        <v>2867</v>
      </c>
      <c r="S89" s="45" t="s">
        <v>46</v>
      </c>
      <c r="T89" s="45" t="s">
        <v>1006</v>
      </c>
      <c r="U89" s="45">
        <v>83.0</v>
      </c>
      <c r="V89" s="45">
        <v>2019.0</v>
      </c>
      <c r="W89" s="45">
        <v>80.0</v>
      </c>
      <c r="X89" s="45">
        <v>2021.0</v>
      </c>
      <c r="Y89" s="45">
        <v>0.0</v>
      </c>
      <c r="Z89" s="45">
        <v>-5.0</v>
      </c>
      <c r="AA89" s="45">
        <v>2025.0</v>
      </c>
      <c r="AB89" s="45">
        <f>VLOOKUP(B89,'Analysis data'!$B$1:$F$358,5,false)</f>
        <v>1</v>
      </c>
      <c r="AC89" s="45">
        <v>1.0</v>
      </c>
      <c r="AD89" s="45" t="s">
        <v>2868</v>
      </c>
      <c r="AE89" s="45" t="s">
        <v>2869</v>
      </c>
      <c r="AF89" s="45">
        <v>9.39841385E9</v>
      </c>
      <c r="AG89" s="45">
        <v>9.502484556E9</v>
      </c>
      <c r="AH89" s="45" t="s">
        <v>440</v>
      </c>
      <c r="AI89" s="45" t="s">
        <v>440</v>
      </c>
      <c r="AJ89" s="45" t="str">
        <f>VLOOKUP(B89,'Analysis data'!B:K,10,false)</f>
        <v>SKILL DUNIYA</v>
      </c>
      <c r="AK89" s="45" t="s">
        <v>1299</v>
      </c>
      <c r="AL89" s="45" t="s">
        <v>2870</v>
      </c>
      <c r="AM89" s="45">
        <v>6.54</v>
      </c>
      <c r="AN89" s="45">
        <v>0.0</v>
      </c>
      <c r="AO89" s="45">
        <v>0.0</v>
      </c>
      <c r="AP89" s="45">
        <v>0.0</v>
      </c>
      <c r="AQ89" s="45">
        <v>6.53</v>
      </c>
      <c r="AR89" s="45">
        <v>0.0</v>
      </c>
      <c r="AU89" s="45" t="s">
        <v>1011</v>
      </c>
      <c r="AX89" s="45" t="s">
        <v>1012</v>
      </c>
    </row>
    <row r="90">
      <c r="A90" s="45">
        <v>89.0</v>
      </c>
      <c r="B90" s="45" t="s">
        <v>723</v>
      </c>
      <c r="C90" s="45" t="s">
        <v>2037</v>
      </c>
      <c r="D90" s="45" t="s">
        <v>2871</v>
      </c>
      <c r="E90" s="45" t="s">
        <v>724</v>
      </c>
      <c r="F90" s="45" t="str">
        <f>VLOOKUP(B90,'Analysis data'!$B$2:$C$358,2,false)</f>
        <v>D</v>
      </c>
      <c r="G90" s="45" t="str">
        <f>VLOOKUP(B90, 'Analysis data'!$B$2:$I$358, 8, FALSE)</f>
        <v> Convener</v>
      </c>
      <c r="H90" s="124" t="s">
        <v>3487</v>
      </c>
      <c r="I90" s="125" t="s">
        <v>3487</v>
      </c>
      <c r="J90" s="119">
        <v>4.45652E11</v>
      </c>
      <c r="K90" s="45">
        <f>VLOOKUP(B90,'Analysis data'!B:E,4,false)</f>
        <v>7.62</v>
      </c>
      <c r="L90" s="45" t="s">
        <v>1003</v>
      </c>
      <c r="M90" s="45" t="s">
        <v>1003</v>
      </c>
      <c r="N90" s="45" t="s">
        <v>1003</v>
      </c>
      <c r="O90" s="45" t="s">
        <v>2833</v>
      </c>
      <c r="P90" s="45">
        <v>20180.0</v>
      </c>
      <c r="Q90" s="45">
        <v>0.0</v>
      </c>
      <c r="R90" s="121">
        <v>37812.0</v>
      </c>
      <c r="S90" s="45" t="s">
        <v>46</v>
      </c>
      <c r="T90" s="45" t="s">
        <v>1006</v>
      </c>
      <c r="U90" s="45">
        <v>80.2</v>
      </c>
      <c r="V90" s="45">
        <v>2019.0</v>
      </c>
      <c r="W90" s="45">
        <v>94.0</v>
      </c>
      <c r="X90" s="45">
        <v>2021.0</v>
      </c>
      <c r="Y90" s="45">
        <v>7.6</v>
      </c>
      <c r="Z90" s="45">
        <v>71.0</v>
      </c>
      <c r="AA90" s="45">
        <v>2025.0</v>
      </c>
      <c r="AB90" s="45">
        <f>VLOOKUP(B90,'Analysis data'!$B$1:$F$358,5,false)</f>
        <v>0</v>
      </c>
      <c r="AC90" s="45">
        <v>1.0</v>
      </c>
      <c r="AD90" s="45" t="s">
        <v>2872</v>
      </c>
      <c r="AE90" s="45" t="s">
        <v>2873</v>
      </c>
      <c r="AF90" s="45">
        <v>8.019476769E9</v>
      </c>
      <c r="AG90" s="45">
        <v>9.666116155E9</v>
      </c>
      <c r="AH90" s="45">
        <v>0.0</v>
      </c>
      <c r="AI90" s="45">
        <v>0.0</v>
      </c>
      <c r="AJ90" s="45" t="str">
        <f>VLOOKUP(B90,'Analysis data'!B:K,10,false)</f>
        <v>EDU-VERSITY</v>
      </c>
      <c r="AK90" s="45" t="s">
        <v>2874</v>
      </c>
      <c r="AL90" s="45" t="s">
        <v>2875</v>
      </c>
      <c r="AM90" s="45">
        <v>7.62</v>
      </c>
      <c r="AN90" s="45">
        <v>7.93</v>
      </c>
      <c r="AO90" s="45">
        <v>0.0</v>
      </c>
      <c r="AP90" s="45">
        <v>0.0</v>
      </c>
      <c r="AQ90" s="45">
        <v>7.69</v>
      </c>
      <c r="AR90" s="45">
        <v>7.6</v>
      </c>
      <c r="AU90" s="45" t="s">
        <v>1011</v>
      </c>
      <c r="AX90" s="45" t="s">
        <v>1012</v>
      </c>
    </row>
    <row r="91">
      <c r="A91" s="45">
        <v>90.0</v>
      </c>
      <c r="B91" s="45" t="s">
        <v>749</v>
      </c>
      <c r="C91" s="45" t="s">
        <v>1250</v>
      </c>
      <c r="D91" s="45" t="s">
        <v>2938</v>
      </c>
      <c r="E91" s="45" t="s">
        <v>750</v>
      </c>
      <c r="F91" s="45" t="str">
        <f>VLOOKUP(B91,'Analysis data'!$B$2:$C$358,2,false)</f>
        <v>D</v>
      </c>
      <c r="G91" s="45" t="str">
        <f>VLOOKUP(B91, 'Analysis data'!$B$2:$I$358, 8, FALSE)</f>
        <v> Convener</v>
      </c>
      <c r="H91" s="124" t="s">
        <v>3487</v>
      </c>
      <c r="I91" s="125" t="s">
        <v>3487</v>
      </c>
      <c r="J91" s="119">
        <v>5.00702E11</v>
      </c>
      <c r="K91" s="45">
        <f>VLOOKUP(B91,'Analysis data'!B:E,4,false)</f>
        <v>6.96</v>
      </c>
      <c r="L91" s="45" t="s">
        <v>1003</v>
      </c>
      <c r="M91" s="45" t="s">
        <v>1003</v>
      </c>
      <c r="N91" s="45" t="s">
        <v>1003</v>
      </c>
      <c r="O91" s="45" t="s">
        <v>2939</v>
      </c>
      <c r="P91" s="45">
        <v>0.0</v>
      </c>
      <c r="Q91" s="45">
        <v>0.0</v>
      </c>
      <c r="R91" s="121">
        <v>37811.0</v>
      </c>
      <c r="S91" s="45" t="s">
        <v>46</v>
      </c>
      <c r="T91" s="45" t="s">
        <v>1006</v>
      </c>
      <c r="U91" s="45">
        <v>82.0</v>
      </c>
      <c r="V91" s="45">
        <v>2019.0</v>
      </c>
      <c r="W91" s="45">
        <v>68.0</v>
      </c>
      <c r="X91" s="45">
        <v>2021.0</v>
      </c>
      <c r="Y91" s="45">
        <v>7.0</v>
      </c>
      <c r="Z91" s="45">
        <v>65.0</v>
      </c>
      <c r="AA91" s="45">
        <v>2025.0</v>
      </c>
      <c r="AB91" s="45">
        <f>VLOOKUP(B91,'Analysis data'!$B$1:$F$358,5,false)</f>
        <v>0</v>
      </c>
      <c r="AC91" s="45">
        <v>0.0</v>
      </c>
      <c r="AD91" s="45" t="s">
        <v>2940</v>
      </c>
      <c r="AE91" s="45" t="s">
        <v>2941</v>
      </c>
      <c r="AF91" s="45">
        <v>8.523821442E9</v>
      </c>
      <c r="AG91" s="45">
        <v>8.019860086E9</v>
      </c>
      <c r="AH91" s="45">
        <v>0.0</v>
      </c>
      <c r="AI91" s="45">
        <v>0.0</v>
      </c>
      <c r="AJ91" s="45" t="str">
        <f>VLOOKUP(B91,'Analysis data'!B:K,10,false)</f>
        <v/>
      </c>
      <c r="AK91" s="45" t="s">
        <v>2942</v>
      </c>
      <c r="AL91" s="45" t="s">
        <v>2943</v>
      </c>
      <c r="AM91" s="45">
        <v>6.89</v>
      </c>
      <c r="AN91" s="45">
        <v>6.66</v>
      </c>
      <c r="AO91" s="45">
        <v>6.66</v>
      </c>
      <c r="AP91" s="45">
        <v>0.0</v>
      </c>
      <c r="AQ91" s="45">
        <v>6.91</v>
      </c>
      <c r="AR91" s="45">
        <v>6.94</v>
      </c>
      <c r="AU91" s="45" t="s">
        <v>1011</v>
      </c>
      <c r="AX91" s="45" t="s">
        <v>1012</v>
      </c>
    </row>
    <row r="92">
      <c r="A92" s="45">
        <v>91.0</v>
      </c>
      <c r="B92" s="45" t="s">
        <v>756</v>
      </c>
      <c r="C92" s="45" t="s">
        <v>2957</v>
      </c>
      <c r="D92" s="45" t="s">
        <v>2958</v>
      </c>
      <c r="E92" s="45" t="s">
        <v>757</v>
      </c>
      <c r="F92" s="45" t="str">
        <f>VLOOKUP(B92,'Analysis data'!$B$2:$C$358,2,false)</f>
        <v>D</v>
      </c>
      <c r="G92" s="45" t="str">
        <f>VLOOKUP(B92, 'Analysis data'!$B$2:$I$358, 8, FALSE)</f>
        <v> Convener</v>
      </c>
      <c r="H92" s="124" t="s">
        <v>3487</v>
      </c>
      <c r="I92" s="125" t="s">
        <v>3488</v>
      </c>
      <c r="J92" s="119">
        <v>7.31404E11</v>
      </c>
      <c r="K92" s="45">
        <f>VLOOKUP(B92,'Analysis data'!B:E,4,false)</f>
        <v>7.85</v>
      </c>
      <c r="L92" s="45" t="s">
        <v>1003</v>
      </c>
      <c r="M92" s="45" t="s">
        <v>1003</v>
      </c>
      <c r="N92" s="45" t="s">
        <v>1003</v>
      </c>
      <c r="O92" s="45" t="s">
        <v>2959</v>
      </c>
      <c r="P92" s="45">
        <v>0.0</v>
      </c>
      <c r="Q92" s="45">
        <v>955.0</v>
      </c>
      <c r="R92" s="121">
        <v>38018.0</v>
      </c>
      <c r="S92" s="45" t="s">
        <v>60</v>
      </c>
      <c r="T92" s="45" t="s">
        <v>1006</v>
      </c>
      <c r="U92" s="45">
        <v>88.0</v>
      </c>
      <c r="V92" s="45">
        <v>2019.0</v>
      </c>
      <c r="W92" s="45">
        <v>73.1</v>
      </c>
      <c r="X92" s="45">
        <v>2022.0</v>
      </c>
      <c r="Y92" s="45">
        <v>7.9</v>
      </c>
      <c r="Z92" s="45">
        <v>74.0</v>
      </c>
      <c r="AA92" s="45">
        <v>2025.0</v>
      </c>
      <c r="AB92" s="45">
        <f>VLOOKUP(B92,'Analysis data'!$B$1:$F$358,5,false)</f>
        <v>0</v>
      </c>
      <c r="AC92" s="45">
        <v>0.0</v>
      </c>
      <c r="AD92" s="45" t="s">
        <v>2960</v>
      </c>
      <c r="AE92" s="45" t="s">
        <v>2961</v>
      </c>
      <c r="AF92" s="45">
        <v>7.569100268E9</v>
      </c>
      <c r="AG92" s="45">
        <v>9.848950949E9</v>
      </c>
      <c r="AH92" s="45">
        <v>0.0</v>
      </c>
      <c r="AI92" s="45">
        <v>0.0</v>
      </c>
      <c r="AJ92" s="45" t="str">
        <f>VLOOKUP(B92,'Analysis data'!B:K,10,false)</f>
        <v/>
      </c>
      <c r="AK92" s="45" t="s">
        <v>2962</v>
      </c>
      <c r="AL92" s="45" t="s">
        <v>2963</v>
      </c>
      <c r="AM92" s="45">
        <v>0.0</v>
      </c>
      <c r="AN92" s="45">
        <v>0.0</v>
      </c>
      <c r="AO92" s="45">
        <v>8.07</v>
      </c>
      <c r="AP92" s="45">
        <v>0.0</v>
      </c>
      <c r="AQ92" s="45">
        <v>7.9</v>
      </c>
      <c r="AR92" s="45">
        <v>7.88</v>
      </c>
      <c r="AU92" s="45" t="s">
        <v>1011</v>
      </c>
      <c r="AX92" s="45" t="s">
        <v>1028</v>
      </c>
    </row>
    <row r="93">
      <c r="A93" s="45">
        <v>92.0</v>
      </c>
      <c r="B93" s="45" t="s">
        <v>760</v>
      </c>
      <c r="C93" s="45" t="s">
        <v>2970</v>
      </c>
      <c r="D93" s="45" t="s">
        <v>2971</v>
      </c>
      <c r="E93" s="45" t="s">
        <v>761</v>
      </c>
      <c r="F93" s="45" t="str">
        <f>VLOOKUP(B93,'Analysis data'!$B$2:$C$358,2,false)</f>
        <v>D</v>
      </c>
      <c r="G93" s="45" t="str">
        <f>VLOOKUP(B93, 'Analysis data'!$B$2:$I$358, 8, FALSE)</f>
        <v> Management</v>
      </c>
      <c r="H93" s="124" t="s">
        <v>3487</v>
      </c>
      <c r="I93" s="125" t="s">
        <v>3490</v>
      </c>
      <c r="J93" s="119">
        <v>6.24224E11</v>
      </c>
      <c r="K93" s="45">
        <f>VLOOKUP(B93,'Analysis data'!B:E,4,false)</f>
        <v>7.32</v>
      </c>
      <c r="L93" s="45" t="s">
        <v>1003</v>
      </c>
      <c r="M93" s="45" t="s">
        <v>1003</v>
      </c>
      <c r="N93" s="45" t="s">
        <v>1003</v>
      </c>
      <c r="O93" s="45" t="s">
        <v>2018</v>
      </c>
      <c r="P93" s="45">
        <v>0.0</v>
      </c>
      <c r="Q93" s="45">
        <v>1839.0</v>
      </c>
      <c r="R93" s="121">
        <v>37631.0</v>
      </c>
      <c r="S93" s="45" t="s">
        <v>60</v>
      </c>
      <c r="T93" s="45" t="s">
        <v>1006</v>
      </c>
      <c r="U93" s="45">
        <v>90.0</v>
      </c>
      <c r="V93" s="45">
        <v>2019.0</v>
      </c>
      <c r="W93" s="45">
        <v>69.0</v>
      </c>
      <c r="X93" s="45">
        <v>2022.0</v>
      </c>
      <c r="Y93" s="45">
        <v>7.3</v>
      </c>
      <c r="Z93" s="45">
        <v>68.0</v>
      </c>
      <c r="AA93" s="45">
        <v>2025.0</v>
      </c>
      <c r="AB93" s="45">
        <f>VLOOKUP(B93,'Analysis data'!$B$1:$F$358,5,false)</f>
        <v>0</v>
      </c>
      <c r="AC93" s="45">
        <v>0.0</v>
      </c>
      <c r="AD93" s="45" t="s">
        <v>2972</v>
      </c>
      <c r="AE93" s="45" t="s">
        <v>2973</v>
      </c>
      <c r="AF93" s="45">
        <v>9.705065266E9</v>
      </c>
      <c r="AG93" s="45">
        <v>9.701096937E9</v>
      </c>
      <c r="AH93" s="45">
        <v>0.0</v>
      </c>
      <c r="AI93" s="45">
        <v>0.0</v>
      </c>
      <c r="AJ93" s="45" t="str">
        <f>VLOOKUP(B93,'Analysis data'!B:K,10,false)</f>
        <v/>
      </c>
      <c r="AK93" s="45" t="s">
        <v>2974</v>
      </c>
      <c r="AL93" s="45" t="s">
        <v>2975</v>
      </c>
      <c r="AM93" s="45">
        <v>0.0</v>
      </c>
      <c r="AN93" s="45">
        <v>0.0</v>
      </c>
      <c r="AO93" s="45">
        <v>7.32</v>
      </c>
      <c r="AP93" s="45">
        <v>0.0</v>
      </c>
      <c r="AQ93" s="45">
        <v>7.07</v>
      </c>
      <c r="AR93" s="45">
        <v>7.18</v>
      </c>
      <c r="AU93" s="45" t="s">
        <v>1011</v>
      </c>
      <c r="AX93" s="45" t="s">
        <v>1012</v>
      </c>
    </row>
    <row r="94">
      <c r="A94" s="45">
        <v>93.0</v>
      </c>
      <c r="B94" s="45" t="s">
        <v>767</v>
      </c>
      <c r="C94" s="45" t="s">
        <v>2991</v>
      </c>
      <c r="D94" s="45" t="s">
        <v>1945</v>
      </c>
      <c r="E94" s="45" t="s">
        <v>768</v>
      </c>
      <c r="F94" s="45" t="str">
        <f>VLOOKUP(B94,'Analysis data'!$B$2:$C$358,2,false)</f>
        <v>D</v>
      </c>
      <c r="G94" s="45" t="str">
        <f>VLOOKUP(B94, 'Analysis data'!$B$2:$I$358, 8, FALSE)</f>
        <v> Convener</v>
      </c>
      <c r="H94" s="124" t="s">
        <v>3471</v>
      </c>
      <c r="I94" s="125" t="s">
        <v>3487</v>
      </c>
      <c r="J94" s="119">
        <v>8.61272E11</v>
      </c>
      <c r="K94" s="45">
        <f>VLOOKUP(B94,'Analysis data'!B:E,4,false)</f>
        <v>7.9</v>
      </c>
      <c r="L94" s="45">
        <v>6894.0</v>
      </c>
      <c r="M94" s="45">
        <v>6371.0</v>
      </c>
      <c r="N94" s="45" t="s">
        <v>1003</v>
      </c>
      <c r="O94" s="45" t="s">
        <v>1236</v>
      </c>
      <c r="P94" s="45">
        <v>0.0</v>
      </c>
      <c r="Q94" s="45">
        <v>458.0</v>
      </c>
      <c r="R94" s="45" t="s">
        <v>2992</v>
      </c>
      <c r="S94" s="45" t="s">
        <v>46</v>
      </c>
      <c r="T94" s="45" t="s">
        <v>1006</v>
      </c>
      <c r="U94" s="45">
        <v>93.0</v>
      </c>
      <c r="V94" s="45">
        <v>2019.0</v>
      </c>
      <c r="W94" s="45">
        <v>86.7</v>
      </c>
      <c r="X94" s="45">
        <v>2022.0</v>
      </c>
      <c r="Y94" s="45">
        <v>7.9</v>
      </c>
      <c r="Z94" s="45">
        <v>74.0</v>
      </c>
      <c r="AA94" s="45">
        <v>2025.0</v>
      </c>
      <c r="AB94" s="45">
        <f>VLOOKUP(B94,'Analysis data'!$B$1:$F$358,5,false)</f>
        <v>0</v>
      </c>
      <c r="AC94" s="45">
        <v>0.0</v>
      </c>
      <c r="AD94" s="45" t="s">
        <v>2993</v>
      </c>
      <c r="AE94" s="45" t="s">
        <v>2994</v>
      </c>
      <c r="AF94" s="45">
        <v>9.059101837E9</v>
      </c>
      <c r="AG94" s="45">
        <v>9.701952442E9</v>
      </c>
      <c r="AH94" s="45">
        <v>0.0</v>
      </c>
      <c r="AI94" s="45">
        <v>0.0</v>
      </c>
      <c r="AJ94" s="45" t="str">
        <f>VLOOKUP(B94,'Analysis data'!B:K,10,false)</f>
        <v/>
      </c>
      <c r="AK94" s="45" t="s">
        <v>2995</v>
      </c>
      <c r="AL94" s="45" t="s">
        <v>2996</v>
      </c>
      <c r="AM94" s="45">
        <v>0.0</v>
      </c>
      <c r="AN94" s="45">
        <v>0.0</v>
      </c>
      <c r="AO94" s="45">
        <v>7.93</v>
      </c>
      <c r="AP94" s="45">
        <v>0.0</v>
      </c>
      <c r="AQ94" s="45">
        <v>7.94</v>
      </c>
      <c r="AR94" s="45">
        <v>7.95</v>
      </c>
      <c r="AU94" s="45" t="s">
        <v>1011</v>
      </c>
      <c r="AX94" s="45" t="s">
        <v>1012</v>
      </c>
    </row>
    <row r="95">
      <c r="A95" s="45">
        <v>94.0</v>
      </c>
      <c r="B95" s="45" t="s">
        <v>777</v>
      </c>
      <c r="C95" s="45" t="s">
        <v>3017</v>
      </c>
      <c r="D95" s="45" t="s">
        <v>3018</v>
      </c>
      <c r="E95" s="45" t="s">
        <v>778</v>
      </c>
      <c r="F95" s="45" t="str">
        <f>VLOOKUP(B95,'Analysis data'!$B$2:$C$358,2,false)</f>
        <v>E</v>
      </c>
      <c r="G95" s="45" t="str">
        <f>VLOOKUP(B95, 'Analysis data'!$B$2:$I$358, 8, FALSE)</f>
        <v> Management</v>
      </c>
      <c r="H95" s="124" t="s">
        <v>3491</v>
      </c>
      <c r="I95" s="124" t="s">
        <v>3491</v>
      </c>
      <c r="J95" s="119">
        <v>4.21305E11</v>
      </c>
      <c r="K95" s="45">
        <f>VLOOKUP(B95,'Analysis data'!B:E,4,false)</f>
        <v>7.52</v>
      </c>
      <c r="L95" s="45" t="s">
        <v>1003</v>
      </c>
      <c r="M95" s="45" t="s">
        <v>1003</v>
      </c>
      <c r="N95" s="45" t="s">
        <v>1003</v>
      </c>
      <c r="O95" s="45" t="s">
        <v>1325</v>
      </c>
      <c r="P95" s="45">
        <v>13158.0</v>
      </c>
      <c r="Q95" s="45">
        <v>0.0</v>
      </c>
      <c r="R95" s="45" t="s">
        <v>3019</v>
      </c>
      <c r="S95" s="45" t="s">
        <v>46</v>
      </c>
      <c r="T95" s="45" t="s">
        <v>1006</v>
      </c>
      <c r="U95" s="45">
        <v>98.0</v>
      </c>
      <c r="V95" s="45">
        <v>2019.0</v>
      </c>
      <c r="W95" s="45">
        <v>85.0</v>
      </c>
      <c r="X95" s="45">
        <v>2021.0</v>
      </c>
      <c r="Y95" s="45">
        <v>7.5</v>
      </c>
      <c r="Z95" s="45">
        <v>70.0</v>
      </c>
      <c r="AA95" s="45">
        <v>2025.0</v>
      </c>
      <c r="AB95" s="45">
        <f>VLOOKUP(B95,'Analysis data'!$B$1:$F$358,5,false)</f>
        <v>0</v>
      </c>
      <c r="AC95" s="45">
        <v>0.0</v>
      </c>
      <c r="AD95" s="45" t="s">
        <v>3020</v>
      </c>
      <c r="AE95" s="45" t="s">
        <v>3021</v>
      </c>
      <c r="AF95" s="45">
        <v>8.639328839E9</v>
      </c>
      <c r="AG95" s="45">
        <v>9.12187289E9</v>
      </c>
      <c r="AH95" s="45">
        <v>0.0</v>
      </c>
      <c r="AI95" s="45">
        <v>0.0</v>
      </c>
      <c r="AJ95" s="45" t="str">
        <f>VLOOKUP(B95,'Analysis data'!B:K,10,false)</f>
        <v>CAPGEMINI-ANALYST</v>
      </c>
      <c r="AK95" s="45" t="s">
        <v>3022</v>
      </c>
      <c r="AL95" s="45" t="s">
        <v>3023</v>
      </c>
      <c r="AM95" s="45">
        <v>7.65</v>
      </c>
      <c r="AN95" s="45">
        <v>7.02</v>
      </c>
      <c r="AO95" s="45">
        <v>7.73</v>
      </c>
      <c r="AP95" s="45">
        <v>0.0</v>
      </c>
      <c r="AQ95" s="45">
        <v>7.62</v>
      </c>
      <c r="AR95" s="45">
        <v>7.58</v>
      </c>
      <c r="AU95" s="45" t="s">
        <v>1011</v>
      </c>
      <c r="AX95" s="45" t="s">
        <v>1028</v>
      </c>
    </row>
    <row r="96">
      <c r="A96" s="45">
        <v>95.0</v>
      </c>
      <c r="B96" s="45" t="s">
        <v>779</v>
      </c>
      <c r="C96" s="45" t="s">
        <v>3024</v>
      </c>
      <c r="D96" s="45" t="s">
        <v>2556</v>
      </c>
      <c r="E96" s="45" t="s">
        <v>780</v>
      </c>
      <c r="F96" s="45" t="str">
        <f>VLOOKUP(B96,'Analysis data'!$B$2:$C$358,2,false)</f>
        <v>E</v>
      </c>
      <c r="G96" s="45" t="str">
        <f>VLOOKUP(B96, 'Analysis data'!$B$2:$I$358, 8, FALSE)</f>
        <v> Management</v>
      </c>
      <c r="H96" s="124" t="s">
        <v>3491</v>
      </c>
      <c r="I96" s="124" t="s">
        <v>3491</v>
      </c>
      <c r="J96" s="119">
        <v>6.83063E11</v>
      </c>
      <c r="K96" s="45" t="str">
        <f>VLOOKUP(B96,'Analysis data'!B:E,4,false)</f>
        <v/>
      </c>
      <c r="L96" s="45" t="s">
        <v>1003</v>
      </c>
      <c r="M96" s="45" t="s">
        <v>1003</v>
      </c>
      <c r="N96" s="45" t="s">
        <v>1003</v>
      </c>
      <c r="O96" s="45" t="s">
        <v>2372</v>
      </c>
      <c r="P96" s="45">
        <v>19978.0</v>
      </c>
      <c r="Q96" s="45">
        <v>0.0</v>
      </c>
      <c r="R96" s="121">
        <v>38086.0</v>
      </c>
      <c r="S96" s="45" t="s">
        <v>46</v>
      </c>
      <c r="T96" s="45" t="s">
        <v>1006</v>
      </c>
      <c r="U96" s="45">
        <v>87.0</v>
      </c>
      <c r="V96" s="45">
        <v>2019.0</v>
      </c>
      <c r="W96" s="45">
        <v>90.0</v>
      </c>
      <c r="X96" s="45">
        <v>2021.0</v>
      </c>
      <c r="Y96" s="45">
        <v>0.0</v>
      </c>
      <c r="Z96" s="45">
        <v>-5.0</v>
      </c>
      <c r="AA96" s="45">
        <v>2025.0</v>
      </c>
      <c r="AB96" s="45">
        <f>VLOOKUP(B96,'Analysis data'!$B$1:$F$358,5,false)</f>
        <v>1</v>
      </c>
      <c r="AC96" s="45">
        <v>0.0</v>
      </c>
      <c r="AD96" s="45" t="s">
        <v>3025</v>
      </c>
      <c r="AE96" s="45" t="s">
        <v>3026</v>
      </c>
      <c r="AF96" s="45">
        <v>8.121969639E9</v>
      </c>
      <c r="AG96" s="45">
        <v>9.963420609E9</v>
      </c>
      <c r="AH96" s="45">
        <v>0.0</v>
      </c>
      <c r="AI96" s="45">
        <v>0.0</v>
      </c>
      <c r="AJ96" s="45" t="str">
        <f>VLOOKUP(B96,'Analysis data'!B:K,10,false)</f>
        <v/>
      </c>
      <c r="AK96" s="45" t="s">
        <v>3027</v>
      </c>
      <c r="AL96" s="45" t="s">
        <v>3028</v>
      </c>
      <c r="AM96" s="45">
        <v>8.41</v>
      </c>
      <c r="AN96" s="45">
        <v>8.17</v>
      </c>
      <c r="AO96" s="45">
        <v>8.07</v>
      </c>
      <c r="AP96" s="45">
        <v>0.0</v>
      </c>
      <c r="AQ96" s="45">
        <v>8.07</v>
      </c>
      <c r="AR96" s="45">
        <v>7.98</v>
      </c>
      <c r="AU96" s="45" t="s">
        <v>1011</v>
      </c>
      <c r="AX96" s="45" t="s">
        <v>1012</v>
      </c>
    </row>
    <row r="97">
      <c r="A97" s="45">
        <v>96.0</v>
      </c>
      <c r="B97" s="45" t="s">
        <v>795</v>
      </c>
      <c r="C97" s="45" t="s">
        <v>3069</v>
      </c>
      <c r="D97" s="45" t="s">
        <v>2362</v>
      </c>
      <c r="E97" s="45" t="s">
        <v>796</v>
      </c>
      <c r="F97" s="45" t="str">
        <f>VLOOKUP(B97,'Analysis data'!$B$2:$C$358,2,false)</f>
        <v>E</v>
      </c>
      <c r="G97" s="45" t="str">
        <f>VLOOKUP(B97, 'Analysis data'!$B$2:$I$358, 8, FALSE)</f>
        <v> Management</v>
      </c>
      <c r="H97" s="124" t="s">
        <v>3491</v>
      </c>
      <c r="I97" s="124" t="s">
        <v>3491</v>
      </c>
      <c r="J97" s="119">
        <v>6.77233E11</v>
      </c>
      <c r="K97" s="45">
        <f>VLOOKUP(B97,'Analysis data'!B:E,4,false)</f>
        <v>7.54</v>
      </c>
      <c r="L97" s="45" t="s">
        <v>1003</v>
      </c>
      <c r="M97" s="45" t="s">
        <v>1003</v>
      </c>
      <c r="N97" s="45" t="s">
        <v>1003</v>
      </c>
      <c r="O97" s="45" t="s">
        <v>1348</v>
      </c>
      <c r="P97" s="45">
        <v>6067.0</v>
      </c>
      <c r="Q97" s="45">
        <v>0.0</v>
      </c>
      <c r="R97" s="45" t="s">
        <v>3070</v>
      </c>
      <c r="S97" s="45" t="s">
        <v>46</v>
      </c>
      <c r="T97" s="45" t="s">
        <v>1006</v>
      </c>
      <c r="U97" s="45">
        <v>100.0</v>
      </c>
      <c r="V97" s="45">
        <v>2019.0</v>
      </c>
      <c r="W97" s="45">
        <v>96.5</v>
      </c>
      <c r="X97" s="45">
        <v>2021.0</v>
      </c>
      <c r="Y97" s="45">
        <v>7.5</v>
      </c>
      <c r="Z97" s="45">
        <v>70.0</v>
      </c>
      <c r="AA97" s="45">
        <v>2025.0</v>
      </c>
      <c r="AB97" s="45">
        <f>VLOOKUP(B97,'Analysis data'!$B$1:$F$358,5,false)</f>
        <v>0</v>
      </c>
      <c r="AC97" s="45">
        <v>1.0</v>
      </c>
      <c r="AD97" s="45" t="s">
        <v>3071</v>
      </c>
      <c r="AE97" s="45" t="s">
        <v>3072</v>
      </c>
      <c r="AF97" s="45">
        <v>9.963505477E9</v>
      </c>
      <c r="AG97" s="45">
        <v>9.49193511E9</v>
      </c>
      <c r="AH97" s="45" t="s">
        <v>271</v>
      </c>
      <c r="AI97" s="45">
        <v>0.0</v>
      </c>
      <c r="AJ97" s="45" t="str">
        <f>VLOOKUP(B97,'Analysis data'!B:K,10,false)</f>
        <v>CORIZO-BDA</v>
      </c>
      <c r="AK97" s="45" t="s">
        <v>3073</v>
      </c>
      <c r="AL97" s="45" t="s">
        <v>3074</v>
      </c>
      <c r="AM97" s="45">
        <v>8.3</v>
      </c>
      <c r="AN97" s="45">
        <v>6.83</v>
      </c>
      <c r="AO97" s="45">
        <v>7.52</v>
      </c>
      <c r="AP97" s="45">
        <v>0.0</v>
      </c>
      <c r="AQ97" s="45">
        <v>7.47</v>
      </c>
      <c r="AR97" s="45">
        <v>7.49</v>
      </c>
      <c r="AU97" s="45" t="s">
        <v>1011</v>
      </c>
      <c r="AX97" s="45" t="s">
        <v>1028</v>
      </c>
    </row>
    <row r="98">
      <c r="A98" s="45">
        <v>97.0</v>
      </c>
      <c r="B98" s="45" t="s">
        <v>806</v>
      </c>
      <c r="C98" s="45" t="s">
        <v>3104</v>
      </c>
      <c r="D98" s="45" t="s">
        <v>1717</v>
      </c>
      <c r="E98" s="45" t="s">
        <v>807</v>
      </c>
      <c r="F98" s="45" t="str">
        <f>VLOOKUP(B98,'Analysis data'!$B$2:$C$358,2,false)</f>
        <v>E</v>
      </c>
      <c r="G98" s="45" t="str">
        <f>VLOOKUP(B98, 'Analysis data'!$B$2:$I$358, 8, FALSE)</f>
        <v> Convener</v>
      </c>
      <c r="H98" s="124" t="s">
        <v>3491</v>
      </c>
      <c r="I98" s="124" t="s">
        <v>3491</v>
      </c>
      <c r="J98" s="119">
        <v>7.38188E11</v>
      </c>
      <c r="K98" s="45">
        <f>VLOOKUP(B98,'Analysis data'!B:E,4,false)</f>
        <v>8.18</v>
      </c>
      <c r="L98" s="45" t="s">
        <v>1003</v>
      </c>
      <c r="M98" s="45" t="s">
        <v>1003</v>
      </c>
      <c r="N98" s="45" t="s">
        <v>1003</v>
      </c>
      <c r="O98" s="45" t="s">
        <v>1113</v>
      </c>
      <c r="P98" s="45">
        <v>13582.0</v>
      </c>
      <c r="Q98" s="45">
        <v>0.0</v>
      </c>
      <c r="R98" s="45" t="s">
        <v>3105</v>
      </c>
      <c r="S98" s="45" t="s">
        <v>46</v>
      </c>
      <c r="T98" s="45" t="s">
        <v>1006</v>
      </c>
      <c r="U98" s="45">
        <v>90.0</v>
      </c>
      <c r="V98" s="45">
        <v>2018.0</v>
      </c>
      <c r="W98" s="45">
        <v>97.1</v>
      </c>
      <c r="X98" s="45">
        <v>2020.0</v>
      </c>
      <c r="Y98" s="45">
        <v>8.2</v>
      </c>
      <c r="Z98" s="45">
        <v>77.0</v>
      </c>
      <c r="AA98" s="45">
        <v>2025.0</v>
      </c>
      <c r="AB98" s="45">
        <f>VLOOKUP(B98,'Analysis data'!$B$1:$F$358,5,false)</f>
        <v>0</v>
      </c>
      <c r="AC98" s="45">
        <v>0.0</v>
      </c>
      <c r="AD98" s="45" t="s">
        <v>3106</v>
      </c>
      <c r="AE98" s="45" t="s">
        <v>3107</v>
      </c>
      <c r="AF98" s="45">
        <v>8.309736218E9</v>
      </c>
      <c r="AG98" s="45">
        <v>9.246806278E9</v>
      </c>
      <c r="AH98" s="45" t="s">
        <v>52</v>
      </c>
      <c r="AI98" s="45">
        <v>0.0</v>
      </c>
      <c r="AJ98" s="45" t="str">
        <f>VLOOKUP(B98,'Analysis data'!B:K,10,false)</f>
        <v>Accenture ASE</v>
      </c>
      <c r="AK98" s="45" t="s">
        <v>3108</v>
      </c>
      <c r="AL98" s="45" t="s">
        <v>3109</v>
      </c>
      <c r="AM98" s="45">
        <v>8.35</v>
      </c>
      <c r="AN98" s="45">
        <v>8.24</v>
      </c>
      <c r="AO98" s="45">
        <v>8.02</v>
      </c>
      <c r="AP98" s="45">
        <v>0.0</v>
      </c>
      <c r="AQ98" s="45">
        <v>8.13</v>
      </c>
      <c r="AR98" s="45">
        <v>8.12</v>
      </c>
      <c r="AU98" s="45" t="s">
        <v>1011</v>
      </c>
      <c r="AX98" s="45" t="s">
        <v>1012</v>
      </c>
    </row>
    <row r="99">
      <c r="A99" s="45">
        <v>98.0</v>
      </c>
      <c r="B99" s="45" t="s">
        <v>823</v>
      </c>
      <c r="C99" s="45" t="s">
        <v>3149</v>
      </c>
      <c r="D99" s="45" t="s">
        <v>3150</v>
      </c>
      <c r="E99" s="45" t="s">
        <v>824</v>
      </c>
      <c r="F99" s="45" t="str">
        <f>VLOOKUP(B99,'Analysis data'!$B$2:$C$358,2,false)</f>
        <v>E</v>
      </c>
      <c r="G99" s="45" t="str">
        <f>VLOOKUP(B99, 'Analysis data'!$B$2:$I$358, 8, FALSE)</f>
        <v> Convener</v>
      </c>
      <c r="H99" s="124" t="s">
        <v>3491</v>
      </c>
      <c r="I99" s="124" t="s">
        <v>3491</v>
      </c>
      <c r="J99" s="119">
        <v>6.66972E11</v>
      </c>
      <c r="K99" s="45">
        <f>VLOOKUP(B99,'Analysis data'!B:E,4,false)</f>
        <v>7.52</v>
      </c>
      <c r="L99" s="45">
        <v>846.0</v>
      </c>
      <c r="M99" s="45" t="s">
        <v>1003</v>
      </c>
      <c r="N99" s="45" t="s">
        <v>1003</v>
      </c>
      <c r="O99" s="45" t="s">
        <v>1479</v>
      </c>
      <c r="P99" s="45">
        <v>110630.0</v>
      </c>
      <c r="Q99" s="45">
        <v>0.0</v>
      </c>
      <c r="R99" s="45" t="s">
        <v>3151</v>
      </c>
      <c r="S99" s="45" t="s">
        <v>60</v>
      </c>
      <c r="T99" s="45" t="s">
        <v>1006</v>
      </c>
      <c r="U99" s="45">
        <v>68.8</v>
      </c>
      <c r="V99" s="45">
        <v>2019.0</v>
      </c>
      <c r="W99" s="45">
        <v>69.0</v>
      </c>
      <c r="X99" s="45">
        <v>2021.0</v>
      </c>
      <c r="Y99" s="45">
        <v>7.5</v>
      </c>
      <c r="Z99" s="45">
        <v>70.0</v>
      </c>
      <c r="AA99" s="45">
        <v>2025.0</v>
      </c>
      <c r="AB99" s="45">
        <f>VLOOKUP(B99,'Analysis data'!$B$1:$F$358,5,false)</f>
        <v>0</v>
      </c>
      <c r="AC99" s="45">
        <v>0.0</v>
      </c>
      <c r="AD99" s="45" t="s">
        <v>3152</v>
      </c>
      <c r="AE99" s="45" t="s">
        <v>3153</v>
      </c>
      <c r="AF99" s="45">
        <v>9.885670578E9</v>
      </c>
      <c r="AG99" s="45">
        <v>7.382339578E9</v>
      </c>
      <c r="AH99" s="45">
        <v>0.0</v>
      </c>
      <c r="AI99" s="45">
        <v>0.0</v>
      </c>
      <c r="AJ99" s="45" t="str">
        <f>VLOOKUP(B99,'Analysis data'!B:K,10,false)</f>
        <v/>
      </c>
      <c r="AK99" s="45" t="s">
        <v>3154</v>
      </c>
      <c r="AL99" s="45" t="s">
        <v>3155</v>
      </c>
      <c r="AM99" s="45">
        <v>7.24</v>
      </c>
      <c r="AN99" s="45">
        <v>7.44</v>
      </c>
      <c r="AO99" s="45">
        <v>7.32</v>
      </c>
      <c r="AP99" s="45">
        <v>0.0</v>
      </c>
      <c r="AQ99" s="45">
        <v>7.4</v>
      </c>
      <c r="AR99" s="45">
        <v>7.51</v>
      </c>
      <c r="AU99" s="45" t="s">
        <v>1011</v>
      </c>
      <c r="AX99" s="45" t="s">
        <v>1012</v>
      </c>
    </row>
    <row r="100">
      <c r="A100" s="45">
        <v>99.0</v>
      </c>
      <c r="B100" s="45" t="s">
        <v>825</v>
      </c>
      <c r="C100" s="45" t="s">
        <v>3156</v>
      </c>
      <c r="D100" s="45" t="s">
        <v>3157</v>
      </c>
      <c r="E100" s="45" t="s">
        <v>826</v>
      </c>
      <c r="F100" s="45" t="str">
        <f>VLOOKUP(B100,'Analysis data'!$B$2:$C$358,2,false)</f>
        <v>E</v>
      </c>
      <c r="G100" s="45" t="str">
        <f>VLOOKUP(B100, 'Analysis data'!$B$2:$I$358, 8, FALSE)</f>
        <v> Management</v>
      </c>
      <c r="H100" s="124" t="s">
        <v>3491</v>
      </c>
      <c r="I100" s="124" t="s">
        <v>3491</v>
      </c>
      <c r="J100" s="119">
        <v>6.20735E11</v>
      </c>
      <c r="K100" s="45">
        <f>VLOOKUP(B100,'Analysis data'!B:E,4,false)</f>
        <v>7.45</v>
      </c>
      <c r="L100" s="45" t="s">
        <v>1003</v>
      </c>
      <c r="M100" s="45" t="s">
        <v>1003</v>
      </c>
      <c r="N100" s="45" t="s">
        <v>1003</v>
      </c>
      <c r="O100" s="45" t="s">
        <v>1404</v>
      </c>
      <c r="P100" s="45">
        <v>0.0</v>
      </c>
      <c r="Q100" s="45">
        <v>0.0</v>
      </c>
      <c r="R100" s="45" t="s">
        <v>3158</v>
      </c>
      <c r="S100" s="45" t="s">
        <v>46</v>
      </c>
      <c r="T100" s="45" t="s">
        <v>1006</v>
      </c>
      <c r="U100" s="45">
        <v>97.0</v>
      </c>
      <c r="V100" s="45">
        <v>2019.0</v>
      </c>
      <c r="W100" s="45">
        <v>74.0</v>
      </c>
      <c r="X100" s="45">
        <v>2021.0</v>
      </c>
      <c r="Y100" s="45">
        <v>7.5</v>
      </c>
      <c r="Z100" s="45">
        <v>70.0</v>
      </c>
      <c r="AA100" s="45">
        <v>2025.0</v>
      </c>
      <c r="AB100" s="45">
        <f>VLOOKUP(B100,'Analysis data'!$B$1:$F$358,5,false)</f>
        <v>0</v>
      </c>
      <c r="AC100" s="45">
        <v>0.0</v>
      </c>
      <c r="AD100" s="45" t="s">
        <v>3159</v>
      </c>
      <c r="AE100" s="45" t="s">
        <v>3160</v>
      </c>
      <c r="AF100" s="45">
        <v>9.347997158E9</v>
      </c>
      <c r="AG100" s="45">
        <v>9.849027083E9</v>
      </c>
      <c r="AH100" s="45">
        <v>0.0</v>
      </c>
      <c r="AI100" s="45">
        <v>0.0</v>
      </c>
      <c r="AJ100" s="45" t="str">
        <f>VLOOKUP(B100,'Analysis data'!B:K,10,false)</f>
        <v/>
      </c>
      <c r="AK100" s="45" t="s">
        <v>3161</v>
      </c>
      <c r="AL100" s="45" t="s">
        <v>3162</v>
      </c>
      <c r="AM100" s="45">
        <v>7.76</v>
      </c>
      <c r="AN100" s="45">
        <v>6.68</v>
      </c>
      <c r="AO100" s="45">
        <v>6.84</v>
      </c>
      <c r="AP100" s="45">
        <v>0.0</v>
      </c>
      <c r="AQ100" s="45">
        <v>7.25</v>
      </c>
      <c r="AR100" s="45">
        <v>7.33</v>
      </c>
      <c r="AU100" s="45" t="s">
        <v>1011</v>
      </c>
      <c r="AX100" s="45" t="s">
        <v>1012</v>
      </c>
    </row>
    <row r="101">
      <c r="A101" s="45">
        <v>100.0</v>
      </c>
      <c r="B101" s="45" t="s">
        <v>827</v>
      </c>
      <c r="C101" s="45" t="s">
        <v>3163</v>
      </c>
      <c r="D101" s="45" t="s">
        <v>3164</v>
      </c>
      <c r="E101" s="45" t="s">
        <v>828</v>
      </c>
      <c r="F101" s="45" t="str">
        <f>VLOOKUP(B101,'Analysis data'!$B$2:$C$358,2,false)</f>
        <v>E</v>
      </c>
      <c r="G101" s="45" t="str">
        <f>VLOOKUP(B101, 'Analysis data'!$B$2:$I$358, 8, FALSE)</f>
        <v> Management</v>
      </c>
      <c r="H101" s="124" t="s">
        <v>3471</v>
      </c>
      <c r="I101" s="124" t="s">
        <v>3491</v>
      </c>
      <c r="J101" s="119">
        <v>7.03389E11</v>
      </c>
      <c r="K101" s="45">
        <f>VLOOKUP(B101,'Analysis data'!B:E,4,false)</f>
        <v>7.99</v>
      </c>
      <c r="L101" s="45">
        <v>6195.0</v>
      </c>
      <c r="M101" s="45">
        <v>7038.0</v>
      </c>
      <c r="N101" s="45" t="s">
        <v>1003</v>
      </c>
      <c r="O101" s="45" t="s">
        <v>3165</v>
      </c>
      <c r="P101" s="45">
        <v>21015.0</v>
      </c>
      <c r="Q101" s="45">
        <v>0.0</v>
      </c>
      <c r="R101" s="45" t="s">
        <v>3166</v>
      </c>
      <c r="S101" s="45" t="s">
        <v>46</v>
      </c>
      <c r="T101" s="45" t="s">
        <v>1006</v>
      </c>
      <c r="U101" s="45">
        <v>87.0</v>
      </c>
      <c r="V101" s="45">
        <v>2019.0</v>
      </c>
      <c r="W101" s="45">
        <v>93.2</v>
      </c>
      <c r="X101" s="45">
        <v>2022.0</v>
      </c>
      <c r="Y101" s="45">
        <v>8.0</v>
      </c>
      <c r="Z101" s="45">
        <v>75.0</v>
      </c>
      <c r="AA101" s="45">
        <v>2025.0</v>
      </c>
      <c r="AB101" s="45">
        <f>VLOOKUP(B101,'Analysis data'!$B$1:$F$358,5,false)</f>
        <v>0</v>
      </c>
      <c r="AC101" s="45">
        <v>0.0</v>
      </c>
      <c r="AD101" s="45" t="s">
        <v>3167</v>
      </c>
      <c r="AE101" s="45" t="s">
        <v>3168</v>
      </c>
      <c r="AF101" s="45">
        <v>7.569970692E9</v>
      </c>
      <c r="AG101" s="45">
        <v>9.849177632E9</v>
      </c>
      <c r="AH101" s="45" t="s">
        <v>90</v>
      </c>
      <c r="AI101" s="45" t="s">
        <v>90</v>
      </c>
      <c r="AJ101" s="45" t="str">
        <f>VLOOKUP(B101,'Analysis data'!B:K,10,false)</f>
        <v>SEOAK &amp; CAPGEMINI-ANALYST</v>
      </c>
      <c r="AK101" s="45" t="s">
        <v>3169</v>
      </c>
      <c r="AL101" s="45" t="s">
        <v>3170</v>
      </c>
      <c r="AM101" s="45">
        <v>7.78</v>
      </c>
      <c r="AN101" s="45">
        <v>7.66</v>
      </c>
      <c r="AO101" s="45">
        <v>7.73</v>
      </c>
      <c r="AP101" s="45">
        <v>0.0</v>
      </c>
      <c r="AQ101" s="45">
        <v>7.85</v>
      </c>
      <c r="AR101" s="45">
        <v>7.91</v>
      </c>
      <c r="AU101" s="45" t="s">
        <v>1011</v>
      </c>
      <c r="AX101" s="45" t="s">
        <v>1012</v>
      </c>
    </row>
    <row r="102">
      <c r="A102" s="45">
        <v>101.0</v>
      </c>
      <c r="B102" s="45" t="s">
        <v>832</v>
      </c>
      <c r="C102" s="45" t="s">
        <v>3178</v>
      </c>
      <c r="D102" s="45" t="s">
        <v>3179</v>
      </c>
      <c r="E102" s="45" t="s">
        <v>833</v>
      </c>
      <c r="F102" s="45" t="str">
        <f>VLOOKUP(B102,'Analysis data'!$B$2:$C$358,2,false)</f>
        <v>E</v>
      </c>
      <c r="G102" s="45" t="str">
        <f>VLOOKUP(B102, 'Analysis data'!$B$2:$I$358, 8, FALSE)</f>
        <v> Convener</v>
      </c>
      <c r="H102" s="124" t="s">
        <v>3491</v>
      </c>
      <c r="I102" s="124" t="s">
        <v>3491</v>
      </c>
      <c r="J102" s="119">
        <v>6.89459E11</v>
      </c>
      <c r="K102" s="45">
        <f>VLOOKUP(B102,'Analysis data'!B:E,4,false)</f>
        <v>7.22</v>
      </c>
      <c r="L102" s="45" t="s">
        <v>1003</v>
      </c>
      <c r="M102" s="45" t="s">
        <v>1003</v>
      </c>
      <c r="N102" s="45" t="s">
        <v>1003</v>
      </c>
      <c r="O102" s="45" t="s">
        <v>2919</v>
      </c>
      <c r="P102" s="45">
        <v>61332.0</v>
      </c>
      <c r="Q102" s="45">
        <v>0.0</v>
      </c>
      <c r="R102" s="45" t="s">
        <v>3180</v>
      </c>
      <c r="S102" s="45" t="s">
        <v>46</v>
      </c>
      <c r="T102" s="45" t="s">
        <v>1006</v>
      </c>
      <c r="U102" s="45">
        <v>90.0</v>
      </c>
      <c r="V102" s="45">
        <v>2019.0</v>
      </c>
      <c r="W102" s="45">
        <v>81.8</v>
      </c>
      <c r="X102" s="45">
        <v>2021.0</v>
      </c>
      <c r="Y102" s="45">
        <v>7.2</v>
      </c>
      <c r="Z102" s="45">
        <v>67.0</v>
      </c>
      <c r="AA102" s="45">
        <v>2025.0</v>
      </c>
      <c r="AB102" s="45">
        <f>VLOOKUP(B102,'Analysis data'!$B$1:$F$358,5,false)</f>
        <v>0</v>
      </c>
      <c r="AC102" s="45">
        <v>0.0</v>
      </c>
      <c r="AD102" s="45" t="s">
        <v>3181</v>
      </c>
      <c r="AE102" s="45" t="s">
        <v>3182</v>
      </c>
      <c r="AF102" s="45">
        <v>8.919035933E9</v>
      </c>
      <c r="AG102" s="45">
        <v>9.676600648E9</v>
      </c>
      <c r="AH102" s="45" t="s">
        <v>440</v>
      </c>
      <c r="AI102" s="45" t="s">
        <v>440</v>
      </c>
      <c r="AJ102" s="45" t="str">
        <f>VLOOKUP(B102,'Analysis data'!B:K,10,false)</f>
        <v>SKILL DUNIYA</v>
      </c>
      <c r="AK102" s="45" t="s">
        <v>3183</v>
      </c>
      <c r="AL102" s="45" t="s">
        <v>3184</v>
      </c>
      <c r="AM102" s="45">
        <v>6.46</v>
      </c>
      <c r="AN102" s="45">
        <v>6.88</v>
      </c>
      <c r="AO102" s="45">
        <v>6.57</v>
      </c>
      <c r="AP102" s="45">
        <v>0.0</v>
      </c>
      <c r="AQ102" s="45">
        <v>6.96</v>
      </c>
      <c r="AR102" s="45">
        <v>7.14</v>
      </c>
      <c r="AU102" s="45" t="s">
        <v>1011</v>
      </c>
      <c r="AX102" s="45" t="s">
        <v>1012</v>
      </c>
    </row>
    <row r="103">
      <c r="A103" s="45">
        <v>102.0</v>
      </c>
      <c r="B103" s="45" t="s">
        <v>849</v>
      </c>
      <c r="C103" s="45" t="s">
        <v>3228</v>
      </c>
      <c r="D103" s="45" t="s">
        <v>3229</v>
      </c>
      <c r="E103" s="45" t="s">
        <v>850</v>
      </c>
      <c r="F103" s="45" t="str">
        <f>VLOOKUP(B103,'Analysis data'!$B$2:$C$358,2,false)</f>
        <v>E</v>
      </c>
      <c r="G103" s="45" t="str">
        <f>VLOOKUP(B103, 'Analysis data'!$B$2:$I$358, 8, FALSE)</f>
        <v> Management</v>
      </c>
      <c r="H103" s="124" t="s">
        <v>3491</v>
      </c>
      <c r="I103" s="124" t="s">
        <v>3491</v>
      </c>
      <c r="J103" s="119">
        <v>4.17183E11</v>
      </c>
      <c r="K103" s="45">
        <f>VLOOKUP(B103,'Analysis data'!B:E,4,false)</f>
        <v>8.15</v>
      </c>
      <c r="L103" s="45">
        <v>2085.0</v>
      </c>
      <c r="M103" s="45" t="s">
        <v>1003</v>
      </c>
      <c r="N103" s="45" t="s">
        <v>1003</v>
      </c>
      <c r="O103" s="45" t="s">
        <v>1236</v>
      </c>
      <c r="P103" s="45">
        <v>115153.0</v>
      </c>
      <c r="Q103" s="45">
        <v>0.0</v>
      </c>
      <c r="R103" s="45" t="s">
        <v>3230</v>
      </c>
      <c r="S103" s="45" t="s">
        <v>60</v>
      </c>
      <c r="T103" s="45" t="s">
        <v>1006</v>
      </c>
      <c r="U103" s="45">
        <v>69.0</v>
      </c>
      <c r="V103" s="45">
        <v>2019.0</v>
      </c>
      <c r="W103" s="45">
        <v>81.0</v>
      </c>
      <c r="X103" s="45">
        <v>2021.0</v>
      </c>
      <c r="Y103" s="45">
        <v>8.2</v>
      </c>
      <c r="Z103" s="45">
        <v>77.0</v>
      </c>
      <c r="AA103" s="45">
        <v>2025.0</v>
      </c>
      <c r="AB103" s="45">
        <f>VLOOKUP(B103,'Analysis data'!$B$1:$F$358,5,false)</f>
        <v>0</v>
      </c>
      <c r="AC103" s="45">
        <v>0.0</v>
      </c>
      <c r="AD103" s="45" t="s">
        <v>3231</v>
      </c>
      <c r="AE103" s="45" t="s">
        <v>3232</v>
      </c>
      <c r="AF103" s="45">
        <v>9.392844788E9</v>
      </c>
      <c r="AG103" s="45">
        <v>7.989970099E9</v>
      </c>
      <c r="AH103" s="45" t="s">
        <v>644</v>
      </c>
      <c r="AI103" s="45" t="s">
        <v>644</v>
      </c>
      <c r="AJ103" s="45" t="str">
        <f>VLOOKUP(B103,'Analysis data'!B:K,10,false)</f>
        <v>VIDYANTH &amp; COGNIZANT-OFF CAMPUS</v>
      </c>
      <c r="AK103" s="45" t="s">
        <v>3233</v>
      </c>
      <c r="AL103" s="45" t="s">
        <v>3234</v>
      </c>
      <c r="AM103" s="45">
        <v>8.41</v>
      </c>
      <c r="AN103" s="45">
        <v>7.95</v>
      </c>
      <c r="AO103" s="45">
        <v>8.0</v>
      </c>
      <c r="AP103" s="45">
        <v>0.0</v>
      </c>
      <c r="AQ103" s="45">
        <v>8.15</v>
      </c>
      <c r="AR103" s="45">
        <v>8.13</v>
      </c>
      <c r="AU103" s="45" t="s">
        <v>1011</v>
      </c>
      <c r="AX103" s="45" t="s">
        <v>1012</v>
      </c>
    </row>
    <row r="104">
      <c r="A104" s="45">
        <v>103.0</v>
      </c>
      <c r="B104" s="45" t="s">
        <v>3259</v>
      </c>
      <c r="C104" s="45" t="s">
        <v>3260</v>
      </c>
      <c r="D104" s="45" t="s">
        <v>1945</v>
      </c>
      <c r="E104" s="45" t="s">
        <v>860</v>
      </c>
      <c r="F104" s="45" t="str">
        <f>VLOOKUP(B104,'Analysis data'!$B$2:$C$358,2,false)</f>
        <v>#N/A</v>
      </c>
      <c r="G104" s="45" t="str">
        <f>VLOOKUP(B104, 'Analysis data'!$B$2:$I$358, 8, FALSE)</f>
        <v>#N/A</v>
      </c>
      <c r="H104" s="124" t="s">
        <v>3491</v>
      </c>
      <c r="I104" s="124" t="s">
        <v>3491</v>
      </c>
      <c r="J104" s="119">
        <v>5.88052E11</v>
      </c>
      <c r="K104" s="45" t="str">
        <f>VLOOKUP(B104,'Analysis data'!B:E,4,false)</f>
        <v>#N/A</v>
      </c>
      <c r="L104" s="45" t="s">
        <v>1003</v>
      </c>
      <c r="M104" s="45" t="s">
        <v>1003</v>
      </c>
      <c r="N104" s="45" t="s">
        <v>1003</v>
      </c>
      <c r="O104" s="45" t="s">
        <v>1031</v>
      </c>
      <c r="P104" s="45">
        <v>20531.0</v>
      </c>
      <c r="Q104" s="45">
        <v>0.0</v>
      </c>
      <c r="R104" s="45" t="s">
        <v>3261</v>
      </c>
      <c r="S104" s="45" t="s">
        <v>46</v>
      </c>
      <c r="T104" s="45" t="s">
        <v>1006</v>
      </c>
      <c r="U104" s="45">
        <v>93.0</v>
      </c>
      <c r="V104" s="45">
        <v>2019.0</v>
      </c>
      <c r="W104" s="45">
        <v>88.0</v>
      </c>
      <c r="X104" s="45">
        <v>2021.0</v>
      </c>
      <c r="Y104" s="45">
        <v>8.0</v>
      </c>
      <c r="Z104" s="45">
        <v>75.0</v>
      </c>
      <c r="AA104" s="45">
        <v>2025.0</v>
      </c>
      <c r="AB104" s="45" t="str">
        <f>VLOOKUP(B104,'Analysis data'!$B$1:$F$358,5,false)</f>
        <v>#N/A</v>
      </c>
      <c r="AC104" s="45">
        <v>0.0</v>
      </c>
      <c r="AD104" s="45" t="s">
        <v>3262</v>
      </c>
      <c r="AE104" s="45" t="s">
        <v>3263</v>
      </c>
      <c r="AF104" s="45">
        <v>8.688257917E9</v>
      </c>
      <c r="AG104" s="45">
        <v>9.866842827E9</v>
      </c>
      <c r="AH104" s="45">
        <v>0.0</v>
      </c>
      <c r="AI104" s="45">
        <v>0.0</v>
      </c>
      <c r="AJ104" s="45" t="str">
        <f>VLOOKUP(B104,'Analysis data'!B:K,10,false)</f>
        <v>#N/A</v>
      </c>
      <c r="AK104" s="45" t="s">
        <v>3264</v>
      </c>
      <c r="AL104" s="45" t="s">
        <v>3265</v>
      </c>
      <c r="AM104" s="45">
        <v>8.11</v>
      </c>
      <c r="AN104" s="45">
        <v>7.83</v>
      </c>
      <c r="AO104" s="45">
        <v>7.93</v>
      </c>
      <c r="AP104" s="45">
        <v>0.0</v>
      </c>
      <c r="AQ104" s="45">
        <v>8.09</v>
      </c>
      <c r="AR104" s="45">
        <v>8.08</v>
      </c>
      <c r="AU104" s="45" t="s">
        <v>1011</v>
      </c>
      <c r="AX104" s="45" t="s">
        <v>1012</v>
      </c>
    </row>
    <row r="105">
      <c r="A105" s="45">
        <v>104.0</v>
      </c>
      <c r="B105" s="45" t="s">
        <v>863</v>
      </c>
      <c r="C105" s="45" t="s">
        <v>3273</v>
      </c>
      <c r="D105" s="45" t="s">
        <v>3274</v>
      </c>
      <c r="E105" s="45" t="s">
        <v>864</v>
      </c>
      <c r="F105" s="45" t="str">
        <f>VLOOKUP(B105,'Analysis data'!$B$2:$C$358,2,false)</f>
        <v>E</v>
      </c>
      <c r="G105" s="45" t="str">
        <f>VLOOKUP(B105, 'Analysis data'!$B$2:$I$358, 8, FALSE)</f>
        <v> Convener</v>
      </c>
      <c r="H105" s="124" t="s">
        <v>3474</v>
      </c>
      <c r="I105" s="124" t="s">
        <v>3491</v>
      </c>
      <c r="J105" s="119">
        <v>9.17167E11</v>
      </c>
      <c r="K105" s="45">
        <f>VLOOKUP(B105,'Analysis data'!B:E,4,false)</f>
        <v>8.97</v>
      </c>
      <c r="L105" s="45">
        <v>1550.0</v>
      </c>
      <c r="M105" s="45" t="s">
        <v>1003</v>
      </c>
      <c r="N105" s="45" t="s">
        <v>1003</v>
      </c>
      <c r="O105" s="45" t="s">
        <v>1047</v>
      </c>
      <c r="P105" s="45">
        <v>8997.0</v>
      </c>
      <c r="Q105" s="45">
        <v>0.0</v>
      </c>
      <c r="R105" s="120">
        <v>37935.0</v>
      </c>
      <c r="S105" s="45" t="s">
        <v>60</v>
      </c>
      <c r="T105" s="45" t="s">
        <v>1006</v>
      </c>
      <c r="U105" s="45">
        <v>95.0</v>
      </c>
      <c r="V105" s="45">
        <v>2019.0</v>
      </c>
      <c r="W105" s="45">
        <v>98.2</v>
      </c>
      <c r="X105" s="45">
        <v>2021.0</v>
      </c>
      <c r="Y105" s="45">
        <v>9.0</v>
      </c>
      <c r="Z105" s="45">
        <v>85.0</v>
      </c>
      <c r="AA105" s="45">
        <v>2025.0</v>
      </c>
      <c r="AB105" s="45">
        <f>VLOOKUP(B105,'Analysis data'!$B$1:$F$358,5,false)</f>
        <v>0</v>
      </c>
      <c r="AC105" s="45">
        <v>0.0</v>
      </c>
      <c r="AD105" s="45" t="s">
        <v>3275</v>
      </c>
      <c r="AE105" s="45" t="s">
        <v>3276</v>
      </c>
      <c r="AF105" s="45">
        <v>9.392737278E9</v>
      </c>
      <c r="AG105" s="45">
        <v>9.849618431E9</v>
      </c>
      <c r="AH105" s="45" t="s">
        <v>271</v>
      </c>
      <c r="AI105" s="45">
        <v>0.0</v>
      </c>
      <c r="AJ105" s="45" t="str">
        <f>VLOOKUP(B105,'Analysis data'!B:K,10,false)</f>
        <v>CORIZO-BDA &amp; ASSET10 SOFTWARE</v>
      </c>
      <c r="AK105" s="45" t="s">
        <v>3277</v>
      </c>
      <c r="AL105" s="45" t="s">
        <v>3278</v>
      </c>
      <c r="AM105" s="45">
        <v>9.19</v>
      </c>
      <c r="AN105" s="45">
        <v>8.63</v>
      </c>
      <c r="AO105" s="45">
        <v>8.55</v>
      </c>
      <c r="AP105" s="45">
        <v>0.0</v>
      </c>
      <c r="AQ105" s="45">
        <v>9.0</v>
      </c>
      <c r="AR105" s="45">
        <v>9.02</v>
      </c>
      <c r="AU105" s="45" t="s">
        <v>1011</v>
      </c>
      <c r="AX105" s="45" t="s">
        <v>1012</v>
      </c>
    </row>
    <row r="106">
      <c r="A106" s="45">
        <v>105.0</v>
      </c>
      <c r="B106" s="45" t="s">
        <v>866</v>
      </c>
      <c r="C106" s="45" t="s">
        <v>3279</v>
      </c>
      <c r="D106" s="45" t="s">
        <v>2468</v>
      </c>
      <c r="E106" s="45" t="s">
        <v>867</v>
      </c>
      <c r="F106" s="45" t="str">
        <f>VLOOKUP(B106,'Analysis data'!$B$2:$C$358,2,false)</f>
        <v>E</v>
      </c>
      <c r="G106" s="45" t="str">
        <f>VLOOKUP(B106, 'Analysis data'!$B$2:$I$358, 8, FALSE)</f>
        <v> Convener</v>
      </c>
      <c r="H106" s="124" t="s">
        <v>3491</v>
      </c>
      <c r="I106" s="124" t="s">
        <v>3491</v>
      </c>
      <c r="J106" s="119">
        <v>2.53654E11</v>
      </c>
      <c r="K106" s="45" t="str">
        <f>VLOOKUP(B106,'Analysis data'!B:E,4,false)</f>
        <v/>
      </c>
      <c r="L106" s="45">
        <v>992.0</v>
      </c>
      <c r="M106" s="45" t="s">
        <v>1003</v>
      </c>
      <c r="N106" s="45" t="s">
        <v>1003</v>
      </c>
      <c r="O106" s="45" t="s">
        <v>2018</v>
      </c>
      <c r="P106" s="45">
        <v>0.0</v>
      </c>
      <c r="Q106" s="45">
        <v>0.0</v>
      </c>
      <c r="R106" s="121">
        <v>38057.0</v>
      </c>
      <c r="S106" s="45" t="s">
        <v>46</v>
      </c>
      <c r="T106" s="45" t="s">
        <v>1006</v>
      </c>
      <c r="U106" s="45">
        <v>90.0</v>
      </c>
      <c r="V106" s="45">
        <v>2019.0</v>
      </c>
      <c r="W106" s="45">
        <v>61.0</v>
      </c>
      <c r="X106" s="45">
        <v>2021.0</v>
      </c>
      <c r="Y106" s="45">
        <v>0.0</v>
      </c>
      <c r="Z106" s="45">
        <v>-5.0</v>
      </c>
      <c r="AA106" s="45">
        <v>2025.0</v>
      </c>
      <c r="AB106" s="45">
        <f>VLOOKUP(B106,'Analysis data'!$B$1:$F$358,5,false)</f>
        <v>1</v>
      </c>
      <c r="AC106" s="45">
        <v>1.0</v>
      </c>
      <c r="AD106" s="45" t="s">
        <v>3280</v>
      </c>
      <c r="AE106" s="45" t="s">
        <v>3281</v>
      </c>
      <c r="AF106" s="45">
        <v>7.330703108E9</v>
      </c>
      <c r="AG106" s="45">
        <v>9.985666685E9</v>
      </c>
      <c r="AH106" s="45">
        <v>0.0</v>
      </c>
      <c r="AI106" s="45">
        <v>0.0</v>
      </c>
      <c r="AJ106" s="45" t="str">
        <f>VLOOKUP(B106,'Analysis data'!B:K,10,false)</f>
        <v/>
      </c>
      <c r="AK106" s="45" t="s">
        <v>3282</v>
      </c>
      <c r="AL106" s="45" t="s">
        <v>3283</v>
      </c>
      <c r="AM106" s="45">
        <v>7.14</v>
      </c>
      <c r="AN106" s="45">
        <v>0.0</v>
      </c>
      <c r="AO106" s="45">
        <v>0.0</v>
      </c>
      <c r="AP106" s="45">
        <v>0.0</v>
      </c>
      <c r="AQ106" s="45">
        <v>6.63</v>
      </c>
      <c r="AR106" s="45">
        <v>0.0</v>
      </c>
      <c r="AU106" s="45" t="s">
        <v>1011</v>
      </c>
      <c r="AX106" s="45" t="s">
        <v>1012</v>
      </c>
    </row>
    <row r="107">
      <c r="A107" s="45">
        <v>106.0</v>
      </c>
      <c r="B107" s="45" t="s">
        <v>885</v>
      </c>
      <c r="C107" s="45" t="s">
        <v>3318</v>
      </c>
      <c r="D107" s="45" t="s">
        <v>3319</v>
      </c>
      <c r="E107" s="45" t="s">
        <v>886</v>
      </c>
      <c r="F107" s="45" t="str">
        <f>VLOOKUP(B107,'Analysis data'!$B$2:$C$358,2,false)</f>
        <v>E</v>
      </c>
      <c r="G107" s="45" t="str">
        <f>VLOOKUP(B107, 'Analysis data'!$B$2:$I$358, 8, FALSE)</f>
        <v> Convener</v>
      </c>
      <c r="H107" s="124" t="s">
        <v>3491</v>
      </c>
      <c r="I107" s="126" t="s">
        <v>3492</v>
      </c>
      <c r="J107" s="119">
        <v>3.94651E11</v>
      </c>
      <c r="K107" s="45">
        <f>VLOOKUP(B107,'Analysis data'!B:E,4,false)</f>
        <v>8.38</v>
      </c>
      <c r="L107" s="45">
        <v>2280.0</v>
      </c>
      <c r="M107" s="45" t="s">
        <v>1003</v>
      </c>
      <c r="N107" s="45" t="s">
        <v>1003</v>
      </c>
      <c r="O107" s="45" t="s">
        <v>3320</v>
      </c>
      <c r="P107" s="45">
        <v>0.0</v>
      </c>
      <c r="Q107" s="45">
        <v>0.0</v>
      </c>
      <c r="R107" s="121">
        <v>38085.0</v>
      </c>
      <c r="S107" s="45" t="s">
        <v>60</v>
      </c>
      <c r="T107" s="45" t="s">
        <v>1006</v>
      </c>
      <c r="U107" s="45">
        <v>93.0</v>
      </c>
      <c r="V107" s="45">
        <v>2019.0</v>
      </c>
      <c r="W107" s="45">
        <v>86.8</v>
      </c>
      <c r="X107" s="45">
        <v>2021.0</v>
      </c>
      <c r="Y107" s="45">
        <v>8.4</v>
      </c>
      <c r="Z107" s="45">
        <v>79.0</v>
      </c>
      <c r="AA107" s="45">
        <v>2025.0</v>
      </c>
      <c r="AB107" s="45">
        <f>VLOOKUP(B107,'Analysis data'!$B$1:$F$358,5,false)</f>
        <v>0</v>
      </c>
      <c r="AC107" s="45">
        <v>0.0</v>
      </c>
      <c r="AD107" s="45" t="s">
        <v>3321</v>
      </c>
      <c r="AE107" s="45" t="s">
        <v>3322</v>
      </c>
      <c r="AF107" s="45">
        <v>8.520815292E9</v>
      </c>
      <c r="AG107" s="45">
        <v>8.555024986E9</v>
      </c>
      <c r="AH107" s="45">
        <v>0.0</v>
      </c>
      <c r="AI107" s="45">
        <v>0.0</v>
      </c>
      <c r="AJ107" s="45" t="str">
        <f>VLOOKUP(B107,'Analysis data'!B:K,10,false)</f>
        <v/>
      </c>
      <c r="AK107" s="45" t="s">
        <v>3323</v>
      </c>
      <c r="AL107" s="45" t="s">
        <v>3324</v>
      </c>
      <c r="AM107" s="45">
        <v>7.81</v>
      </c>
      <c r="AN107" s="45">
        <v>8.41</v>
      </c>
      <c r="AO107" s="45">
        <v>7.84</v>
      </c>
      <c r="AP107" s="45">
        <v>0.0</v>
      </c>
      <c r="AQ107" s="45">
        <v>8.32</v>
      </c>
      <c r="AR107" s="45">
        <v>8.4</v>
      </c>
      <c r="AU107" s="45" t="s">
        <v>1011</v>
      </c>
      <c r="AX107" s="45" t="s">
        <v>1012</v>
      </c>
    </row>
    <row r="108">
      <c r="A108" s="45">
        <v>107.0</v>
      </c>
      <c r="B108" s="45" t="s">
        <v>905</v>
      </c>
      <c r="C108" s="45" t="s">
        <v>3376</v>
      </c>
      <c r="D108" s="45" t="s">
        <v>3383</v>
      </c>
      <c r="E108" s="45" t="s">
        <v>906</v>
      </c>
      <c r="F108" s="45" t="str">
        <f>VLOOKUP(B108,'Analysis data'!$B$2:$C$358,2,false)</f>
        <v>E</v>
      </c>
      <c r="G108" s="45" t="str">
        <f>VLOOKUP(B108, 'Analysis data'!$B$2:$I$358, 8, FALSE)</f>
        <v> Convener</v>
      </c>
      <c r="H108" s="124" t="s">
        <v>3471</v>
      </c>
      <c r="I108" s="126" t="s">
        <v>3492</v>
      </c>
      <c r="J108" s="119">
        <v>9.95719E11</v>
      </c>
      <c r="K108" s="45">
        <f>VLOOKUP(B108,'Analysis data'!B:E,4,false)</f>
        <v>8.49</v>
      </c>
      <c r="L108" s="45">
        <v>5757.0</v>
      </c>
      <c r="M108" s="45">
        <v>8659.0</v>
      </c>
      <c r="N108" s="45" t="s">
        <v>1003</v>
      </c>
      <c r="O108" s="45" t="s">
        <v>3384</v>
      </c>
      <c r="P108" s="45">
        <v>0.0</v>
      </c>
      <c r="Q108" s="45">
        <v>0.0</v>
      </c>
      <c r="R108" s="45" t="s">
        <v>2237</v>
      </c>
      <c r="S108" s="45" t="s">
        <v>46</v>
      </c>
      <c r="T108" s="45" t="s">
        <v>1006</v>
      </c>
      <c r="U108" s="45">
        <v>93.0</v>
      </c>
      <c r="V108" s="45">
        <v>2019.0</v>
      </c>
      <c r="W108" s="45">
        <v>86.6</v>
      </c>
      <c r="X108" s="45">
        <v>2021.0</v>
      </c>
      <c r="Y108" s="45">
        <v>8.5</v>
      </c>
      <c r="Z108" s="45">
        <v>80.0</v>
      </c>
      <c r="AA108" s="45">
        <v>2025.0</v>
      </c>
      <c r="AB108" s="45">
        <f>VLOOKUP(B108,'Analysis data'!$B$1:$F$358,5,false)</f>
        <v>0</v>
      </c>
      <c r="AC108" s="45">
        <v>0.0</v>
      </c>
      <c r="AD108" s="45" t="s">
        <v>3385</v>
      </c>
      <c r="AE108" s="45" t="s">
        <v>3386</v>
      </c>
      <c r="AF108" s="45">
        <v>9.949073318E9</v>
      </c>
      <c r="AG108" s="45">
        <v>9.849311292E9</v>
      </c>
      <c r="AH108" s="45">
        <v>0.0</v>
      </c>
      <c r="AI108" s="45">
        <v>0.0</v>
      </c>
      <c r="AJ108" s="45" t="str">
        <f>VLOOKUP(B108,'Analysis data'!B:K,10,false)</f>
        <v/>
      </c>
      <c r="AK108" s="45" t="s">
        <v>3387</v>
      </c>
      <c r="AL108" s="45" t="s">
        <v>3388</v>
      </c>
      <c r="AM108" s="45">
        <v>8.22</v>
      </c>
      <c r="AN108" s="45">
        <v>7.8</v>
      </c>
      <c r="AO108" s="45">
        <v>8.34</v>
      </c>
      <c r="AP108" s="45">
        <v>0.0</v>
      </c>
      <c r="AQ108" s="45">
        <v>8.35</v>
      </c>
      <c r="AR108" s="45">
        <v>8.39</v>
      </c>
      <c r="AU108" s="45" t="s">
        <v>1011</v>
      </c>
      <c r="AX108" s="45" t="s">
        <v>1028</v>
      </c>
    </row>
    <row r="109">
      <c r="A109" s="45">
        <v>108.0</v>
      </c>
      <c r="B109" s="45" t="s">
        <v>911</v>
      </c>
      <c r="C109" s="45" t="s">
        <v>3400</v>
      </c>
      <c r="D109" s="45" t="s">
        <v>3401</v>
      </c>
      <c r="E109" s="45" t="s">
        <v>912</v>
      </c>
      <c r="F109" s="45" t="str">
        <f>VLOOKUP(B109,'Analysis data'!$B$2:$C$358,2,false)</f>
        <v>E</v>
      </c>
      <c r="G109" s="45" t="str">
        <f>VLOOKUP(B109, 'Analysis data'!$B$2:$I$358, 8, FALSE)</f>
        <v> Convener</v>
      </c>
      <c r="H109" s="124" t="s">
        <v>3491</v>
      </c>
      <c r="I109" s="126" t="s">
        <v>3492</v>
      </c>
      <c r="J109" s="119">
        <v>2.18029E11</v>
      </c>
      <c r="K109" s="45">
        <f>VLOOKUP(B109,'Analysis data'!B:E,4,false)</f>
        <v>7.51</v>
      </c>
      <c r="L109" s="45" t="s">
        <v>1003</v>
      </c>
      <c r="M109" s="45" t="s">
        <v>1003</v>
      </c>
      <c r="N109" s="45" t="s">
        <v>1003</v>
      </c>
      <c r="O109" s="45" t="s">
        <v>2372</v>
      </c>
      <c r="P109" s="45">
        <v>0.0</v>
      </c>
      <c r="Q109" s="45">
        <v>0.0</v>
      </c>
      <c r="R109" s="45" t="s">
        <v>3402</v>
      </c>
      <c r="S109" s="45" t="s">
        <v>46</v>
      </c>
      <c r="T109" s="45" t="s">
        <v>1006</v>
      </c>
      <c r="U109" s="45">
        <v>84.0</v>
      </c>
      <c r="V109" s="45">
        <v>2019.0</v>
      </c>
      <c r="W109" s="45">
        <v>93.0</v>
      </c>
      <c r="X109" s="45">
        <v>2021.0</v>
      </c>
      <c r="Y109" s="45">
        <v>7.5</v>
      </c>
      <c r="Z109" s="45">
        <v>70.0</v>
      </c>
      <c r="AA109" s="45">
        <v>2025.0</v>
      </c>
      <c r="AB109" s="45">
        <f>VLOOKUP(B109,'Analysis data'!$B$1:$F$358,5,false)</f>
        <v>0</v>
      </c>
      <c r="AC109" s="45">
        <v>0.0</v>
      </c>
      <c r="AD109" s="45" t="s">
        <v>3403</v>
      </c>
      <c r="AE109" s="45" t="s">
        <v>3404</v>
      </c>
      <c r="AF109" s="45">
        <v>8.328072299E9</v>
      </c>
      <c r="AG109" s="45">
        <v>9.440024397E9</v>
      </c>
      <c r="AH109" s="45" t="s">
        <v>440</v>
      </c>
      <c r="AI109" s="45" t="s">
        <v>440</v>
      </c>
      <c r="AJ109" s="45" t="str">
        <f>VLOOKUP(B109,'Analysis data'!B:K,10,false)</f>
        <v>SKILL DUNIYA</v>
      </c>
      <c r="AK109" s="45" t="s">
        <v>3405</v>
      </c>
      <c r="AL109" s="45" t="s">
        <v>3406</v>
      </c>
      <c r="AM109" s="45">
        <v>6.86</v>
      </c>
      <c r="AN109" s="45">
        <v>7.05</v>
      </c>
      <c r="AO109" s="45">
        <v>7.39</v>
      </c>
      <c r="AP109" s="45">
        <v>0.0</v>
      </c>
      <c r="AQ109" s="45">
        <v>7.42</v>
      </c>
      <c r="AR109" s="45">
        <v>7.5</v>
      </c>
      <c r="AU109" s="45" t="s">
        <v>1011</v>
      </c>
      <c r="AX109" s="45" t="s">
        <v>1028</v>
      </c>
    </row>
    <row r="110">
      <c r="A110" s="45">
        <v>109.0</v>
      </c>
      <c r="B110" s="45" t="s">
        <v>913</v>
      </c>
      <c r="C110" s="45" t="s">
        <v>3407</v>
      </c>
      <c r="D110" s="45" t="s">
        <v>3408</v>
      </c>
      <c r="E110" s="45" t="s">
        <v>914</v>
      </c>
      <c r="F110" s="45" t="str">
        <f>VLOOKUP(B110,'Analysis data'!$B$2:$C$358,2,false)</f>
        <v>E</v>
      </c>
      <c r="G110" s="45" t="str">
        <f>VLOOKUP(B110, 'Analysis data'!$B$2:$I$358, 8, FALSE)</f>
        <v> Convener</v>
      </c>
      <c r="H110" s="124" t="s">
        <v>3491</v>
      </c>
      <c r="I110" s="126" t="s">
        <v>3492</v>
      </c>
      <c r="J110" s="119">
        <v>2.38324E11</v>
      </c>
      <c r="K110" s="45">
        <f>VLOOKUP(B110,'Analysis data'!B:E,4,false)</f>
        <v>8.1</v>
      </c>
      <c r="L110" s="45">
        <v>3617.0</v>
      </c>
      <c r="M110" s="45" t="s">
        <v>1003</v>
      </c>
      <c r="N110" s="45" t="s">
        <v>1003</v>
      </c>
      <c r="O110" s="45" t="s">
        <v>3208</v>
      </c>
      <c r="P110" s="45">
        <v>14264.0</v>
      </c>
      <c r="Q110" s="45">
        <v>0.0</v>
      </c>
      <c r="R110" s="121">
        <v>38150.0</v>
      </c>
      <c r="S110" s="45" t="s">
        <v>60</v>
      </c>
      <c r="T110" s="45" t="s">
        <v>1006</v>
      </c>
      <c r="U110" s="45">
        <v>92.0</v>
      </c>
      <c r="V110" s="45">
        <v>2019.0</v>
      </c>
      <c r="W110" s="45">
        <v>92.8</v>
      </c>
      <c r="X110" s="45">
        <v>2021.0</v>
      </c>
      <c r="Y110" s="45">
        <v>8.1</v>
      </c>
      <c r="Z110" s="45">
        <v>76.0</v>
      </c>
      <c r="AA110" s="45">
        <v>2025.0</v>
      </c>
      <c r="AB110" s="45">
        <f>VLOOKUP(B110,'Analysis data'!$B$1:$F$358,5,false)</f>
        <v>0</v>
      </c>
      <c r="AC110" s="45">
        <v>0.0</v>
      </c>
      <c r="AD110" s="45" t="s">
        <v>3409</v>
      </c>
      <c r="AE110" s="45" t="s">
        <v>3410</v>
      </c>
      <c r="AF110" s="45">
        <v>7.416353744E9</v>
      </c>
      <c r="AG110" s="45">
        <v>9.849612502E9</v>
      </c>
      <c r="AH110" s="45" t="s">
        <v>915</v>
      </c>
      <c r="AI110" s="45" t="s">
        <v>90</v>
      </c>
      <c r="AJ110" s="45" t="str">
        <f>VLOOKUP(B110,'Analysis data'!B:K,10,false)</f>
        <v>Accenture ASE &amp; SEOAK</v>
      </c>
      <c r="AK110" s="45" t="s">
        <v>3411</v>
      </c>
      <c r="AL110" s="45" t="s">
        <v>3412</v>
      </c>
      <c r="AM110" s="45">
        <v>8.35</v>
      </c>
      <c r="AN110" s="45">
        <v>7.71</v>
      </c>
      <c r="AO110" s="45">
        <v>7.8</v>
      </c>
      <c r="AP110" s="45">
        <v>0.0</v>
      </c>
      <c r="AQ110" s="45">
        <v>8.04</v>
      </c>
      <c r="AR110" s="45">
        <v>8.09</v>
      </c>
      <c r="AU110" s="45" t="s">
        <v>1011</v>
      </c>
      <c r="AX110" s="45" t="s">
        <v>1012</v>
      </c>
    </row>
    <row r="111">
      <c r="A111" s="45">
        <v>110.0</v>
      </c>
      <c r="B111" s="45" t="s">
        <v>916</v>
      </c>
      <c r="C111" s="45" t="s">
        <v>3413</v>
      </c>
      <c r="D111" s="45" t="s">
        <v>3414</v>
      </c>
      <c r="E111" s="45" t="s">
        <v>917</v>
      </c>
      <c r="F111" s="45" t="str">
        <f>VLOOKUP(B111,'Analysis data'!$B$2:$C$358,2,false)</f>
        <v>E</v>
      </c>
      <c r="G111" s="45" t="str">
        <f>VLOOKUP(B111, 'Analysis data'!$B$2:$I$358, 8, FALSE)</f>
        <v> Convener</v>
      </c>
      <c r="H111" s="124" t="s">
        <v>3476</v>
      </c>
      <c r="I111" s="126" t="s">
        <v>3492</v>
      </c>
      <c r="J111" s="119">
        <v>9.53228E11</v>
      </c>
      <c r="K111" s="45">
        <f>VLOOKUP(B111,'Analysis data'!B:E,4,false)</f>
        <v>8.04</v>
      </c>
      <c r="L111" s="45">
        <v>1220.0</v>
      </c>
      <c r="M111" s="45" t="s">
        <v>1003</v>
      </c>
      <c r="N111" s="45" t="s">
        <v>1003</v>
      </c>
      <c r="O111" s="45" t="s">
        <v>1341</v>
      </c>
      <c r="P111" s="45">
        <v>16317.0</v>
      </c>
      <c r="Q111" s="45">
        <v>0.0</v>
      </c>
      <c r="R111" s="45" t="s">
        <v>1326</v>
      </c>
      <c r="S111" s="45" t="s">
        <v>60</v>
      </c>
      <c r="T111" s="45" t="s">
        <v>1006</v>
      </c>
      <c r="U111" s="45">
        <v>79.0</v>
      </c>
      <c r="V111" s="45">
        <v>2019.0</v>
      </c>
      <c r="W111" s="45">
        <v>83.0</v>
      </c>
      <c r="X111" s="45">
        <v>2021.0</v>
      </c>
      <c r="Y111" s="45">
        <v>8.0</v>
      </c>
      <c r="Z111" s="45">
        <v>75.0</v>
      </c>
      <c r="AA111" s="45">
        <v>2025.0</v>
      </c>
      <c r="AB111" s="45">
        <f>VLOOKUP(B111,'Analysis data'!$B$1:$F$358,5,false)</f>
        <v>0</v>
      </c>
      <c r="AC111" s="45">
        <v>0.0</v>
      </c>
      <c r="AD111" s="45" t="s">
        <v>3415</v>
      </c>
      <c r="AE111" s="45" t="s">
        <v>3416</v>
      </c>
      <c r="AF111" s="45">
        <v>9.963125106E9</v>
      </c>
      <c r="AG111" s="45">
        <v>8.106533806E9</v>
      </c>
      <c r="AH111" s="45">
        <v>0.0</v>
      </c>
      <c r="AI111" s="45">
        <v>0.0</v>
      </c>
      <c r="AJ111" s="45" t="str">
        <f>VLOOKUP(B111,'Analysis data'!B:K,10,false)</f>
        <v>ZENSAR</v>
      </c>
      <c r="AK111" s="45" t="s">
        <v>3417</v>
      </c>
      <c r="AL111" s="45" t="s">
        <v>3418</v>
      </c>
      <c r="AM111" s="45">
        <v>7.76</v>
      </c>
      <c r="AN111" s="45">
        <v>7.54</v>
      </c>
      <c r="AO111" s="45">
        <v>8.27</v>
      </c>
      <c r="AP111" s="45">
        <v>0.0</v>
      </c>
      <c r="AQ111" s="45">
        <v>7.93</v>
      </c>
      <c r="AR111" s="45">
        <v>8.01</v>
      </c>
      <c r="AU111" s="45" t="s">
        <v>1011</v>
      </c>
      <c r="AX111" s="45" t="s">
        <v>1012</v>
      </c>
    </row>
    <row r="112">
      <c r="A112" s="45">
        <v>111.0</v>
      </c>
      <c r="B112" s="45" t="s">
        <v>921</v>
      </c>
      <c r="C112" s="45" t="s">
        <v>3425</v>
      </c>
      <c r="D112" s="45" t="s">
        <v>3426</v>
      </c>
      <c r="E112" s="45" t="s">
        <v>922</v>
      </c>
      <c r="F112" s="45" t="str">
        <f>VLOOKUP(B112,'Analysis data'!$B$2:$C$358,2,false)</f>
        <v>E</v>
      </c>
      <c r="G112" s="45" t="str">
        <f>VLOOKUP(B112, 'Analysis data'!$B$2:$I$358, 8, FALSE)</f>
        <v> Convener</v>
      </c>
      <c r="H112" s="124" t="s">
        <v>3491</v>
      </c>
      <c r="I112" s="125" t="s">
        <v>3491</v>
      </c>
      <c r="J112" s="119">
        <v>7.94553E11</v>
      </c>
      <c r="K112" s="45">
        <f>VLOOKUP(B112,'Analysis data'!B:E,4,false)</f>
        <v>7.55</v>
      </c>
      <c r="L112" s="45" t="s">
        <v>1003</v>
      </c>
      <c r="M112" s="45" t="s">
        <v>1003</v>
      </c>
      <c r="N112" s="45" t="s">
        <v>1003</v>
      </c>
      <c r="O112" s="45" t="s">
        <v>1123</v>
      </c>
      <c r="P112" s="45">
        <v>0.0</v>
      </c>
      <c r="Q112" s="45">
        <v>948.0</v>
      </c>
      <c r="R112" s="45" t="s">
        <v>3427</v>
      </c>
      <c r="S112" s="45" t="s">
        <v>46</v>
      </c>
      <c r="T112" s="45" t="s">
        <v>1006</v>
      </c>
      <c r="U112" s="45">
        <v>90.0</v>
      </c>
      <c r="V112" s="45">
        <v>2019.0</v>
      </c>
      <c r="W112" s="45">
        <v>79.0</v>
      </c>
      <c r="X112" s="45">
        <v>2022.0</v>
      </c>
      <c r="Y112" s="45">
        <v>7.6</v>
      </c>
      <c r="Z112" s="45">
        <v>71.0</v>
      </c>
      <c r="AA112" s="45">
        <v>2025.0</v>
      </c>
      <c r="AB112" s="45">
        <f>VLOOKUP(B112,'Analysis data'!$B$1:$F$358,5,false)</f>
        <v>0</v>
      </c>
      <c r="AC112" s="45">
        <v>0.0</v>
      </c>
      <c r="AD112" s="45" t="s">
        <v>3428</v>
      </c>
      <c r="AE112" s="45" t="s">
        <v>3429</v>
      </c>
      <c r="AF112" s="45">
        <v>8.106051202E9</v>
      </c>
      <c r="AG112" s="45">
        <v>9.704314946E9</v>
      </c>
      <c r="AH112" s="45">
        <v>0.0</v>
      </c>
      <c r="AI112" s="45">
        <v>0.0</v>
      </c>
      <c r="AJ112" s="45" t="str">
        <f>VLOOKUP(B112,'Analysis data'!B:K,10,false)</f>
        <v/>
      </c>
      <c r="AK112" s="45" t="s">
        <v>3430</v>
      </c>
      <c r="AL112" s="45" t="s">
        <v>3431</v>
      </c>
      <c r="AM112" s="45">
        <v>0.0</v>
      </c>
      <c r="AN112" s="45">
        <v>0.0</v>
      </c>
      <c r="AO112" s="45">
        <v>6.84</v>
      </c>
      <c r="AP112" s="45">
        <v>0.0</v>
      </c>
      <c r="AQ112" s="45">
        <v>7.32</v>
      </c>
      <c r="AR112" s="45">
        <v>7.47</v>
      </c>
      <c r="AU112" s="45" t="s">
        <v>1011</v>
      </c>
      <c r="AX112" s="45" t="s">
        <v>1012</v>
      </c>
    </row>
    <row r="113">
      <c r="A113" s="45">
        <v>112.0</v>
      </c>
      <c r="B113" s="45" t="s">
        <v>923</v>
      </c>
      <c r="C113" s="45" t="s">
        <v>2826</v>
      </c>
      <c r="D113" s="45" t="s">
        <v>3432</v>
      </c>
      <c r="E113" s="45" t="s">
        <v>924</v>
      </c>
      <c r="F113" s="45" t="str">
        <f>VLOOKUP(B113,'Analysis data'!$B$2:$C$358,2,false)</f>
        <v>E</v>
      </c>
      <c r="G113" s="45" t="str">
        <f>VLOOKUP(B113, 'Analysis data'!$B$2:$I$358, 8, FALSE)</f>
        <v> Convener</v>
      </c>
      <c r="H113" s="124" t="s">
        <v>3476</v>
      </c>
      <c r="I113" s="125" t="s">
        <v>3491</v>
      </c>
      <c r="J113" s="119">
        <v>6.80715E11</v>
      </c>
      <c r="K113" s="45">
        <f>VLOOKUP(B113,'Analysis data'!B:E,4,false)</f>
        <v>7.92</v>
      </c>
      <c r="L113" s="45" t="s">
        <v>1003</v>
      </c>
      <c r="M113" s="45" t="s">
        <v>1003</v>
      </c>
      <c r="N113" s="45" t="s">
        <v>1003</v>
      </c>
      <c r="O113" s="45" t="s">
        <v>1031</v>
      </c>
      <c r="P113" s="45">
        <v>0.0</v>
      </c>
      <c r="Q113" s="45">
        <v>935.0</v>
      </c>
      <c r="R113" s="121">
        <v>37957.0</v>
      </c>
      <c r="S113" s="45" t="s">
        <v>46</v>
      </c>
      <c r="T113" s="45" t="s">
        <v>1006</v>
      </c>
      <c r="U113" s="45">
        <v>92.0</v>
      </c>
      <c r="V113" s="45">
        <v>2019.0</v>
      </c>
      <c r="W113" s="45">
        <v>75.33</v>
      </c>
      <c r="X113" s="45">
        <v>2022.0</v>
      </c>
      <c r="Y113" s="45">
        <v>7.9</v>
      </c>
      <c r="Z113" s="45">
        <v>74.0</v>
      </c>
      <c r="AA113" s="45">
        <v>2025.0</v>
      </c>
      <c r="AB113" s="45">
        <f>VLOOKUP(B113,'Analysis data'!$B$1:$F$358,5,false)</f>
        <v>0</v>
      </c>
      <c r="AC113" s="45">
        <v>0.0</v>
      </c>
      <c r="AD113" s="45" t="s">
        <v>3433</v>
      </c>
      <c r="AE113" s="45" t="s">
        <v>3434</v>
      </c>
      <c r="AF113" s="45">
        <v>6.304384732E9</v>
      </c>
      <c r="AG113" s="45">
        <v>9.948991968E9</v>
      </c>
      <c r="AH113" s="45" t="s">
        <v>90</v>
      </c>
      <c r="AI113" s="45" t="s">
        <v>90</v>
      </c>
      <c r="AJ113" s="45" t="str">
        <f>VLOOKUP(B113,'Analysis data'!B:K,10,false)</f>
        <v>SEOAK</v>
      </c>
      <c r="AK113" s="45" t="s">
        <v>3435</v>
      </c>
      <c r="AL113" s="45" t="s">
        <v>3436</v>
      </c>
      <c r="AM113" s="45">
        <v>0.0</v>
      </c>
      <c r="AN113" s="45">
        <v>0.0</v>
      </c>
      <c r="AO113" s="45">
        <v>7.73</v>
      </c>
      <c r="AP113" s="45">
        <v>0.0</v>
      </c>
      <c r="AQ113" s="45">
        <v>7.87</v>
      </c>
      <c r="AR113" s="45">
        <v>7.92</v>
      </c>
      <c r="AU113" s="45" t="s">
        <v>1011</v>
      </c>
      <c r="AX113" s="45" t="s">
        <v>1012</v>
      </c>
    </row>
    <row r="114">
      <c r="A114" s="45">
        <v>113.0</v>
      </c>
      <c r="B114" s="45" t="s">
        <v>925</v>
      </c>
      <c r="C114" s="45" t="s">
        <v>3437</v>
      </c>
      <c r="D114" s="45" t="s">
        <v>1389</v>
      </c>
      <c r="E114" s="45" t="s">
        <v>926</v>
      </c>
      <c r="F114" s="45" t="str">
        <f>VLOOKUP(B114,'Analysis data'!$B$2:$C$358,2,false)</f>
        <v>E</v>
      </c>
      <c r="G114" s="45" t="str">
        <f>VLOOKUP(B114, 'Analysis data'!$B$2:$I$358, 8, FALSE)</f>
        <v> Convener</v>
      </c>
      <c r="H114" s="124" t="s">
        <v>3491</v>
      </c>
      <c r="I114" s="125" t="s">
        <v>3491</v>
      </c>
      <c r="J114" s="119">
        <v>7.43861E11</v>
      </c>
      <c r="K114" s="45">
        <f>VLOOKUP(B114,'Analysis data'!B:E,4,false)</f>
        <v>7.6</v>
      </c>
      <c r="L114" s="45" t="s">
        <v>1003</v>
      </c>
      <c r="M114" s="45" t="s">
        <v>1003</v>
      </c>
      <c r="N114" s="45" t="s">
        <v>1003</v>
      </c>
      <c r="O114" s="45" t="s">
        <v>3438</v>
      </c>
      <c r="P114" s="45">
        <v>0.0</v>
      </c>
      <c r="Q114" s="45">
        <v>921.0</v>
      </c>
      <c r="R114" s="45" t="s">
        <v>1823</v>
      </c>
      <c r="S114" s="45" t="s">
        <v>60</v>
      </c>
      <c r="T114" s="45" t="s">
        <v>1006</v>
      </c>
      <c r="U114" s="45">
        <v>93.0</v>
      </c>
      <c r="V114" s="45">
        <v>2019.0</v>
      </c>
      <c r="W114" s="45">
        <v>84.0</v>
      </c>
      <c r="X114" s="45">
        <v>2022.0</v>
      </c>
      <c r="Y114" s="45">
        <v>7.6</v>
      </c>
      <c r="Z114" s="45">
        <v>71.0</v>
      </c>
      <c r="AA114" s="45">
        <v>2025.0</v>
      </c>
      <c r="AB114" s="45">
        <f>VLOOKUP(B114,'Analysis data'!$B$1:$F$358,5,false)</f>
        <v>0</v>
      </c>
      <c r="AC114" s="45">
        <v>0.0</v>
      </c>
      <c r="AD114" s="45" t="s">
        <v>3439</v>
      </c>
      <c r="AE114" s="45" t="s">
        <v>3440</v>
      </c>
      <c r="AF114" s="45">
        <v>8.555070543E9</v>
      </c>
      <c r="AG114" s="45">
        <v>9.9082827E9</v>
      </c>
      <c r="AH114" s="45">
        <v>0.0</v>
      </c>
      <c r="AI114" s="45">
        <v>0.0</v>
      </c>
      <c r="AJ114" s="45" t="str">
        <f>VLOOKUP(B114,'Analysis data'!B:K,10,false)</f>
        <v/>
      </c>
      <c r="AK114" s="45" t="s">
        <v>3441</v>
      </c>
      <c r="AL114" s="45" t="s">
        <v>3442</v>
      </c>
      <c r="AM114" s="45">
        <v>0.0</v>
      </c>
      <c r="AN114" s="45">
        <v>0.0</v>
      </c>
      <c r="AO114" s="45">
        <v>7.8</v>
      </c>
      <c r="AP114" s="45">
        <v>0.0</v>
      </c>
      <c r="AQ114" s="45">
        <v>7.54</v>
      </c>
      <c r="AR114" s="45">
        <v>7.61</v>
      </c>
      <c r="AU114" s="45" t="s">
        <v>1011</v>
      </c>
      <c r="AX114" s="45" t="s">
        <v>1012</v>
      </c>
    </row>
    <row r="115">
      <c r="A115" s="45">
        <v>114.0</v>
      </c>
      <c r="B115" s="45" t="s">
        <v>930</v>
      </c>
      <c r="C115" s="45" t="s">
        <v>3448</v>
      </c>
      <c r="D115" s="45" t="s">
        <v>1389</v>
      </c>
      <c r="E115" s="45" t="s">
        <v>931</v>
      </c>
      <c r="F115" s="45" t="str">
        <f>VLOOKUP(B115,'Analysis data'!$B$2:$C$358,2,false)</f>
        <v>E</v>
      </c>
      <c r="G115" s="45" t="str">
        <f>VLOOKUP(B115, 'Analysis data'!$B$2:$I$358, 8, FALSE)</f>
        <v> Convener</v>
      </c>
      <c r="H115" s="124" t="s">
        <v>3491</v>
      </c>
      <c r="I115" s="125" t="s">
        <v>3492</v>
      </c>
      <c r="J115" s="119">
        <v>5.36761E11</v>
      </c>
      <c r="K115" s="45">
        <f>VLOOKUP(B115,'Analysis data'!B:E,4,false)</f>
        <v>8.49</v>
      </c>
      <c r="L115" s="45" t="s">
        <v>1003</v>
      </c>
      <c r="M115" s="45" t="s">
        <v>1003</v>
      </c>
      <c r="N115" s="45" t="s">
        <v>1003</v>
      </c>
      <c r="O115" s="45" t="s">
        <v>2718</v>
      </c>
      <c r="P115" s="45">
        <v>0.0</v>
      </c>
      <c r="Q115" s="45">
        <v>399.0</v>
      </c>
      <c r="R115" s="45" t="s">
        <v>3449</v>
      </c>
      <c r="S115" s="45" t="s">
        <v>60</v>
      </c>
      <c r="T115" s="45" t="s">
        <v>1006</v>
      </c>
      <c r="U115" s="45">
        <v>92.0</v>
      </c>
      <c r="V115" s="45">
        <v>2019.0</v>
      </c>
      <c r="W115" s="45">
        <v>96.7</v>
      </c>
      <c r="X115" s="45">
        <v>2022.0</v>
      </c>
      <c r="Y115" s="45">
        <v>8.5</v>
      </c>
      <c r="Z115" s="45">
        <v>80.0</v>
      </c>
      <c r="AA115" s="45">
        <v>2025.0</v>
      </c>
      <c r="AB115" s="45">
        <f>VLOOKUP(B115,'Analysis data'!$B$1:$F$358,5,false)</f>
        <v>0</v>
      </c>
      <c r="AC115" s="45">
        <v>0.0</v>
      </c>
      <c r="AD115" s="45" t="s">
        <v>3450</v>
      </c>
      <c r="AE115" s="45" t="s">
        <v>3451</v>
      </c>
      <c r="AF115" s="45">
        <v>9.640087139E9</v>
      </c>
      <c r="AG115" s="45">
        <v>9.603679079E9</v>
      </c>
      <c r="AH115" s="45">
        <v>0.0</v>
      </c>
      <c r="AI115" s="45">
        <v>0.0</v>
      </c>
      <c r="AJ115" s="45" t="str">
        <f>VLOOKUP(B115,'Analysis data'!B:K,10,false)</f>
        <v/>
      </c>
      <c r="AK115" s="45" t="s">
        <v>3452</v>
      </c>
      <c r="AL115" s="45" t="s">
        <v>3453</v>
      </c>
      <c r="AM115" s="45">
        <v>0.0</v>
      </c>
      <c r="AN115" s="45">
        <v>0.0</v>
      </c>
      <c r="AO115" s="45">
        <v>8.39</v>
      </c>
      <c r="AP115" s="45">
        <v>0.0</v>
      </c>
      <c r="AQ115" s="45">
        <v>8.41</v>
      </c>
      <c r="AR115" s="45">
        <v>8.49</v>
      </c>
      <c r="AU115" s="45" t="s">
        <v>1011</v>
      </c>
      <c r="AX115" s="45" t="s">
        <v>1012</v>
      </c>
    </row>
    <row r="116">
      <c r="H116" s="127"/>
      <c r="I116" s="127"/>
      <c r="AU116" s="45" t="s">
        <v>1011</v>
      </c>
    </row>
    <row r="117">
      <c r="H117" s="127"/>
      <c r="I117" s="127"/>
      <c r="AU117" s="45" t="s">
        <v>1011</v>
      </c>
    </row>
    <row r="118">
      <c r="H118" s="127"/>
      <c r="I118" s="127"/>
      <c r="AU118" s="45" t="s">
        <v>1011</v>
      </c>
    </row>
    <row r="119">
      <c r="H119" s="127"/>
      <c r="I119" s="127"/>
      <c r="AU119" s="45" t="s">
        <v>1011</v>
      </c>
    </row>
    <row r="120">
      <c r="H120" s="127"/>
      <c r="I120" s="127"/>
      <c r="AU120" s="45" t="s">
        <v>1011</v>
      </c>
    </row>
    <row r="121">
      <c r="H121" s="127"/>
      <c r="I121" s="127"/>
      <c r="AU121" s="45" t="s">
        <v>1011</v>
      </c>
    </row>
    <row r="122">
      <c r="H122" s="127"/>
      <c r="I122" s="127"/>
      <c r="AU122" s="45" t="s">
        <v>1011</v>
      </c>
    </row>
    <row r="123">
      <c r="H123" s="127"/>
      <c r="I123" s="127"/>
      <c r="AU123" s="45" t="s">
        <v>1011</v>
      </c>
    </row>
    <row r="124">
      <c r="H124" s="127"/>
      <c r="I124" s="127"/>
      <c r="AU124" s="45" t="s">
        <v>1011</v>
      </c>
    </row>
    <row r="125">
      <c r="H125" s="127"/>
      <c r="I125" s="127"/>
      <c r="AU125" s="45" t="s">
        <v>1011</v>
      </c>
    </row>
    <row r="126">
      <c r="H126" s="127"/>
      <c r="I126" s="127"/>
      <c r="AU126" s="45" t="s">
        <v>1011</v>
      </c>
    </row>
    <row r="127">
      <c r="H127" s="127"/>
      <c r="I127" s="127"/>
      <c r="AU127" s="45" t="s">
        <v>1011</v>
      </c>
    </row>
    <row r="128">
      <c r="H128" s="127"/>
      <c r="I128" s="127"/>
      <c r="AU128" s="45" t="s">
        <v>1011</v>
      </c>
    </row>
    <row r="129">
      <c r="H129" s="127"/>
      <c r="I129" s="127"/>
      <c r="AU129" s="45" t="s">
        <v>1011</v>
      </c>
    </row>
    <row r="130">
      <c r="H130" s="127"/>
      <c r="I130" s="127"/>
      <c r="AU130" s="45" t="s">
        <v>1011</v>
      </c>
    </row>
    <row r="131">
      <c r="H131" s="127"/>
      <c r="I131" s="127"/>
      <c r="AU131" s="45" t="s">
        <v>1011</v>
      </c>
    </row>
    <row r="132">
      <c r="H132" s="127"/>
      <c r="I132" s="127"/>
      <c r="AU132" s="45" t="s">
        <v>1011</v>
      </c>
    </row>
    <row r="133">
      <c r="H133" s="127"/>
      <c r="I133" s="127"/>
      <c r="AU133" s="45" t="s">
        <v>1011</v>
      </c>
    </row>
    <row r="134">
      <c r="H134" s="127"/>
      <c r="I134" s="127"/>
      <c r="AU134" s="45" t="s">
        <v>1011</v>
      </c>
    </row>
    <row r="135">
      <c r="H135" s="127"/>
      <c r="I135" s="127"/>
      <c r="AU135" s="45" t="s">
        <v>1011</v>
      </c>
    </row>
    <row r="136">
      <c r="H136" s="127"/>
      <c r="I136" s="127"/>
      <c r="AU136" s="45" t="s">
        <v>1011</v>
      </c>
    </row>
    <row r="137">
      <c r="H137" s="127"/>
      <c r="I137" s="127"/>
      <c r="AU137" s="45" t="s">
        <v>1011</v>
      </c>
    </row>
    <row r="138">
      <c r="H138" s="127"/>
      <c r="I138" s="127"/>
      <c r="AU138" s="45" t="s">
        <v>1011</v>
      </c>
    </row>
    <row r="139">
      <c r="H139" s="127"/>
      <c r="I139" s="127"/>
      <c r="AU139" s="45" t="s">
        <v>1011</v>
      </c>
    </row>
    <row r="140">
      <c r="H140" s="127"/>
      <c r="I140" s="127"/>
      <c r="AU140" s="45" t="s">
        <v>1011</v>
      </c>
    </row>
    <row r="141">
      <c r="H141" s="127"/>
      <c r="I141" s="127"/>
      <c r="AU141" s="45" t="s">
        <v>1011</v>
      </c>
    </row>
    <row r="142">
      <c r="H142" s="127"/>
      <c r="I142" s="127"/>
      <c r="AU142" s="45" t="s">
        <v>1011</v>
      </c>
    </row>
    <row r="143">
      <c r="H143" s="127"/>
      <c r="I143" s="127"/>
      <c r="AU143" s="45" t="s">
        <v>1011</v>
      </c>
    </row>
    <row r="144">
      <c r="H144" s="127"/>
      <c r="I144" s="127"/>
      <c r="AU144" s="45" t="s">
        <v>1011</v>
      </c>
    </row>
    <row r="145">
      <c r="H145" s="127"/>
      <c r="I145" s="127"/>
      <c r="AU145" s="45" t="s">
        <v>1011</v>
      </c>
    </row>
    <row r="146">
      <c r="H146" s="127"/>
      <c r="I146" s="127"/>
      <c r="AU146" s="45" t="s">
        <v>1011</v>
      </c>
    </row>
    <row r="147">
      <c r="H147" s="127"/>
      <c r="I147" s="127"/>
      <c r="AU147" s="45" t="s">
        <v>1011</v>
      </c>
    </row>
    <row r="148">
      <c r="H148" s="127"/>
      <c r="I148" s="127"/>
      <c r="AU148" s="45" t="s">
        <v>1011</v>
      </c>
    </row>
    <row r="149">
      <c r="H149" s="127"/>
      <c r="I149" s="127"/>
      <c r="AU149" s="45" t="s">
        <v>1011</v>
      </c>
    </row>
    <row r="150">
      <c r="H150" s="127"/>
      <c r="I150" s="127"/>
      <c r="AU150" s="45" t="s">
        <v>1011</v>
      </c>
    </row>
    <row r="151">
      <c r="H151" s="127"/>
      <c r="I151" s="127"/>
      <c r="AU151" s="45" t="s">
        <v>1011</v>
      </c>
    </row>
    <row r="152">
      <c r="H152" s="127"/>
      <c r="I152" s="127"/>
      <c r="AU152" s="45" t="s">
        <v>1011</v>
      </c>
    </row>
    <row r="153">
      <c r="H153" s="127"/>
      <c r="I153" s="127"/>
      <c r="AU153" s="45" t="s">
        <v>1011</v>
      </c>
    </row>
    <row r="154">
      <c r="H154" s="127"/>
      <c r="I154" s="127"/>
      <c r="AU154" s="45" t="s">
        <v>1011</v>
      </c>
    </row>
    <row r="155">
      <c r="H155" s="127"/>
      <c r="I155" s="127"/>
      <c r="AU155" s="45" t="s">
        <v>1011</v>
      </c>
    </row>
    <row r="156">
      <c r="H156" s="127"/>
      <c r="I156" s="127"/>
      <c r="AU156" s="45" t="s">
        <v>1011</v>
      </c>
    </row>
    <row r="157">
      <c r="H157" s="127"/>
      <c r="I157" s="127"/>
      <c r="AU157" s="45" t="s">
        <v>1011</v>
      </c>
    </row>
    <row r="158">
      <c r="H158" s="127"/>
      <c r="I158" s="127"/>
      <c r="AU158" s="45" t="s">
        <v>1011</v>
      </c>
    </row>
    <row r="159">
      <c r="H159" s="127"/>
      <c r="I159" s="127"/>
      <c r="AU159" s="45" t="s">
        <v>1011</v>
      </c>
    </row>
    <row r="160">
      <c r="H160" s="127"/>
      <c r="I160" s="127"/>
      <c r="AU160" s="45" t="s">
        <v>1011</v>
      </c>
    </row>
    <row r="161">
      <c r="H161" s="127"/>
      <c r="I161" s="127"/>
      <c r="AU161" s="45" t="s">
        <v>1011</v>
      </c>
    </row>
    <row r="162">
      <c r="H162" s="127"/>
      <c r="I162" s="127"/>
      <c r="AU162" s="45" t="s">
        <v>1011</v>
      </c>
    </row>
    <row r="163">
      <c r="H163" s="127"/>
      <c r="I163" s="127"/>
      <c r="AU163" s="45" t="s">
        <v>1011</v>
      </c>
    </row>
    <row r="164">
      <c r="H164" s="127"/>
      <c r="I164" s="127"/>
      <c r="AU164" s="45" t="s">
        <v>1011</v>
      </c>
    </row>
    <row r="165">
      <c r="H165" s="127"/>
      <c r="I165" s="127"/>
      <c r="AU165" s="45" t="s">
        <v>1011</v>
      </c>
    </row>
    <row r="166">
      <c r="H166" s="127"/>
      <c r="I166" s="127"/>
      <c r="AU166" s="45" t="s">
        <v>1011</v>
      </c>
    </row>
    <row r="167">
      <c r="H167" s="127"/>
      <c r="I167" s="127"/>
      <c r="AU167" s="45" t="s">
        <v>1011</v>
      </c>
    </row>
    <row r="168">
      <c r="H168" s="127"/>
      <c r="I168" s="127"/>
      <c r="AU168" s="45" t="s">
        <v>1011</v>
      </c>
    </row>
    <row r="169">
      <c r="H169" s="127"/>
      <c r="I169" s="127"/>
      <c r="AU169" s="45" t="s">
        <v>1011</v>
      </c>
    </row>
    <row r="170">
      <c r="H170" s="127"/>
      <c r="I170" s="127"/>
      <c r="AU170" s="45" t="s">
        <v>1011</v>
      </c>
    </row>
    <row r="171">
      <c r="H171" s="127"/>
      <c r="I171" s="127"/>
      <c r="AU171" s="45" t="s">
        <v>1011</v>
      </c>
    </row>
    <row r="172">
      <c r="H172" s="127"/>
      <c r="I172" s="127"/>
      <c r="AU172" s="45" t="s">
        <v>1011</v>
      </c>
    </row>
    <row r="173">
      <c r="H173" s="127"/>
      <c r="I173" s="127"/>
      <c r="AU173" s="45" t="s">
        <v>1011</v>
      </c>
    </row>
    <row r="174">
      <c r="H174" s="127"/>
      <c r="I174" s="127"/>
      <c r="AU174" s="45" t="s">
        <v>1011</v>
      </c>
    </row>
    <row r="175">
      <c r="H175" s="127"/>
      <c r="I175" s="127"/>
      <c r="AU175" s="45" t="s">
        <v>1011</v>
      </c>
    </row>
    <row r="176">
      <c r="H176" s="127"/>
      <c r="I176" s="127"/>
      <c r="AU176" s="45" t="s">
        <v>1011</v>
      </c>
    </row>
    <row r="177">
      <c r="H177" s="127"/>
      <c r="I177" s="127"/>
      <c r="AU177" s="45" t="s">
        <v>1011</v>
      </c>
    </row>
    <row r="178">
      <c r="H178" s="127"/>
      <c r="I178" s="127"/>
      <c r="AU178" s="45" t="s">
        <v>1011</v>
      </c>
    </row>
    <row r="179">
      <c r="H179" s="127"/>
      <c r="I179" s="127"/>
      <c r="AU179" s="45" t="s">
        <v>1011</v>
      </c>
    </row>
    <row r="180">
      <c r="H180" s="127"/>
      <c r="I180" s="127"/>
      <c r="AU180" s="45" t="s">
        <v>1011</v>
      </c>
    </row>
    <row r="181">
      <c r="H181" s="127"/>
      <c r="I181" s="127"/>
      <c r="AU181" s="45" t="s">
        <v>1011</v>
      </c>
    </row>
    <row r="182">
      <c r="H182" s="127"/>
      <c r="I182" s="127"/>
      <c r="AU182" s="45" t="s">
        <v>1011</v>
      </c>
    </row>
    <row r="183">
      <c r="H183" s="127"/>
      <c r="I183" s="127"/>
      <c r="AU183" s="45" t="s">
        <v>1011</v>
      </c>
    </row>
    <row r="184">
      <c r="H184" s="127"/>
      <c r="I184" s="127"/>
      <c r="AU184" s="45" t="s">
        <v>1011</v>
      </c>
    </row>
    <row r="185">
      <c r="H185" s="127"/>
      <c r="I185" s="127"/>
      <c r="AU185" s="45" t="s">
        <v>1011</v>
      </c>
    </row>
    <row r="186">
      <c r="H186" s="127"/>
      <c r="I186" s="127"/>
      <c r="AU186" s="45" t="s">
        <v>1011</v>
      </c>
    </row>
    <row r="187">
      <c r="H187" s="127"/>
      <c r="I187" s="127"/>
      <c r="AU187" s="45" t="s">
        <v>1011</v>
      </c>
    </row>
    <row r="188">
      <c r="H188" s="127"/>
      <c r="I188" s="127"/>
      <c r="AU188" s="45" t="s">
        <v>1011</v>
      </c>
    </row>
    <row r="189">
      <c r="H189" s="127"/>
      <c r="I189" s="127"/>
      <c r="AU189" s="45" t="s">
        <v>1011</v>
      </c>
    </row>
    <row r="190">
      <c r="H190" s="127"/>
      <c r="I190" s="127"/>
      <c r="AU190" s="45" t="s">
        <v>1011</v>
      </c>
    </row>
    <row r="191">
      <c r="H191" s="127"/>
      <c r="I191" s="127"/>
      <c r="AU191" s="45" t="s">
        <v>1011</v>
      </c>
    </row>
    <row r="192">
      <c r="H192" s="127"/>
      <c r="I192" s="127"/>
      <c r="AU192" s="45" t="s">
        <v>1011</v>
      </c>
    </row>
    <row r="193">
      <c r="H193" s="127"/>
      <c r="I193" s="127"/>
      <c r="AU193" s="45" t="s">
        <v>1011</v>
      </c>
    </row>
    <row r="194">
      <c r="H194" s="127"/>
      <c r="I194" s="127"/>
      <c r="AU194" s="45" t="s">
        <v>1011</v>
      </c>
    </row>
    <row r="195">
      <c r="H195" s="127"/>
      <c r="I195" s="127"/>
      <c r="AU195" s="45" t="s">
        <v>1011</v>
      </c>
    </row>
    <row r="196">
      <c r="H196" s="127"/>
      <c r="I196" s="127"/>
      <c r="AU196" s="45" t="s">
        <v>1011</v>
      </c>
    </row>
    <row r="197">
      <c r="H197" s="127"/>
      <c r="I197" s="127"/>
      <c r="AU197" s="45" t="s">
        <v>1011</v>
      </c>
    </row>
    <row r="198">
      <c r="H198" s="127"/>
      <c r="I198" s="127"/>
      <c r="AU198" s="45" t="s">
        <v>1011</v>
      </c>
    </row>
    <row r="199">
      <c r="H199" s="127"/>
      <c r="I199" s="127"/>
      <c r="AU199" s="45" t="s">
        <v>1011</v>
      </c>
    </row>
    <row r="200">
      <c r="H200" s="127"/>
      <c r="I200" s="127"/>
      <c r="AU200" s="45" t="s">
        <v>1011</v>
      </c>
    </row>
    <row r="201">
      <c r="H201" s="127"/>
      <c r="I201" s="127"/>
      <c r="AU201" s="45" t="s">
        <v>1011</v>
      </c>
    </row>
    <row r="202">
      <c r="H202" s="127"/>
      <c r="I202" s="127"/>
      <c r="AU202" s="45" t="s">
        <v>1011</v>
      </c>
    </row>
    <row r="203">
      <c r="H203" s="127"/>
      <c r="I203" s="127"/>
      <c r="AU203" s="45" t="s">
        <v>1011</v>
      </c>
    </row>
    <row r="204">
      <c r="H204" s="127"/>
      <c r="I204" s="127"/>
      <c r="AU204" s="45" t="s">
        <v>1011</v>
      </c>
    </row>
    <row r="205">
      <c r="H205" s="127"/>
      <c r="I205" s="127"/>
      <c r="AU205" s="45" t="s">
        <v>1011</v>
      </c>
    </row>
    <row r="206">
      <c r="H206" s="127"/>
      <c r="I206" s="127"/>
      <c r="AU206" s="45" t="s">
        <v>1011</v>
      </c>
    </row>
    <row r="207">
      <c r="H207" s="127"/>
      <c r="I207" s="127"/>
      <c r="AU207" s="45" t="s">
        <v>1011</v>
      </c>
    </row>
    <row r="208">
      <c r="H208" s="127"/>
      <c r="I208" s="127"/>
      <c r="AU208" s="45" t="s">
        <v>1011</v>
      </c>
    </row>
    <row r="209">
      <c r="H209" s="127"/>
      <c r="I209" s="127"/>
      <c r="AU209" s="45" t="s">
        <v>1011</v>
      </c>
    </row>
    <row r="210">
      <c r="H210" s="127"/>
      <c r="I210" s="127"/>
      <c r="AU210" s="45" t="s">
        <v>1011</v>
      </c>
    </row>
    <row r="211">
      <c r="H211" s="127"/>
      <c r="I211" s="127"/>
      <c r="AU211" s="45" t="s">
        <v>1011</v>
      </c>
    </row>
    <row r="212">
      <c r="H212" s="127"/>
      <c r="I212" s="127"/>
      <c r="AU212" s="45" t="s">
        <v>1011</v>
      </c>
    </row>
    <row r="213">
      <c r="H213" s="127"/>
      <c r="I213" s="127"/>
      <c r="AU213" s="45" t="s">
        <v>1011</v>
      </c>
    </row>
    <row r="214">
      <c r="H214" s="127"/>
      <c r="I214" s="127"/>
      <c r="AU214" s="45" t="s">
        <v>1011</v>
      </c>
    </row>
    <row r="215">
      <c r="H215" s="127"/>
      <c r="I215" s="127"/>
      <c r="AU215" s="45" t="s">
        <v>1011</v>
      </c>
    </row>
    <row r="216">
      <c r="H216" s="127"/>
      <c r="I216" s="127"/>
      <c r="AU216" s="45" t="s">
        <v>1011</v>
      </c>
    </row>
    <row r="217">
      <c r="H217" s="127"/>
      <c r="I217" s="127"/>
      <c r="AU217" s="45" t="s">
        <v>1011</v>
      </c>
    </row>
    <row r="218">
      <c r="H218" s="127"/>
      <c r="I218" s="127"/>
      <c r="AU218" s="45" t="s">
        <v>1011</v>
      </c>
    </row>
    <row r="219">
      <c r="H219" s="127"/>
      <c r="I219" s="127"/>
      <c r="AU219" s="45" t="s">
        <v>1011</v>
      </c>
    </row>
    <row r="220">
      <c r="H220" s="127"/>
      <c r="I220" s="127"/>
      <c r="AU220" s="45" t="s">
        <v>1011</v>
      </c>
    </row>
    <row r="221">
      <c r="H221" s="127"/>
      <c r="I221" s="127"/>
      <c r="AU221" s="45" t="s">
        <v>1011</v>
      </c>
    </row>
    <row r="222">
      <c r="H222" s="127"/>
      <c r="I222" s="127"/>
      <c r="AU222" s="45" t="s">
        <v>1011</v>
      </c>
    </row>
    <row r="223">
      <c r="H223" s="127"/>
      <c r="I223" s="127"/>
      <c r="AU223" s="45" t="s">
        <v>1011</v>
      </c>
    </row>
    <row r="224">
      <c r="H224" s="127"/>
      <c r="I224" s="127"/>
      <c r="AU224" s="45" t="s">
        <v>1011</v>
      </c>
    </row>
    <row r="225">
      <c r="H225" s="127"/>
      <c r="I225" s="127"/>
      <c r="AU225" s="45" t="s">
        <v>1011</v>
      </c>
    </row>
    <row r="226">
      <c r="H226" s="127"/>
      <c r="I226" s="127"/>
      <c r="AU226" s="45" t="s">
        <v>1011</v>
      </c>
    </row>
    <row r="227">
      <c r="H227" s="127"/>
      <c r="I227" s="127"/>
      <c r="AU227" s="45" t="s">
        <v>1011</v>
      </c>
    </row>
    <row r="228">
      <c r="H228" s="127"/>
      <c r="I228" s="127"/>
      <c r="AU228" s="45" t="s">
        <v>1011</v>
      </c>
    </row>
    <row r="229">
      <c r="H229" s="127"/>
      <c r="I229" s="127"/>
      <c r="AU229" s="45" t="s">
        <v>1011</v>
      </c>
    </row>
    <row r="230">
      <c r="H230" s="127"/>
      <c r="I230" s="127"/>
      <c r="AU230" s="45" t="s">
        <v>1011</v>
      </c>
    </row>
    <row r="231">
      <c r="H231" s="127"/>
      <c r="I231" s="127"/>
      <c r="AU231" s="45" t="s">
        <v>1011</v>
      </c>
    </row>
    <row r="232">
      <c r="H232" s="127"/>
      <c r="I232" s="127"/>
      <c r="AU232" s="45" t="s">
        <v>1011</v>
      </c>
    </row>
    <row r="233">
      <c r="H233" s="127"/>
      <c r="I233" s="127"/>
      <c r="AU233" s="45" t="s">
        <v>1011</v>
      </c>
    </row>
    <row r="234">
      <c r="H234" s="127"/>
      <c r="I234" s="127"/>
      <c r="AU234" s="45" t="s">
        <v>1011</v>
      </c>
    </row>
    <row r="235">
      <c r="H235" s="127"/>
      <c r="I235" s="127"/>
      <c r="AU235" s="45" t="s">
        <v>1011</v>
      </c>
    </row>
    <row r="236">
      <c r="H236" s="127"/>
      <c r="I236" s="127"/>
      <c r="AU236" s="45" t="s">
        <v>1011</v>
      </c>
    </row>
    <row r="237">
      <c r="H237" s="127"/>
      <c r="I237" s="127"/>
      <c r="AU237" s="45" t="s">
        <v>1011</v>
      </c>
    </row>
    <row r="238">
      <c r="H238" s="127"/>
      <c r="I238" s="127"/>
      <c r="AU238" s="45" t="s">
        <v>1011</v>
      </c>
    </row>
    <row r="239">
      <c r="H239" s="127"/>
      <c r="I239" s="127"/>
      <c r="AU239" s="45" t="s">
        <v>1011</v>
      </c>
    </row>
    <row r="240">
      <c r="H240" s="127"/>
      <c r="I240" s="127"/>
      <c r="AU240" s="45" t="s">
        <v>1011</v>
      </c>
    </row>
    <row r="241">
      <c r="H241" s="127"/>
      <c r="I241" s="127"/>
      <c r="AU241" s="45" t="s">
        <v>1011</v>
      </c>
    </row>
    <row r="242">
      <c r="H242" s="127"/>
      <c r="I242" s="127"/>
      <c r="AU242" s="45" t="s">
        <v>1011</v>
      </c>
    </row>
    <row r="243">
      <c r="H243" s="127"/>
      <c r="I243" s="127"/>
      <c r="AU243" s="45" t="s">
        <v>1011</v>
      </c>
    </row>
    <row r="244">
      <c r="H244" s="127"/>
      <c r="I244" s="127"/>
      <c r="AU244" s="45" t="s">
        <v>1011</v>
      </c>
    </row>
    <row r="245">
      <c r="H245" s="127"/>
      <c r="I245" s="127"/>
      <c r="AU245" s="45" t="s">
        <v>1011</v>
      </c>
    </row>
    <row r="246">
      <c r="H246" s="127"/>
      <c r="I246" s="127"/>
      <c r="AU246" s="45" t="s">
        <v>1011</v>
      </c>
    </row>
    <row r="247">
      <c r="H247" s="127"/>
      <c r="I247" s="127"/>
      <c r="AU247" s="45" t="s">
        <v>1011</v>
      </c>
    </row>
    <row r="248">
      <c r="H248" s="127"/>
      <c r="I248" s="127"/>
      <c r="AU248" s="45" t="s">
        <v>1011</v>
      </c>
    </row>
    <row r="249">
      <c r="H249" s="127"/>
      <c r="I249" s="127"/>
      <c r="AU249" s="45" t="s">
        <v>1011</v>
      </c>
    </row>
    <row r="250">
      <c r="H250" s="127"/>
      <c r="I250" s="127"/>
      <c r="AU250" s="45" t="s">
        <v>1011</v>
      </c>
    </row>
    <row r="251">
      <c r="H251" s="127"/>
      <c r="I251" s="127"/>
      <c r="AU251" s="45" t="s">
        <v>1011</v>
      </c>
    </row>
    <row r="252">
      <c r="H252" s="127"/>
      <c r="I252" s="127"/>
      <c r="AU252" s="45" t="s">
        <v>1011</v>
      </c>
    </row>
    <row r="253">
      <c r="H253" s="127"/>
      <c r="I253" s="127"/>
      <c r="AU253" s="45" t="s">
        <v>1011</v>
      </c>
    </row>
    <row r="254">
      <c r="H254" s="127"/>
      <c r="I254" s="127"/>
      <c r="AU254" s="45" t="s">
        <v>1011</v>
      </c>
    </row>
    <row r="255">
      <c r="H255" s="127"/>
      <c r="I255" s="127"/>
      <c r="AU255" s="45" t="s">
        <v>1011</v>
      </c>
    </row>
    <row r="256">
      <c r="H256" s="127"/>
      <c r="I256" s="127"/>
      <c r="AU256" s="45" t="s">
        <v>1011</v>
      </c>
    </row>
    <row r="257">
      <c r="H257" s="127"/>
      <c r="I257" s="127"/>
      <c r="AU257" s="45" t="s">
        <v>1011</v>
      </c>
    </row>
    <row r="258">
      <c r="H258" s="127"/>
      <c r="I258" s="127"/>
      <c r="AU258" s="45" t="s">
        <v>1011</v>
      </c>
    </row>
    <row r="259">
      <c r="H259" s="127"/>
      <c r="I259" s="127"/>
      <c r="AU259" s="45" t="s">
        <v>1011</v>
      </c>
    </row>
    <row r="260">
      <c r="H260" s="127"/>
      <c r="I260" s="127"/>
      <c r="AU260" s="45" t="s">
        <v>1011</v>
      </c>
    </row>
    <row r="261">
      <c r="H261" s="127"/>
      <c r="I261" s="127"/>
      <c r="AU261" s="45" t="s">
        <v>1011</v>
      </c>
    </row>
    <row r="262">
      <c r="H262" s="127"/>
      <c r="I262" s="127"/>
      <c r="AU262" s="45" t="s">
        <v>1011</v>
      </c>
    </row>
    <row r="263">
      <c r="H263" s="127"/>
      <c r="I263" s="127"/>
      <c r="AU263" s="45" t="s">
        <v>1011</v>
      </c>
    </row>
    <row r="264">
      <c r="H264" s="127"/>
      <c r="I264" s="127"/>
      <c r="AU264" s="45" t="s">
        <v>1011</v>
      </c>
    </row>
    <row r="265">
      <c r="H265" s="127"/>
      <c r="I265" s="127"/>
      <c r="AU265" s="45" t="s">
        <v>1011</v>
      </c>
    </row>
    <row r="266">
      <c r="H266" s="127"/>
      <c r="I266" s="127"/>
      <c r="AU266" s="45" t="s">
        <v>1011</v>
      </c>
    </row>
    <row r="267">
      <c r="H267" s="127"/>
      <c r="I267" s="127"/>
      <c r="AU267" s="45" t="s">
        <v>1011</v>
      </c>
    </row>
    <row r="268">
      <c r="H268" s="127"/>
      <c r="I268" s="127"/>
      <c r="AU268" s="45" t="s">
        <v>1011</v>
      </c>
    </row>
    <row r="269">
      <c r="H269" s="127"/>
      <c r="I269" s="127"/>
      <c r="AU269" s="45" t="s">
        <v>1011</v>
      </c>
    </row>
    <row r="270">
      <c r="H270" s="127"/>
      <c r="I270" s="127"/>
      <c r="AU270" s="45" t="s">
        <v>1011</v>
      </c>
    </row>
    <row r="271">
      <c r="H271" s="127"/>
      <c r="I271" s="127"/>
      <c r="AU271" s="45" t="s">
        <v>1011</v>
      </c>
    </row>
    <row r="272">
      <c r="H272" s="127"/>
      <c r="I272" s="127"/>
      <c r="AU272" s="45" t="s">
        <v>1011</v>
      </c>
    </row>
    <row r="273">
      <c r="H273" s="127"/>
      <c r="I273" s="127"/>
      <c r="AU273" s="45" t="s">
        <v>1011</v>
      </c>
    </row>
    <row r="274">
      <c r="H274" s="127"/>
      <c r="I274" s="127"/>
      <c r="AU274" s="45" t="s">
        <v>1011</v>
      </c>
    </row>
    <row r="275">
      <c r="H275" s="127"/>
      <c r="I275" s="127"/>
      <c r="AU275" s="45" t="s">
        <v>1011</v>
      </c>
    </row>
    <row r="276">
      <c r="H276" s="127"/>
      <c r="I276" s="127"/>
      <c r="AU276" s="45" t="s">
        <v>1011</v>
      </c>
    </row>
    <row r="277">
      <c r="H277" s="127"/>
      <c r="I277" s="127"/>
      <c r="AU277" s="45" t="s">
        <v>1011</v>
      </c>
    </row>
    <row r="278">
      <c r="H278" s="127"/>
      <c r="I278" s="127"/>
      <c r="AU278" s="45" t="s">
        <v>1011</v>
      </c>
    </row>
    <row r="279">
      <c r="H279" s="127"/>
      <c r="I279" s="127"/>
      <c r="AU279" s="45" t="s">
        <v>1011</v>
      </c>
    </row>
    <row r="280">
      <c r="H280" s="127"/>
      <c r="I280" s="127"/>
      <c r="AU280" s="45" t="s">
        <v>1011</v>
      </c>
    </row>
    <row r="281">
      <c r="H281" s="127"/>
      <c r="I281" s="127"/>
      <c r="AU281" s="45" t="s">
        <v>1011</v>
      </c>
    </row>
    <row r="282">
      <c r="H282" s="127"/>
      <c r="I282" s="127"/>
      <c r="AU282" s="45" t="s">
        <v>1011</v>
      </c>
    </row>
    <row r="283">
      <c r="H283" s="127"/>
      <c r="I283" s="127"/>
      <c r="AU283" s="45" t="s">
        <v>1011</v>
      </c>
    </row>
    <row r="284">
      <c r="H284" s="127"/>
      <c r="I284" s="127"/>
      <c r="AU284" s="45" t="s">
        <v>1011</v>
      </c>
    </row>
    <row r="285">
      <c r="H285" s="127"/>
      <c r="I285" s="127"/>
      <c r="AU285" s="45" t="s">
        <v>1011</v>
      </c>
    </row>
    <row r="286">
      <c r="H286" s="127"/>
      <c r="I286" s="127"/>
      <c r="AU286" s="45" t="s">
        <v>1011</v>
      </c>
    </row>
    <row r="287">
      <c r="H287" s="127"/>
      <c r="I287" s="127"/>
      <c r="AU287" s="45" t="s">
        <v>1011</v>
      </c>
    </row>
    <row r="288">
      <c r="H288" s="127"/>
      <c r="I288" s="127"/>
      <c r="AU288" s="45" t="s">
        <v>1011</v>
      </c>
    </row>
    <row r="289">
      <c r="H289" s="127"/>
      <c r="I289" s="127"/>
      <c r="AU289" s="45" t="s">
        <v>1011</v>
      </c>
    </row>
    <row r="290">
      <c r="H290" s="127"/>
      <c r="I290" s="127"/>
      <c r="AU290" s="45" t="s">
        <v>1011</v>
      </c>
    </row>
    <row r="291">
      <c r="H291" s="127"/>
      <c r="I291" s="127"/>
      <c r="AU291" s="45" t="s">
        <v>1011</v>
      </c>
    </row>
    <row r="292">
      <c r="H292" s="127"/>
      <c r="I292" s="127"/>
      <c r="AU292" s="45" t="s">
        <v>1011</v>
      </c>
    </row>
    <row r="293">
      <c r="H293" s="127"/>
      <c r="I293" s="127"/>
      <c r="AU293" s="45" t="s">
        <v>1011</v>
      </c>
    </row>
    <row r="294">
      <c r="H294" s="127"/>
      <c r="I294" s="127"/>
      <c r="AU294" s="45" t="s">
        <v>1011</v>
      </c>
    </row>
    <row r="295">
      <c r="H295" s="127"/>
      <c r="I295" s="127"/>
      <c r="AU295" s="45" t="s">
        <v>1011</v>
      </c>
    </row>
    <row r="296">
      <c r="H296" s="127"/>
      <c r="I296" s="127"/>
      <c r="AU296" s="45" t="s">
        <v>1011</v>
      </c>
    </row>
    <row r="297">
      <c r="H297" s="127"/>
      <c r="I297" s="127"/>
      <c r="AU297" s="45" t="s">
        <v>1011</v>
      </c>
    </row>
    <row r="298">
      <c r="H298" s="127"/>
      <c r="I298" s="127"/>
      <c r="AU298" s="45" t="s">
        <v>1011</v>
      </c>
    </row>
    <row r="299">
      <c r="H299" s="127"/>
      <c r="I299" s="127"/>
      <c r="AU299" s="45" t="s">
        <v>1011</v>
      </c>
    </row>
    <row r="300">
      <c r="H300" s="127"/>
      <c r="I300" s="127"/>
      <c r="AU300" s="45" t="s">
        <v>1011</v>
      </c>
    </row>
    <row r="301">
      <c r="H301" s="127"/>
      <c r="I301" s="127"/>
      <c r="AU301" s="45" t="s">
        <v>1011</v>
      </c>
    </row>
    <row r="302">
      <c r="H302" s="127"/>
      <c r="I302" s="127"/>
      <c r="AU302" s="45" t="s">
        <v>1011</v>
      </c>
    </row>
    <row r="303">
      <c r="H303" s="127"/>
      <c r="I303" s="127"/>
      <c r="AU303" s="45" t="s">
        <v>1011</v>
      </c>
    </row>
    <row r="304">
      <c r="H304" s="127"/>
      <c r="I304" s="127"/>
      <c r="AU304" s="45" t="s">
        <v>1011</v>
      </c>
    </row>
    <row r="305">
      <c r="H305" s="127"/>
      <c r="I305" s="127"/>
      <c r="AU305" s="45" t="s">
        <v>1011</v>
      </c>
    </row>
    <row r="306">
      <c r="H306" s="127"/>
      <c r="I306" s="127"/>
      <c r="AU306" s="45" t="s">
        <v>1011</v>
      </c>
    </row>
    <row r="307">
      <c r="H307" s="127"/>
      <c r="I307" s="127"/>
      <c r="AU307" s="45" t="s">
        <v>1011</v>
      </c>
    </row>
    <row r="308">
      <c r="H308" s="127"/>
      <c r="I308" s="127"/>
      <c r="AU308" s="45" t="s">
        <v>1011</v>
      </c>
    </row>
    <row r="309">
      <c r="H309" s="127"/>
      <c r="I309" s="127"/>
      <c r="AU309" s="45" t="s">
        <v>1011</v>
      </c>
    </row>
    <row r="310">
      <c r="H310" s="127"/>
      <c r="I310" s="127"/>
      <c r="AU310" s="45" t="s">
        <v>1011</v>
      </c>
    </row>
    <row r="311">
      <c r="H311" s="127"/>
      <c r="I311" s="127"/>
      <c r="AU311" s="45" t="s">
        <v>1011</v>
      </c>
    </row>
    <row r="312">
      <c r="H312" s="127"/>
      <c r="I312" s="127"/>
      <c r="AU312" s="45" t="s">
        <v>1011</v>
      </c>
    </row>
    <row r="313">
      <c r="H313" s="127"/>
      <c r="I313" s="127"/>
      <c r="AU313" s="45" t="s">
        <v>1011</v>
      </c>
    </row>
    <row r="314">
      <c r="H314" s="127"/>
      <c r="I314" s="127"/>
      <c r="AU314" s="45" t="s">
        <v>1011</v>
      </c>
    </row>
    <row r="315">
      <c r="H315" s="127"/>
      <c r="I315" s="127"/>
      <c r="AU315" s="45" t="s">
        <v>1011</v>
      </c>
    </row>
    <row r="316">
      <c r="H316" s="127"/>
      <c r="I316" s="127"/>
      <c r="AU316" s="45" t="s">
        <v>1011</v>
      </c>
    </row>
    <row r="317">
      <c r="H317" s="127"/>
      <c r="I317" s="127"/>
      <c r="AU317" s="45" t="s">
        <v>1011</v>
      </c>
    </row>
    <row r="318">
      <c r="H318" s="127"/>
      <c r="I318" s="127"/>
      <c r="AU318" s="45" t="s">
        <v>1011</v>
      </c>
    </row>
    <row r="319">
      <c r="H319" s="127"/>
      <c r="I319" s="127"/>
      <c r="AU319" s="45" t="s">
        <v>1011</v>
      </c>
    </row>
    <row r="320">
      <c r="H320" s="127"/>
      <c r="I320" s="127"/>
      <c r="AU320" s="45" t="s">
        <v>1011</v>
      </c>
    </row>
    <row r="321">
      <c r="H321" s="127"/>
      <c r="I321" s="127"/>
      <c r="AU321" s="45" t="s">
        <v>1011</v>
      </c>
    </row>
    <row r="322">
      <c r="H322" s="127"/>
      <c r="I322" s="127"/>
      <c r="AU322" s="45" t="s">
        <v>1011</v>
      </c>
    </row>
    <row r="323">
      <c r="H323" s="127"/>
      <c r="I323" s="127"/>
      <c r="AU323" s="45" t="s">
        <v>1011</v>
      </c>
    </row>
    <row r="324">
      <c r="H324" s="127"/>
      <c r="I324" s="127"/>
      <c r="AU324" s="45" t="s">
        <v>1011</v>
      </c>
    </row>
    <row r="325">
      <c r="H325" s="127"/>
      <c r="I325" s="127"/>
      <c r="AU325" s="45" t="s">
        <v>1011</v>
      </c>
    </row>
    <row r="326">
      <c r="H326" s="127"/>
      <c r="I326" s="127"/>
      <c r="AU326" s="45" t="s">
        <v>1011</v>
      </c>
    </row>
    <row r="327">
      <c r="H327" s="127"/>
      <c r="I327" s="127"/>
      <c r="AU327" s="45" t="s">
        <v>1011</v>
      </c>
    </row>
    <row r="328">
      <c r="H328" s="127"/>
      <c r="I328" s="127"/>
      <c r="AU328" s="45" t="s">
        <v>1011</v>
      </c>
    </row>
    <row r="329">
      <c r="H329" s="127"/>
      <c r="I329" s="127"/>
      <c r="AU329" s="45" t="s">
        <v>1011</v>
      </c>
    </row>
    <row r="330">
      <c r="H330" s="127"/>
      <c r="I330" s="127"/>
      <c r="AU330" s="45" t="s">
        <v>1011</v>
      </c>
    </row>
    <row r="331">
      <c r="H331" s="127"/>
      <c r="I331" s="127"/>
      <c r="AU331" s="45" t="s">
        <v>1011</v>
      </c>
    </row>
    <row r="332">
      <c r="H332" s="127"/>
      <c r="I332" s="127"/>
      <c r="AU332" s="45" t="s">
        <v>1011</v>
      </c>
    </row>
    <row r="333">
      <c r="H333" s="127"/>
      <c r="I333" s="127"/>
      <c r="AU333" s="45" t="s">
        <v>1011</v>
      </c>
    </row>
    <row r="334">
      <c r="H334" s="127"/>
      <c r="I334" s="127"/>
      <c r="AU334" s="45" t="s">
        <v>1011</v>
      </c>
    </row>
    <row r="335">
      <c r="H335" s="127"/>
      <c r="I335" s="127"/>
      <c r="AU335" s="45" t="s">
        <v>1011</v>
      </c>
    </row>
    <row r="336">
      <c r="H336" s="127"/>
      <c r="I336" s="127"/>
      <c r="AU336" s="45" t="s">
        <v>1011</v>
      </c>
    </row>
    <row r="337">
      <c r="H337" s="127"/>
      <c r="I337" s="127"/>
      <c r="AU337" s="45" t="s">
        <v>1011</v>
      </c>
    </row>
    <row r="338">
      <c r="H338" s="127"/>
      <c r="I338" s="127"/>
      <c r="AU338" s="45" t="s">
        <v>1011</v>
      </c>
    </row>
    <row r="339">
      <c r="H339" s="127"/>
      <c r="I339" s="127"/>
      <c r="AU339" s="45" t="s">
        <v>1011</v>
      </c>
    </row>
    <row r="340">
      <c r="H340" s="127"/>
      <c r="I340" s="127"/>
      <c r="AU340" s="45" t="s">
        <v>1011</v>
      </c>
    </row>
    <row r="341">
      <c r="H341" s="127"/>
      <c r="I341" s="127"/>
      <c r="AU341" s="45" t="s">
        <v>1011</v>
      </c>
    </row>
    <row r="342">
      <c r="H342" s="127"/>
      <c r="I342" s="127"/>
      <c r="AU342" s="45" t="s">
        <v>1011</v>
      </c>
    </row>
    <row r="343">
      <c r="H343" s="127"/>
      <c r="I343" s="127"/>
      <c r="AU343" s="45" t="s">
        <v>1011</v>
      </c>
    </row>
    <row r="344">
      <c r="H344" s="127"/>
      <c r="I344" s="127"/>
      <c r="AU344" s="45" t="s">
        <v>1011</v>
      </c>
    </row>
    <row r="345">
      <c r="H345" s="127"/>
      <c r="I345" s="127"/>
      <c r="AU345" s="45" t="s">
        <v>1011</v>
      </c>
    </row>
    <row r="346">
      <c r="H346" s="127"/>
      <c r="I346" s="127"/>
      <c r="AU346" s="45" t="s">
        <v>1011</v>
      </c>
    </row>
    <row r="347">
      <c r="H347" s="127"/>
      <c r="I347" s="127"/>
      <c r="AU347" s="45" t="s">
        <v>1011</v>
      </c>
    </row>
    <row r="348">
      <c r="H348" s="127"/>
      <c r="I348" s="127"/>
      <c r="AU348" s="45" t="s">
        <v>1011</v>
      </c>
    </row>
    <row r="349">
      <c r="H349" s="127"/>
      <c r="I349" s="127"/>
      <c r="AU349" s="45" t="s">
        <v>1011</v>
      </c>
    </row>
    <row r="350">
      <c r="H350" s="127"/>
      <c r="I350" s="127"/>
      <c r="AU350" s="45" t="s">
        <v>1011</v>
      </c>
    </row>
    <row r="351">
      <c r="H351" s="127"/>
      <c r="I351" s="127"/>
      <c r="AU351" s="45" t="s">
        <v>1011</v>
      </c>
    </row>
    <row r="352">
      <c r="H352" s="127"/>
      <c r="I352" s="127"/>
      <c r="AU352" s="45" t="s">
        <v>1011</v>
      </c>
    </row>
    <row r="353">
      <c r="H353" s="127"/>
      <c r="I353" s="127"/>
      <c r="AU353" s="45" t="s">
        <v>1011</v>
      </c>
    </row>
    <row r="354">
      <c r="H354" s="127"/>
      <c r="I354" s="127"/>
      <c r="AU354" s="45" t="s">
        <v>1011</v>
      </c>
    </row>
    <row r="355">
      <c r="H355" s="127"/>
      <c r="I355" s="127"/>
      <c r="AU355" s="45" t="s">
        <v>1011</v>
      </c>
    </row>
    <row r="356">
      <c r="H356" s="127"/>
      <c r="I356" s="127"/>
      <c r="AU356" s="45" t="s">
        <v>1011</v>
      </c>
    </row>
    <row r="357">
      <c r="H357" s="127"/>
      <c r="I357" s="127"/>
      <c r="AU357" s="45" t="s">
        <v>1011</v>
      </c>
    </row>
    <row r="358">
      <c r="H358" s="127"/>
      <c r="I358" s="127"/>
      <c r="AU358" s="45" t="s">
        <v>1011</v>
      </c>
    </row>
    <row r="359">
      <c r="H359" s="127"/>
      <c r="I359" s="127"/>
      <c r="AU359" s="45" t="s">
        <v>1011</v>
      </c>
    </row>
    <row r="360">
      <c r="H360" s="127"/>
      <c r="I360" s="127"/>
      <c r="AU360" s="45" t="s">
        <v>1011</v>
      </c>
    </row>
    <row r="361">
      <c r="H361" s="127"/>
      <c r="I361" s="127"/>
      <c r="AU361" s="45" t="s">
        <v>1011</v>
      </c>
    </row>
    <row r="362">
      <c r="H362" s="127"/>
      <c r="I362" s="127"/>
      <c r="AU362" s="45" t="s">
        <v>1011</v>
      </c>
    </row>
    <row r="363">
      <c r="H363" s="127"/>
      <c r="I363" s="127"/>
      <c r="AU363" s="45" t="s">
        <v>1011</v>
      </c>
    </row>
    <row r="364">
      <c r="H364" s="127"/>
      <c r="I364" s="127"/>
      <c r="AU364" s="45" t="s">
        <v>1011</v>
      </c>
    </row>
    <row r="365">
      <c r="H365" s="127"/>
      <c r="I365" s="127"/>
      <c r="AU365" s="45" t="s">
        <v>1011</v>
      </c>
    </row>
    <row r="366">
      <c r="H366" s="127"/>
      <c r="I366" s="127"/>
      <c r="AU366" s="45" t="s">
        <v>1011</v>
      </c>
    </row>
    <row r="367">
      <c r="H367" s="127"/>
      <c r="I367" s="127"/>
      <c r="AU367" s="45" t="s">
        <v>1011</v>
      </c>
    </row>
    <row r="368">
      <c r="H368" s="127"/>
      <c r="I368" s="127"/>
      <c r="AU368" s="45" t="s">
        <v>1011</v>
      </c>
    </row>
    <row r="369">
      <c r="H369" s="127"/>
      <c r="I369" s="127"/>
      <c r="AU369" s="45" t="s">
        <v>1011</v>
      </c>
    </row>
    <row r="370">
      <c r="H370" s="127"/>
      <c r="I370" s="127"/>
      <c r="AU370" s="45" t="s">
        <v>1011</v>
      </c>
    </row>
    <row r="371">
      <c r="H371" s="127"/>
      <c r="I371" s="127"/>
      <c r="AU371" s="45" t="s">
        <v>1011</v>
      </c>
    </row>
    <row r="372">
      <c r="H372" s="127"/>
      <c r="I372" s="127"/>
      <c r="AU372" s="45" t="s">
        <v>1011</v>
      </c>
    </row>
    <row r="373">
      <c r="H373" s="127"/>
      <c r="I373" s="127"/>
      <c r="AU373" s="45" t="s">
        <v>1011</v>
      </c>
    </row>
    <row r="374">
      <c r="H374" s="127"/>
      <c r="I374" s="127"/>
      <c r="AU374" s="45" t="s">
        <v>1011</v>
      </c>
    </row>
    <row r="375">
      <c r="H375" s="127"/>
      <c r="I375" s="127"/>
      <c r="AU375" s="45" t="s">
        <v>1011</v>
      </c>
    </row>
    <row r="376">
      <c r="H376" s="127"/>
      <c r="I376" s="127"/>
      <c r="AU376" s="45" t="s">
        <v>1011</v>
      </c>
    </row>
    <row r="377">
      <c r="H377" s="127"/>
      <c r="I377" s="127"/>
      <c r="AU377" s="45" t="s">
        <v>1011</v>
      </c>
    </row>
    <row r="378">
      <c r="H378" s="127"/>
      <c r="I378" s="127"/>
      <c r="AU378" s="45" t="s">
        <v>1011</v>
      </c>
    </row>
    <row r="379">
      <c r="H379" s="127"/>
      <c r="I379" s="127"/>
      <c r="AU379" s="45" t="s">
        <v>1011</v>
      </c>
    </row>
    <row r="380">
      <c r="H380" s="127"/>
      <c r="I380" s="127"/>
      <c r="AU380" s="45" t="s">
        <v>1011</v>
      </c>
    </row>
    <row r="381">
      <c r="H381" s="127"/>
      <c r="I381" s="127"/>
      <c r="AU381" s="45" t="s">
        <v>1011</v>
      </c>
    </row>
    <row r="382">
      <c r="H382" s="127"/>
      <c r="I382" s="127"/>
      <c r="AU382" s="45" t="s">
        <v>1011</v>
      </c>
    </row>
    <row r="383">
      <c r="H383" s="127"/>
      <c r="I383" s="127"/>
      <c r="AU383" s="45" t="s">
        <v>1011</v>
      </c>
    </row>
    <row r="384">
      <c r="H384" s="127"/>
      <c r="I384" s="127"/>
      <c r="AU384" s="45" t="s">
        <v>1011</v>
      </c>
    </row>
    <row r="385">
      <c r="H385" s="127"/>
      <c r="I385" s="127"/>
      <c r="AU385" s="45" t="s">
        <v>1011</v>
      </c>
    </row>
    <row r="386">
      <c r="H386" s="127"/>
      <c r="I386" s="127"/>
      <c r="AU386" s="45" t="s">
        <v>1011</v>
      </c>
    </row>
    <row r="387">
      <c r="H387" s="127"/>
      <c r="I387" s="127"/>
      <c r="AU387" s="45" t="s">
        <v>1011</v>
      </c>
    </row>
    <row r="388">
      <c r="H388" s="127"/>
      <c r="I388" s="127"/>
      <c r="AU388" s="45" t="s">
        <v>1011</v>
      </c>
    </row>
    <row r="389">
      <c r="H389" s="127"/>
      <c r="I389" s="127"/>
      <c r="AU389" s="45" t="s">
        <v>1011</v>
      </c>
    </row>
    <row r="390">
      <c r="H390" s="127"/>
      <c r="I390" s="127"/>
      <c r="AU390" s="45" t="s">
        <v>1011</v>
      </c>
    </row>
    <row r="391">
      <c r="H391" s="127"/>
      <c r="I391" s="127"/>
      <c r="AU391" s="45" t="s">
        <v>1011</v>
      </c>
    </row>
    <row r="392">
      <c r="H392" s="127"/>
      <c r="I392" s="127"/>
      <c r="AU392" s="45" t="s">
        <v>1011</v>
      </c>
    </row>
    <row r="393">
      <c r="H393" s="127"/>
      <c r="I393" s="127"/>
      <c r="AU393" s="45" t="s">
        <v>1011</v>
      </c>
    </row>
    <row r="394">
      <c r="H394" s="127"/>
      <c r="I394" s="127"/>
      <c r="AU394" s="45" t="s">
        <v>1011</v>
      </c>
    </row>
    <row r="395">
      <c r="H395" s="127"/>
      <c r="I395" s="127"/>
      <c r="AU395" s="45" t="s">
        <v>1011</v>
      </c>
    </row>
    <row r="396">
      <c r="H396" s="127"/>
      <c r="I396" s="127"/>
      <c r="AU396" s="45" t="s">
        <v>1011</v>
      </c>
    </row>
    <row r="397">
      <c r="H397" s="127"/>
      <c r="I397" s="127"/>
      <c r="AU397" s="45" t="s">
        <v>1011</v>
      </c>
    </row>
    <row r="398">
      <c r="H398" s="127"/>
      <c r="I398" s="127"/>
      <c r="AU398" s="45" t="s">
        <v>1011</v>
      </c>
    </row>
    <row r="399">
      <c r="H399" s="127"/>
      <c r="I399" s="127"/>
      <c r="AU399" s="45" t="s">
        <v>1011</v>
      </c>
    </row>
    <row r="400">
      <c r="H400" s="127"/>
      <c r="I400" s="127"/>
      <c r="AU400" s="45" t="s">
        <v>1011</v>
      </c>
    </row>
    <row r="401">
      <c r="H401" s="127"/>
      <c r="I401" s="127"/>
      <c r="AU401" s="45" t="s">
        <v>1011</v>
      </c>
    </row>
    <row r="402">
      <c r="H402" s="127"/>
      <c r="I402" s="127"/>
      <c r="AU402" s="45" t="s">
        <v>1011</v>
      </c>
    </row>
    <row r="403">
      <c r="H403" s="127"/>
      <c r="I403" s="127"/>
      <c r="AU403" s="45" t="s">
        <v>1011</v>
      </c>
    </row>
    <row r="404">
      <c r="H404" s="127"/>
      <c r="I404" s="127"/>
      <c r="AU404" s="45" t="s">
        <v>1011</v>
      </c>
    </row>
    <row r="405">
      <c r="H405" s="127"/>
      <c r="I405" s="127"/>
      <c r="AU405" s="45" t="s">
        <v>1011</v>
      </c>
    </row>
    <row r="406">
      <c r="H406" s="127"/>
      <c r="I406" s="127"/>
      <c r="AU406" s="45" t="s">
        <v>1011</v>
      </c>
    </row>
    <row r="407">
      <c r="H407" s="127"/>
      <c r="I407" s="127"/>
      <c r="AU407" s="45" t="s">
        <v>1011</v>
      </c>
    </row>
    <row r="408">
      <c r="H408" s="127"/>
      <c r="I408" s="127"/>
      <c r="AU408" s="45" t="s">
        <v>1011</v>
      </c>
    </row>
    <row r="409">
      <c r="H409" s="127"/>
      <c r="I409" s="127"/>
      <c r="AU409" s="45" t="s">
        <v>1011</v>
      </c>
    </row>
    <row r="410">
      <c r="H410" s="127"/>
      <c r="I410" s="127"/>
      <c r="AU410" s="45" t="s">
        <v>1011</v>
      </c>
    </row>
    <row r="411">
      <c r="H411" s="127"/>
      <c r="I411" s="127"/>
      <c r="AU411" s="45" t="s">
        <v>1011</v>
      </c>
    </row>
    <row r="412">
      <c r="H412" s="127"/>
      <c r="I412" s="127"/>
      <c r="AU412" s="45" t="s">
        <v>1011</v>
      </c>
    </row>
    <row r="413">
      <c r="H413" s="127"/>
      <c r="I413" s="127"/>
      <c r="AU413" s="45" t="s">
        <v>1011</v>
      </c>
    </row>
    <row r="414">
      <c r="H414" s="127"/>
      <c r="I414" s="127"/>
      <c r="AU414" s="45" t="s">
        <v>1011</v>
      </c>
    </row>
    <row r="415">
      <c r="H415" s="127"/>
      <c r="I415" s="127"/>
      <c r="AU415" s="45" t="s">
        <v>1011</v>
      </c>
    </row>
    <row r="416">
      <c r="H416" s="127"/>
      <c r="I416" s="127"/>
      <c r="AU416" s="45" t="s">
        <v>1011</v>
      </c>
    </row>
    <row r="417">
      <c r="H417" s="127"/>
      <c r="I417" s="127"/>
      <c r="AU417" s="45" t="s">
        <v>1011</v>
      </c>
    </row>
    <row r="418">
      <c r="H418" s="127"/>
      <c r="I418" s="127"/>
      <c r="AU418" s="45" t="s">
        <v>1011</v>
      </c>
    </row>
    <row r="419">
      <c r="H419" s="127"/>
      <c r="I419" s="127"/>
      <c r="AU419" s="45" t="s">
        <v>1011</v>
      </c>
    </row>
    <row r="420">
      <c r="H420" s="127"/>
      <c r="I420" s="127"/>
      <c r="AU420" s="45" t="s">
        <v>1011</v>
      </c>
    </row>
    <row r="421">
      <c r="H421" s="127"/>
      <c r="I421" s="127"/>
      <c r="AU421" s="45" t="s">
        <v>1011</v>
      </c>
    </row>
    <row r="422">
      <c r="H422" s="127"/>
      <c r="I422" s="127"/>
      <c r="AU422" s="45" t="s">
        <v>1011</v>
      </c>
    </row>
    <row r="423">
      <c r="H423" s="127"/>
      <c r="I423" s="127"/>
      <c r="AU423" s="45" t="s">
        <v>1011</v>
      </c>
    </row>
    <row r="424">
      <c r="H424" s="127"/>
      <c r="I424" s="127"/>
      <c r="AU424" s="45" t="s">
        <v>1011</v>
      </c>
    </row>
    <row r="425">
      <c r="H425" s="127"/>
      <c r="I425" s="127"/>
      <c r="AU425" s="45" t="s">
        <v>1011</v>
      </c>
    </row>
    <row r="426">
      <c r="H426" s="127"/>
      <c r="I426" s="127"/>
      <c r="AU426" s="45" t="s">
        <v>1011</v>
      </c>
    </row>
    <row r="427">
      <c r="H427" s="127"/>
      <c r="I427" s="127"/>
      <c r="AU427" s="45" t="s">
        <v>1011</v>
      </c>
    </row>
    <row r="428">
      <c r="H428" s="127"/>
      <c r="I428" s="127"/>
      <c r="AU428" s="45" t="s">
        <v>1011</v>
      </c>
    </row>
    <row r="429">
      <c r="H429" s="127"/>
      <c r="I429" s="127"/>
      <c r="AU429" s="45" t="s">
        <v>1011</v>
      </c>
    </row>
    <row r="430">
      <c r="H430" s="127"/>
      <c r="I430" s="127"/>
      <c r="AU430" s="45" t="s">
        <v>1011</v>
      </c>
    </row>
    <row r="431">
      <c r="H431" s="127"/>
      <c r="I431" s="127"/>
      <c r="AU431" s="45" t="s">
        <v>1011</v>
      </c>
    </row>
    <row r="432">
      <c r="H432" s="127"/>
      <c r="I432" s="127"/>
      <c r="AU432" s="45" t="s">
        <v>1011</v>
      </c>
    </row>
    <row r="433">
      <c r="H433" s="127"/>
      <c r="I433" s="127"/>
      <c r="AU433" s="45" t="s">
        <v>1011</v>
      </c>
    </row>
    <row r="434">
      <c r="H434" s="127"/>
      <c r="I434" s="127"/>
      <c r="AU434" s="45" t="s">
        <v>1011</v>
      </c>
    </row>
    <row r="435">
      <c r="H435" s="127"/>
      <c r="I435" s="127"/>
      <c r="AU435" s="45" t="s">
        <v>1011</v>
      </c>
    </row>
    <row r="436">
      <c r="H436" s="127"/>
      <c r="I436" s="127"/>
      <c r="AU436" s="45" t="s">
        <v>1011</v>
      </c>
    </row>
    <row r="437">
      <c r="H437" s="127"/>
      <c r="I437" s="127"/>
      <c r="AU437" s="45" t="s">
        <v>1011</v>
      </c>
    </row>
    <row r="438">
      <c r="H438" s="127"/>
      <c r="I438" s="127"/>
      <c r="AU438" s="45" t="s">
        <v>1011</v>
      </c>
    </row>
    <row r="439">
      <c r="H439" s="127"/>
      <c r="I439" s="127"/>
      <c r="AU439" s="45" t="s">
        <v>1011</v>
      </c>
    </row>
    <row r="440">
      <c r="H440" s="127"/>
      <c r="I440" s="127"/>
      <c r="AU440" s="45" t="s">
        <v>1011</v>
      </c>
    </row>
    <row r="441">
      <c r="H441" s="127"/>
      <c r="I441" s="127"/>
      <c r="AU441" s="45" t="s">
        <v>1011</v>
      </c>
    </row>
    <row r="442">
      <c r="H442" s="127"/>
      <c r="I442" s="127"/>
      <c r="AU442" s="45" t="s">
        <v>1011</v>
      </c>
    </row>
    <row r="443">
      <c r="H443" s="127"/>
      <c r="I443" s="127"/>
      <c r="AU443" s="45" t="s">
        <v>1011</v>
      </c>
    </row>
    <row r="444">
      <c r="H444" s="127"/>
      <c r="I444" s="127"/>
      <c r="AU444" s="45" t="s">
        <v>1011</v>
      </c>
    </row>
    <row r="445">
      <c r="H445" s="127"/>
      <c r="I445" s="127"/>
      <c r="AU445" s="45" t="s">
        <v>1011</v>
      </c>
    </row>
    <row r="446">
      <c r="H446" s="127"/>
      <c r="I446" s="127"/>
      <c r="AU446" s="45" t="s">
        <v>1011</v>
      </c>
    </row>
    <row r="447">
      <c r="H447" s="127"/>
      <c r="I447" s="127"/>
      <c r="AU447" s="45" t="s">
        <v>1011</v>
      </c>
    </row>
    <row r="448">
      <c r="H448" s="127"/>
      <c r="I448" s="127"/>
      <c r="AU448" s="45" t="s">
        <v>1011</v>
      </c>
    </row>
    <row r="449">
      <c r="H449" s="127"/>
      <c r="I449" s="127"/>
      <c r="AU449" s="45" t="s">
        <v>1011</v>
      </c>
    </row>
    <row r="450">
      <c r="H450" s="127"/>
      <c r="I450" s="127"/>
      <c r="AU450" s="45" t="s">
        <v>1011</v>
      </c>
    </row>
    <row r="451">
      <c r="H451" s="127"/>
      <c r="I451" s="127"/>
      <c r="AU451" s="45" t="s">
        <v>1011</v>
      </c>
    </row>
    <row r="452">
      <c r="H452" s="127"/>
      <c r="I452" s="127"/>
      <c r="AU452" s="45" t="s">
        <v>1011</v>
      </c>
    </row>
    <row r="453">
      <c r="H453" s="127"/>
      <c r="I453" s="127"/>
      <c r="AU453" s="45" t="s">
        <v>1011</v>
      </c>
    </row>
    <row r="454">
      <c r="H454" s="127"/>
      <c r="I454" s="127"/>
      <c r="AU454" s="45" t="s">
        <v>1011</v>
      </c>
    </row>
    <row r="455">
      <c r="H455" s="127"/>
      <c r="I455" s="127"/>
      <c r="AU455" s="45" t="s">
        <v>1011</v>
      </c>
    </row>
    <row r="456">
      <c r="H456" s="127"/>
      <c r="I456" s="127"/>
      <c r="AU456" s="45" t="s">
        <v>1011</v>
      </c>
    </row>
    <row r="457">
      <c r="H457" s="127"/>
      <c r="I457" s="127"/>
      <c r="AU457" s="45" t="s">
        <v>1011</v>
      </c>
    </row>
    <row r="458">
      <c r="H458" s="127"/>
      <c r="I458" s="127"/>
      <c r="AU458" s="45" t="s">
        <v>1011</v>
      </c>
    </row>
    <row r="459">
      <c r="H459" s="127"/>
      <c r="I459" s="127"/>
      <c r="AU459" s="45" t="s">
        <v>1011</v>
      </c>
    </row>
    <row r="460">
      <c r="H460" s="127"/>
      <c r="I460" s="127"/>
      <c r="AU460" s="45" t="s">
        <v>1011</v>
      </c>
    </row>
    <row r="461">
      <c r="H461" s="127"/>
      <c r="I461" s="127"/>
      <c r="AU461" s="45" t="s">
        <v>1011</v>
      </c>
    </row>
    <row r="462">
      <c r="H462" s="127"/>
      <c r="I462" s="127"/>
      <c r="AU462" s="45" t="s">
        <v>1011</v>
      </c>
    </row>
    <row r="463">
      <c r="H463" s="127"/>
      <c r="I463" s="127"/>
      <c r="AU463" s="45" t="s">
        <v>1011</v>
      </c>
    </row>
    <row r="464">
      <c r="H464" s="127"/>
      <c r="I464" s="127"/>
      <c r="AU464" s="45" t="s">
        <v>1011</v>
      </c>
    </row>
    <row r="465">
      <c r="H465" s="127"/>
      <c r="I465" s="127"/>
      <c r="AU465" s="45" t="s">
        <v>1011</v>
      </c>
    </row>
    <row r="466">
      <c r="H466" s="127"/>
      <c r="I466" s="127"/>
      <c r="AU466" s="45" t="s">
        <v>1011</v>
      </c>
    </row>
    <row r="467">
      <c r="H467" s="127"/>
      <c r="I467" s="127"/>
      <c r="AU467" s="45" t="s">
        <v>1011</v>
      </c>
    </row>
    <row r="468">
      <c r="H468" s="127"/>
      <c r="I468" s="127"/>
      <c r="AU468" s="45" t="s">
        <v>1011</v>
      </c>
    </row>
    <row r="469">
      <c r="H469" s="127"/>
      <c r="I469" s="127"/>
      <c r="AU469" s="45" t="s">
        <v>1011</v>
      </c>
    </row>
    <row r="470">
      <c r="H470" s="127"/>
      <c r="I470" s="127"/>
      <c r="AU470" s="45" t="s">
        <v>1011</v>
      </c>
    </row>
    <row r="471">
      <c r="H471" s="127"/>
      <c r="I471" s="127"/>
      <c r="AU471" s="45" t="s">
        <v>1011</v>
      </c>
    </row>
    <row r="472">
      <c r="H472" s="127"/>
      <c r="I472" s="127"/>
      <c r="AU472" s="45" t="s">
        <v>1011</v>
      </c>
    </row>
    <row r="473">
      <c r="H473" s="127"/>
      <c r="I473" s="127"/>
      <c r="AU473" s="45" t="s">
        <v>1011</v>
      </c>
    </row>
    <row r="474">
      <c r="H474" s="127"/>
      <c r="I474" s="127"/>
      <c r="AU474" s="45" t="s">
        <v>1011</v>
      </c>
    </row>
    <row r="475">
      <c r="H475" s="127"/>
      <c r="I475" s="127"/>
      <c r="AU475" s="45" t="s">
        <v>1011</v>
      </c>
    </row>
    <row r="476">
      <c r="H476" s="127"/>
      <c r="I476" s="127"/>
      <c r="AU476" s="45" t="s">
        <v>1011</v>
      </c>
    </row>
    <row r="477">
      <c r="H477" s="127"/>
      <c r="I477" s="127"/>
      <c r="AU477" s="45" t="s">
        <v>1011</v>
      </c>
    </row>
    <row r="478">
      <c r="H478" s="127"/>
      <c r="I478" s="127"/>
      <c r="AU478" s="45" t="s">
        <v>1011</v>
      </c>
    </row>
    <row r="479">
      <c r="H479" s="127"/>
      <c r="I479" s="127"/>
      <c r="AU479" s="45" t="s">
        <v>1011</v>
      </c>
    </row>
    <row r="480">
      <c r="H480" s="127"/>
      <c r="I480" s="127"/>
      <c r="AU480" s="45" t="s">
        <v>1011</v>
      </c>
    </row>
    <row r="481">
      <c r="H481" s="127"/>
      <c r="I481" s="127"/>
      <c r="AU481" s="45" t="s">
        <v>1011</v>
      </c>
    </row>
    <row r="482">
      <c r="H482" s="127"/>
      <c r="I482" s="127"/>
      <c r="AU482" s="45" t="s">
        <v>1011</v>
      </c>
    </row>
    <row r="483">
      <c r="H483" s="127"/>
      <c r="I483" s="127"/>
      <c r="AU483" s="45" t="s">
        <v>1011</v>
      </c>
    </row>
    <row r="484">
      <c r="H484" s="127"/>
      <c r="I484" s="127"/>
      <c r="AU484" s="45" t="s">
        <v>1011</v>
      </c>
    </row>
    <row r="485">
      <c r="H485" s="127"/>
      <c r="I485" s="127"/>
      <c r="AU485" s="45" t="s">
        <v>1011</v>
      </c>
    </row>
    <row r="486">
      <c r="H486" s="127"/>
      <c r="I486" s="127"/>
      <c r="AU486" s="45" t="s">
        <v>1011</v>
      </c>
    </row>
    <row r="487">
      <c r="H487" s="127"/>
      <c r="I487" s="127"/>
      <c r="AU487" s="45" t="s">
        <v>1011</v>
      </c>
    </row>
    <row r="488">
      <c r="H488" s="127"/>
      <c r="I488" s="127"/>
      <c r="AU488" s="45" t="s">
        <v>1011</v>
      </c>
    </row>
    <row r="489">
      <c r="H489" s="127"/>
      <c r="I489" s="127"/>
      <c r="AU489" s="45" t="s">
        <v>1011</v>
      </c>
    </row>
    <row r="490">
      <c r="H490" s="127"/>
      <c r="I490" s="127"/>
      <c r="AU490" s="45" t="s">
        <v>1011</v>
      </c>
    </row>
    <row r="491">
      <c r="H491" s="127"/>
      <c r="I491" s="127"/>
      <c r="AU491" s="45" t="s">
        <v>1011</v>
      </c>
    </row>
    <row r="492">
      <c r="H492" s="127"/>
      <c r="I492" s="127"/>
      <c r="AU492" s="45" t="s">
        <v>1011</v>
      </c>
    </row>
    <row r="493">
      <c r="H493" s="127"/>
      <c r="I493" s="127"/>
      <c r="AU493" s="45" t="s">
        <v>1011</v>
      </c>
    </row>
    <row r="494">
      <c r="H494" s="127"/>
      <c r="I494" s="127"/>
      <c r="AU494" s="45" t="s">
        <v>1011</v>
      </c>
    </row>
    <row r="495">
      <c r="H495" s="127"/>
      <c r="I495" s="127"/>
      <c r="AU495" s="45" t="s">
        <v>1011</v>
      </c>
    </row>
    <row r="496">
      <c r="H496" s="127"/>
      <c r="I496" s="127"/>
      <c r="AU496" s="45" t="s">
        <v>1011</v>
      </c>
    </row>
    <row r="497">
      <c r="H497" s="127"/>
      <c r="I497" s="127"/>
      <c r="AU497" s="45" t="s">
        <v>1011</v>
      </c>
    </row>
    <row r="498">
      <c r="H498" s="127"/>
      <c r="I498" s="127"/>
      <c r="AU498" s="45" t="s">
        <v>1011</v>
      </c>
    </row>
    <row r="499">
      <c r="H499" s="127"/>
      <c r="I499" s="127"/>
      <c r="AU499" s="45" t="s">
        <v>1011</v>
      </c>
    </row>
    <row r="500">
      <c r="H500" s="127"/>
      <c r="I500" s="127"/>
      <c r="AU500" s="45" t="s">
        <v>1011</v>
      </c>
    </row>
    <row r="501">
      <c r="H501" s="127"/>
      <c r="I501" s="127"/>
      <c r="AU501" s="45" t="s">
        <v>1011</v>
      </c>
    </row>
    <row r="502">
      <c r="H502" s="127"/>
      <c r="I502" s="127"/>
      <c r="AU502" s="45" t="s">
        <v>1011</v>
      </c>
    </row>
    <row r="503">
      <c r="H503" s="127"/>
      <c r="I503" s="127"/>
      <c r="AU503" s="45" t="s">
        <v>1011</v>
      </c>
    </row>
    <row r="504">
      <c r="H504" s="127"/>
      <c r="I504" s="127"/>
      <c r="AU504" s="45" t="s">
        <v>1011</v>
      </c>
    </row>
    <row r="505">
      <c r="H505" s="127"/>
      <c r="I505" s="127"/>
      <c r="AU505" s="45" t="s">
        <v>1011</v>
      </c>
    </row>
    <row r="506">
      <c r="H506" s="127"/>
      <c r="I506" s="127"/>
      <c r="AU506" s="45" t="s">
        <v>1011</v>
      </c>
    </row>
    <row r="507">
      <c r="H507" s="127"/>
      <c r="I507" s="127"/>
      <c r="AU507" s="45" t="s">
        <v>1011</v>
      </c>
    </row>
    <row r="508">
      <c r="H508" s="127"/>
      <c r="I508" s="127"/>
      <c r="AU508" s="45" t="s">
        <v>1011</v>
      </c>
    </row>
    <row r="509">
      <c r="H509" s="127"/>
      <c r="I509" s="127"/>
      <c r="AU509" s="45" t="s">
        <v>1011</v>
      </c>
    </row>
    <row r="510">
      <c r="H510" s="127"/>
      <c r="I510" s="127"/>
      <c r="AU510" s="45" t="s">
        <v>1011</v>
      </c>
    </row>
    <row r="511">
      <c r="H511" s="127"/>
      <c r="I511" s="127"/>
      <c r="AU511" s="45" t="s">
        <v>1011</v>
      </c>
    </row>
    <row r="512">
      <c r="H512" s="127"/>
      <c r="I512" s="127"/>
      <c r="AU512" s="45" t="s">
        <v>1011</v>
      </c>
    </row>
    <row r="513">
      <c r="H513" s="127"/>
      <c r="I513" s="127"/>
      <c r="AU513" s="45" t="s">
        <v>1011</v>
      </c>
    </row>
    <row r="514">
      <c r="H514" s="127"/>
      <c r="I514" s="127"/>
      <c r="AU514" s="45" t="s">
        <v>1011</v>
      </c>
    </row>
    <row r="515">
      <c r="H515" s="127"/>
      <c r="I515" s="127"/>
      <c r="AU515" s="45" t="s">
        <v>1011</v>
      </c>
    </row>
    <row r="516">
      <c r="H516" s="127"/>
      <c r="I516" s="127"/>
      <c r="AU516" s="45" t="s">
        <v>1011</v>
      </c>
    </row>
    <row r="517">
      <c r="H517" s="127"/>
      <c r="I517" s="127"/>
      <c r="AU517" s="45" t="s">
        <v>1011</v>
      </c>
    </row>
    <row r="518">
      <c r="H518" s="127"/>
      <c r="I518" s="127"/>
      <c r="AU518" s="45" t="s">
        <v>1011</v>
      </c>
    </row>
    <row r="519">
      <c r="H519" s="127"/>
      <c r="I519" s="127"/>
      <c r="AU519" s="45" t="s">
        <v>1011</v>
      </c>
    </row>
    <row r="520">
      <c r="H520" s="127"/>
      <c r="I520" s="127"/>
      <c r="AU520" s="45" t="s">
        <v>1011</v>
      </c>
    </row>
    <row r="521">
      <c r="H521" s="127"/>
      <c r="I521" s="127"/>
      <c r="AU521" s="45" t="s">
        <v>1011</v>
      </c>
    </row>
    <row r="522">
      <c r="H522" s="127"/>
      <c r="I522" s="127"/>
      <c r="AU522" s="45" t="s">
        <v>1011</v>
      </c>
    </row>
    <row r="523">
      <c r="H523" s="127"/>
      <c r="I523" s="127"/>
      <c r="AU523" s="45" t="s">
        <v>1011</v>
      </c>
    </row>
    <row r="524">
      <c r="H524" s="127"/>
      <c r="I524" s="127"/>
      <c r="AU524" s="45" t="s">
        <v>1011</v>
      </c>
    </row>
    <row r="525">
      <c r="H525" s="127"/>
      <c r="I525" s="127"/>
      <c r="AU525" s="45" t="s">
        <v>1011</v>
      </c>
    </row>
    <row r="526">
      <c r="H526" s="127"/>
      <c r="I526" s="127"/>
      <c r="AU526" s="45" t="s">
        <v>1011</v>
      </c>
    </row>
    <row r="527">
      <c r="H527" s="127"/>
      <c r="I527" s="127"/>
      <c r="AU527" s="45" t="s">
        <v>1011</v>
      </c>
    </row>
    <row r="528">
      <c r="H528" s="127"/>
      <c r="I528" s="127"/>
      <c r="AU528" s="45" t="s">
        <v>1011</v>
      </c>
    </row>
    <row r="529">
      <c r="H529" s="127"/>
      <c r="I529" s="127"/>
      <c r="AU529" s="45" t="s">
        <v>1011</v>
      </c>
    </row>
    <row r="530">
      <c r="H530" s="127"/>
      <c r="I530" s="127"/>
      <c r="AU530" s="45" t="s">
        <v>1011</v>
      </c>
    </row>
    <row r="531">
      <c r="H531" s="127"/>
      <c r="I531" s="127"/>
      <c r="AU531" s="45" t="s">
        <v>1011</v>
      </c>
    </row>
    <row r="532">
      <c r="H532" s="127"/>
      <c r="I532" s="127"/>
      <c r="AU532" s="45" t="s">
        <v>1011</v>
      </c>
    </row>
    <row r="533">
      <c r="H533" s="127"/>
      <c r="I533" s="127"/>
      <c r="AU533" s="45" t="s">
        <v>1011</v>
      </c>
    </row>
    <row r="534">
      <c r="H534" s="127"/>
      <c r="I534" s="127"/>
      <c r="AU534" s="45" t="s">
        <v>1011</v>
      </c>
    </row>
    <row r="535">
      <c r="H535" s="127"/>
      <c r="I535" s="127"/>
      <c r="AU535" s="45" t="s">
        <v>1011</v>
      </c>
    </row>
    <row r="536">
      <c r="H536" s="127"/>
      <c r="I536" s="127"/>
      <c r="AU536" s="45" t="s">
        <v>1011</v>
      </c>
    </row>
    <row r="537">
      <c r="H537" s="127"/>
      <c r="I537" s="127"/>
      <c r="AU537" s="45" t="s">
        <v>1011</v>
      </c>
    </row>
    <row r="538">
      <c r="H538" s="127"/>
      <c r="I538" s="127"/>
      <c r="AU538" s="45" t="s">
        <v>1011</v>
      </c>
    </row>
    <row r="539">
      <c r="H539" s="127"/>
      <c r="I539" s="127"/>
      <c r="AU539" s="45" t="s">
        <v>1011</v>
      </c>
    </row>
    <row r="540">
      <c r="H540" s="127"/>
      <c r="I540" s="127"/>
      <c r="AU540" s="45" t="s">
        <v>1011</v>
      </c>
    </row>
    <row r="541">
      <c r="H541" s="127"/>
      <c r="I541" s="127"/>
      <c r="AU541" s="45" t="s">
        <v>1011</v>
      </c>
    </row>
    <row r="542">
      <c r="H542" s="127"/>
      <c r="I542" s="127"/>
      <c r="AU542" s="45" t="s">
        <v>1011</v>
      </c>
    </row>
    <row r="543">
      <c r="H543" s="127"/>
      <c r="I543" s="127"/>
      <c r="AU543" s="45" t="s">
        <v>1011</v>
      </c>
    </row>
    <row r="544">
      <c r="H544" s="127"/>
      <c r="I544" s="127"/>
      <c r="AU544" s="45" t="s">
        <v>1011</v>
      </c>
    </row>
    <row r="545">
      <c r="H545" s="127"/>
      <c r="I545" s="127"/>
      <c r="AU545" s="45" t="s">
        <v>1011</v>
      </c>
    </row>
    <row r="546">
      <c r="H546" s="127"/>
      <c r="I546" s="127"/>
      <c r="AU546" s="45" t="s">
        <v>1011</v>
      </c>
    </row>
    <row r="547">
      <c r="H547" s="127"/>
      <c r="I547" s="127"/>
      <c r="AU547" s="45" t="s">
        <v>1011</v>
      </c>
    </row>
    <row r="548">
      <c r="H548" s="127"/>
      <c r="I548" s="127"/>
      <c r="AU548" s="45" t="s">
        <v>1011</v>
      </c>
    </row>
    <row r="549">
      <c r="H549" s="127"/>
      <c r="I549" s="127"/>
      <c r="AU549" s="45" t="s">
        <v>1011</v>
      </c>
    </row>
    <row r="550">
      <c r="H550" s="127"/>
      <c r="I550" s="127"/>
      <c r="AU550" s="45" t="s">
        <v>1011</v>
      </c>
    </row>
    <row r="551">
      <c r="H551" s="127"/>
      <c r="I551" s="127"/>
      <c r="AU551" s="45" t="s">
        <v>1011</v>
      </c>
    </row>
    <row r="552">
      <c r="H552" s="127"/>
      <c r="I552" s="127"/>
      <c r="AU552" s="45" t="s">
        <v>1011</v>
      </c>
    </row>
    <row r="553">
      <c r="H553" s="127"/>
      <c r="I553" s="127"/>
      <c r="AU553" s="45" t="s">
        <v>1011</v>
      </c>
    </row>
    <row r="554">
      <c r="H554" s="127"/>
      <c r="I554" s="127"/>
      <c r="AU554" s="45" t="s">
        <v>1011</v>
      </c>
    </row>
    <row r="555">
      <c r="H555" s="127"/>
      <c r="I555" s="127"/>
      <c r="AU555" s="45" t="s">
        <v>1011</v>
      </c>
    </row>
    <row r="556">
      <c r="H556" s="127"/>
      <c r="I556" s="127"/>
      <c r="AU556" s="45" t="s">
        <v>1011</v>
      </c>
    </row>
    <row r="557">
      <c r="H557" s="127"/>
      <c r="I557" s="127"/>
      <c r="AU557" s="45" t="s">
        <v>1011</v>
      </c>
    </row>
    <row r="558">
      <c r="H558" s="127"/>
      <c r="I558" s="127"/>
      <c r="AU558" s="45" t="s">
        <v>1011</v>
      </c>
    </row>
    <row r="559">
      <c r="H559" s="127"/>
      <c r="I559" s="127"/>
      <c r="AU559" s="45" t="s">
        <v>1011</v>
      </c>
    </row>
    <row r="560">
      <c r="H560" s="127"/>
      <c r="I560" s="127"/>
      <c r="AU560" s="45" t="s">
        <v>1011</v>
      </c>
    </row>
    <row r="561">
      <c r="H561" s="127"/>
      <c r="I561" s="127"/>
      <c r="AU561" s="45" t="s">
        <v>1011</v>
      </c>
    </row>
    <row r="562">
      <c r="H562" s="127"/>
      <c r="I562" s="127"/>
      <c r="AU562" s="45" t="s">
        <v>1011</v>
      </c>
    </row>
    <row r="563">
      <c r="H563" s="127"/>
      <c r="I563" s="127"/>
      <c r="AU563" s="45" t="s">
        <v>1011</v>
      </c>
    </row>
    <row r="564">
      <c r="H564" s="127"/>
      <c r="I564" s="127"/>
      <c r="AU564" s="45" t="s">
        <v>1011</v>
      </c>
    </row>
    <row r="565">
      <c r="H565" s="127"/>
      <c r="I565" s="127"/>
      <c r="AU565" s="45" t="s">
        <v>1011</v>
      </c>
    </row>
    <row r="566">
      <c r="H566" s="127"/>
      <c r="I566" s="127"/>
      <c r="AU566" s="45" t="s">
        <v>1011</v>
      </c>
    </row>
    <row r="567">
      <c r="H567" s="127"/>
      <c r="I567" s="127"/>
      <c r="AU567" s="45" t="s">
        <v>1011</v>
      </c>
    </row>
    <row r="568">
      <c r="H568" s="127"/>
      <c r="I568" s="127"/>
      <c r="AU568" s="45" t="s">
        <v>1011</v>
      </c>
    </row>
    <row r="569">
      <c r="H569" s="127"/>
      <c r="I569" s="127"/>
      <c r="AU569" s="45" t="s">
        <v>1011</v>
      </c>
    </row>
    <row r="570">
      <c r="H570" s="127"/>
      <c r="I570" s="127"/>
      <c r="AU570" s="45" t="s">
        <v>1011</v>
      </c>
    </row>
    <row r="571">
      <c r="H571" s="127"/>
      <c r="I571" s="127"/>
      <c r="AU571" s="45" t="s">
        <v>1011</v>
      </c>
    </row>
    <row r="572">
      <c r="H572" s="127"/>
      <c r="I572" s="127"/>
      <c r="AU572" s="45" t="s">
        <v>1011</v>
      </c>
    </row>
    <row r="573">
      <c r="H573" s="127"/>
      <c r="I573" s="127"/>
      <c r="AU573" s="45" t="s">
        <v>1011</v>
      </c>
    </row>
    <row r="574">
      <c r="H574" s="127"/>
      <c r="I574" s="127"/>
      <c r="AU574" s="45" t="s">
        <v>1011</v>
      </c>
    </row>
    <row r="575">
      <c r="H575" s="127"/>
      <c r="I575" s="127"/>
      <c r="AU575" s="45" t="s">
        <v>1011</v>
      </c>
    </row>
    <row r="576">
      <c r="H576" s="127"/>
      <c r="I576" s="127"/>
      <c r="AU576" s="45" t="s">
        <v>1011</v>
      </c>
    </row>
    <row r="577">
      <c r="H577" s="127"/>
      <c r="I577" s="127"/>
      <c r="AU577" s="45" t="s">
        <v>1011</v>
      </c>
    </row>
    <row r="578">
      <c r="H578" s="127"/>
      <c r="I578" s="127"/>
      <c r="AU578" s="45" t="s">
        <v>1011</v>
      </c>
    </row>
    <row r="579">
      <c r="H579" s="127"/>
      <c r="I579" s="127"/>
      <c r="AU579" s="45" t="s">
        <v>1011</v>
      </c>
    </row>
    <row r="580">
      <c r="H580" s="127"/>
      <c r="I580" s="127"/>
      <c r="AU580" s="45" t="s">
        <v>1011</v>
      </c>
    </row>
    <row r="581">
      <c r="H581" s="127"/>
      <c r="I581" s="127"/>
      <c r="AU581" s="45" t="s">
        <v>1011</v>
      </c>
    </row>
    <row r="582">
      <c r="H582" s="127"/>
      <c r="I582" s="127"/>
      <c r="AU582" s="45" t="s">
        <v>1011</v>
      </c>
    </row>
    <row r="583">
      <c r="H583" s="127"/>
      <c r="I583" s="127"/>
      <c r="AU583" s="45" t="s">
        <v>1011</v>
      </c>
    </row>
    <row r="584">
      <c r="H584" s="127"/>
      <c r="I584" s="127"/>
      <c r="AU584" s="45" t="s">
        <v>1011</v>
      </c>
    </row>
    <row r="585">
      <c r="H585" s="127"/>
      <c r="I585" s="127"/>
      <c r="AU585" s="45" t="s">
        <v>1011</v>
      </c>
    </row>
    <row r="586">
      <c r="H586" s="127"/>
      <c r="I586" s="127"/>
      <c r="AU586" s="45" t="s">
        <v>1011</v>
      </c>
    </row>
    <row r="587">
      <c r="H587" s="127"/>
      <c r="I587" s="127"/>
      <c r="AU587" s="45" t="s">
        <v>1011</v>
      </c>
    </row>
    <row r="588">
      <c r="H588" s="127"/>
      <c r="I588" s="127"/>
      <c r="AU588" s="45" t="s">
        <v>1011</v>
      </c>
    </row>
    <row r="589">
      <c r="H589" s="127"/>
      <c r="I589" s="127"/>
      <c r="AU589" s="45" t="s">
        <v>1011</v>
      </c>
    </row>
    <row r="590">
      <c r="H590" s="127"/>
      <c r="I590" s="127"/>
      <c r="AU590" s="45" t="s">
        <v>1011</v>
      </c>
    </row>
    <row r="591">
      <c r="H591" s="127"/>
      <c r="I591" s="127"/>
      <c r="AU591" s="45" t="s">
        <v>1011</v>
      </c>
    </row>
    <row r="592">
      <c r="H592" s="127"/>
      <c r="I592" s="127"/>
      <c r="AU592" s="45" t="s">
        <v>1011</v>
      </c>
    </row>
    <row r="593">
      <c r="H593" s="127"/>
      <c r="I593" s="127"/>
      <c r="AU593" s="45" t="s">
        <v>1011</v>
      </c>
    </row>
    <row r="594">
      <c r="H594" s="127"/>
      <c r="I594" s="127"/>
      <c r="AU594" s="45" t="s">
        <v>1011</v>
      </c>
    </row>
    <row r="595">
      <c r="H595" s="127"/>
      <c r="I595" s="127"/>
      <c r="AU595" s="45" t="s">
        <v>1011</v>
      </c>
    </row>
    <row r="596">
      <c r="H596" s="127"/>
      <c r="I596" s="127"/>
      <c r="AU596" s="45" t="s">
        <v>1011</v>
      </c>
    </row>
    <row r="597">
      <c r="H597" s="127"/>
      <c r="I597" s="127"/>
      <c r="AU597" s="45" t="s">
        <v>1011</v>
      </c>
    </row>
    <row r="598">
      <c r="H598" s="127"/>
      <c r="I598" s="127"/>
      <c r="AU598" s="45" t="s">
        <v>1011</v>
      </c>
    </row>
    <row r="599">
      <c r="H599" s="127"/>
      <c r="I599" s="127"/>
      <c r="AU599" s="45" t="s">
        <v>1011</v>
      </c>
    </row>
    <row r="600">
      <c r="H600" s="127"/>
      <c r="I600" s="127"/>
      <c r="AU600" s="45" t="s">
        <v>1011</v>
      </c>
    </row>
    <row r="601">
      <c r="H601" s="127"/>
      <c r="I601" s="127"/>
      <c r="AU601" s="45" t="s">
        <v>1011</v>
      </c>
    </row>
    <row r="602">
      <c r="H602" s="127"/>
      <c r="I602" s="127"/>
      <c r="AU602" s="45" t="s">
        <v>1011</v>
      </c>
    </row>
    <row r="603">
      <c r="H603" s="127"/>
      <c r="I603" s="127"/>
      <c r="AU603" s="45" t="s">
        <v>1011</v>
      </c>
    </row>
    <row r="604">
      <c r="H604" s="127"/>
      <c r="I604" s="127"/>
      <c r="AU604" s="45" t="s">
        <v>1011</v>
      </c>
    </row>
    <row r="605">
      <c r="H605" s="127"/>
      <c r="I605" s="127"/>
      <c r="AU605" s="45" t="s">
        <v>1011</v>
      </c>
    </row>
    <row r="606">
      <c r="H606" s="127"/>
      <c r="I606" s="127"/>
      <c r="AU606" s="45" t="s">
        <v>1011</v>
      </c>
    </row>
    <row r="607">
      <c r="H607" s="127"/>
      <c r="I607" s="127"/>
      <c r="AU607" s="45" t="s">
        <v>1011</v>
      </c>
    </row>
    <row r="608">
      <c r="H608" s="127"/>
      <c r="I608" s="127"/>
      <c r="AU608" s="45" t="s">
        <v>1011</v>
      </c>
    </row>
    <row r="609">
      <c r="H609" s="127"/>
      <c r="I609" s="127"/>
      <c r="AU609" s="45" t="s">
        <v>1011</v>
      </c>
    </row>
    <row r="610">
      <c r="H610" s="127"/>
      <c r="I610" s="127"/>
      <c r="AU610" s="45" t="s">
        <v>1011</v>
      </c>
    </row>
    <row r="611">
      <c r="H611" s="127"/>
      <c r="I611" s="127"/>
      <c r="AU611" s="45" t="s">
        <v>1011</v>
      </c>
    </row>
    <row r="612">
      <c r="H612" s="127"/>
      <c r="I612" s="127"/>
      <c r="AU612" s="45" t="s">
        <v>1011</v>
      </c>
    </row>
    <row r="613">
      <c r="H613" s="127"/>
      <c r="I613" s="127"/>
      <c r="AU613" s="45" t="s">
        <v>1011</v>
      </c>
    </row>
    <row r="614">
      <c r="H614" s="127"/>
      <c r="I614" s="127"/>
      <c r="AU614" s="45" t="s">
        <v>1011</v>
      </c>
    </row>
    <row r="615">
      <c r="H615" s="127"/>
      <c r="I615" s="127"/>
      <c r="AU615" s="45" t="s">
        <v>1011</v>
      </c>
    </row>
    <row r="616">
      <c r="H616" s="127"/>
      <c r="I616" s="127"/>
      <c r="AU616" s="45" t="s">
        <v>1011</v>
      </c>
    </row>
    <row r="617">
      <c r="H617" s="127"/>
      <c r="I617" s="127"/>
      <c r="AU617" s="45" t="s">
        <v>1011</v>
      </c>
    </row>
    <row r="618">
      <c r="H618" s="127"/>
      <c r="I618" s="127"/>
      <c r="AU618" s="45" t="s">
        <v>1011</v>
      </c>
    </row>
    <row r="619">
      <c r="H619" s="127"/>
      <c r="I619" s="127"/>
      <c r="AU619" s="45" t="s">
        <v>1011</v>
      </c>
    </row>
    <row r="620">
      <c r="H620" s="127"/>
      <c r="I620" s="127"/>
      <c r="AU620" s="45" t="s">
        <v>1011</v>
      </c>
    </row>
    <row r="621">
      <c r="H621" s="127"/>
      <c r="I621" s="127"/>
      <c r="AU621" s="45" t="s">
        <v>1011</v>
      </c>
    </row>
    <row r="622">
      <c r="H622" s="127"/>
      <c r="I622" s="127"/>
      <c r="AU622" s="45" t="s">
        <v>1011</v>
      </c>
    </row>
    <row r="623">
      <c r="H623" s="127"/>
      <c r="I623" s="127"/>
      <c r="AU623" s="45" t="s">
        <v>1011</v>
      </c>
    </row>
    <row r="624">
      <c r="H624" s="127"/>
      <c r="I624" s="127"/>
      <c r="AU624" s="45" t="s">
        <v>1011</v>
      </c>
    </row>
    <row r="625">
      <c r="H625" s="127"/>
      <c r="I625" s="127"/>
      <c r="AU625" s="45" t="s">
        <v>1011</v>
      </c>
    </row>
    <row r="626">
      <c r="H626" s="127"/>
      <c r="I626" s="127"/>
      <c r="AU626" s="45" t="s">
        <v>1011</v>
      </c>
    </row>
    <row r="627">
      <c r="H627" s="127"/>
      <c r="I627" s="127"/>
      <c r="AU627" s="45" t="s">
        <v>1011</v>
      </c>
    </row>
    <row r="628">
      <c r="H628" s="127"/>
      <c r="I628" s="127"/>
      <c r="AU628" s="45" t="s">
        <v>1011</v>
      </c>
    </row>
    <row r="629">
      <c r="H629" s="127"/>
      <c r="I629" s="127"/>
      <c r="AU629" s="45" t="s">
        <v>1011</v>
      </c>
    </row>
    <row r="630">
      <c r="H630" s="127"/>
      <c r="I630" s="127"/>
      <c r="AU630" s="45" t="s">
        <v>1011</v>
      </c>
    </row>
    <row r="631">
      <c r="H631" s="127"/>
      <c r="I631" s="127"/>
      <c r="AU631" s="45" t="s">
        <v>1011</v>
      </c>
    </row>
    <row r="632">
      <c r="H632" s="127"/>
      <c r="I632" s="127"/>
      <c r="AU632" s="45" t="s">
        <v>1011</v>
      </c>
    </row>
    <row r="633">
      <c r="H633" s="127"/>
      <c r="I633" s="127"/>
      <c r="AU633" s="45" t="s">
        <v>1011</v>
      </c>
    </row>
    <row r="634">
      <c r="H634" s="127"/>
      <c r="I634" s="127"/>
      <c r="AU634" s="45" t="s">
        <v>1011</v>
      </c>
    </row>
    <row r="635">
      <c r="H635" s="127"/>
      <c r="I635" s="127"/>
      <c r="AU635" s="45" t="s">
        <v>1011</v>
      </c>
    </row>
    <row r="636">
      <c r="H636" s="127"/>
      <c r="I636" s="127"/>
      <c r="AU636" s="45" t="s">
        <v>1011</v>
      </c>
    </row>
    <row r="637">
      <c r="H637" s="127"/>
      <c r="I637" s="127"/>
      <c r="AU637" s="45" t="s">
        <v>1011</v>
      </c>
    </row>
    <row r="638">
      <c r="H638" s="127"/>
      <c r="I638" s="127"/>
      <c r="AU638" s="45" t="s">
        <v>1011</v>
      </c>
    </row>
    <row r="639">
      <c r="H639" s="127"/>
      <c r="I639" s="127"/>
      <c r="AU639" s="45" t="s">
        <v>1011</v>
      </c>
    </row>
    <row r="640">
      <c r="H640" s="127"/>
      <c r="I640" s="127"/>
      <c r="AU640" s="45" t="s">
        <v>1011</v>
      </c>
    </row>
    <row r="641">
      <c r="B641" s="45" t="s">
        <v>44</v>
      </c>
      <c r="C641" s="45" t="s">
        <v>14</v>
      </c>
      <c r="D641" s="45" t="s">
        <v>1002</v>
      </c>
      <c r="E641" s="45" t="s">
        <v>45</v>
      </c>
      <c r="F641" s="45"/>
      <c r="G641" s="45">
        <v>0.0</v>
      </c>
      <c r="H641" s="125"/>
      <c r="I641" s="125"/>
      <c r="J641" s="119">
        <v>5.5743E11</v>
      </c>
      <c r="K641" s="45" t="s">
        <v>1003</v>
      </c>
      <c r="L641" s="45">
        <v>1090.0</v>
      </c>
      <c r="M641" s="45" t="s">
        <v>1003</v>
      </c>
      <c r="N641" s="45" t="s">
        <v>1003</v>
      </c>
      <c r="O641" s="45" t="s">
        <v>1004</v>
      </c>
      <c r="P641" s="45">
        <v>11983.0</v>
      </c>
      <c r="Q641" s="45">
        <v>0.0</v>
      </c>
      <c r="R641" s="45" t="s">
        <v>1005</v>
      </c>
      <c r="S641" s="45" t="s">
        <v>46</v>
      </c>
      <c r="T641" s="45" t="s">
        <v>1006</v>
      </c>
      <c r="U641" s="45">
        <v>98.0</v>
      </c>
      <c r="V641" s="45">
        <v>2019.0</v>
      </c>
      <c r="W641" s="45">
        <v>97.8</v>
      </c>
      <c r="X641" s="45">
        <v>2021.0</v>
      </c>
      <c r="Y641" s="45">
        <v>8.7</v>
      </c>
      <c r="Z641" s="45">
        <v>82.0</v>
      </c>
      <c r="AA641" s="45">
        <v>2025.0</v>
      </c>
      <c r="AB641" s="45">
        <v>0.0</v>
      </c>
      <c r="AC641" s="45">
        <v>0.0</v>
      </c>
      <c r="AD641" s="45" t="s">
        <v>1007</v>
      </c>
      <c r="AE641" s="45" t="s">
        <v>1008</v>
      </c>
      <c r="AF641" s="45">
        <v>6.304816805E9</v>
      </c>
      <c r="AG641" s="45">
        <v>9.848094847E9</v>
      </c>
      <c r="AH641" s="45" t="s">
        <v>48</v>
      </c>
      <c r="AI641" s="45">
        <v>0.0</v>
      </c>
      <c r="AJ641" s="45"/>
      <c r="AK641" s="45"/>
      <c r="AL641" s="45"/>
      <c r="AM641" s="45"/>
      <c r="AN641" s="45"/>
      <c r="AO641" s="45"/>
      <c r="AP641" s="45"/>
      <c r="AQ641" s="45"/>
      <c r="AR641" s="45"/>
      <c r="AU641" s="45" t="s">
        <v>1011</v>
      </c>
      <c r="AX641" s="45"/>
    </row>
    <row r="642">
      <c r="B642" s="45" t="s">
        <v>53</v>
      </c>
      <c r="C642" s="45" t="s">
        <v>1020</v>
      </c>
      <c r="D642" s="45" t="s">
        <v>1021</v>
      </c>
      <c r="E642" s="45" t="s">
        <v>54</v>
      </c>
      <c r="F642" s="45"/>
      <c r="G642" s="45">
        <v>0.0</v>
      </c>
      <c r="H642" s="125"/>
      <c r="I642" s="125"/>
      <c r="J642" s="119">
        <v>8.22831E11</v>
      </c>
      <c r="K642" s="45" t="s">
        <v>1003</v>
      </c>
      <c r="L642" s="45" t="s">
        <v>1003</v>
      </c>
      <c r="M642" s="45" t="s">
        <v>1003</v>
      </c>
      <c r="N642" s="45" t="s">
        <v>1003</v>
      </c>
      <c r="O642" s="45" t="s">
        <v>1022</v>
      </c>
      <c r="P642" s="45">
        <v>9510.0</v>
      </c>
      <c r="Q642" s="45">
        <v>0.0</v>
      </c>
      <c r="R642" s="45" t="s">
        <v>1023</v>
      </c>
      <c r="S642" s="45" t="s">
        <v>46</v>
      </c>
      <c r="T642" s="45" t="s">
        <v>1006</v>
      </c>
      <c r="U642" s="45">
        <v>98.0</v>
      </c>
      <c r="V642" s="45">
        <v>2019.0</v>
      </c>
      <c r="W642" s="45">
        <v>98.2</v>
      </c>
      <c r="X642" s="45">
        <v>2021.0</v>
      </c>
      <c r="Y642" s="45">
        <v>8.6</v>
      </c>
      <c r="Z642" s="45">
        <v>81.0</v>
      </c>
      <c r="AA642" s="45">
        <v>2025.0</v>
      </c>
      <c r="AB642" s="45">
        <v>0.0</v>
      </c>
      <c r="AC642" s="45">
        <v>0.0</v>
      </c>
      <c r="AD642" s="45" t="s">
        <v>1024</v>
      </c>
      <c r="AE642" s="45" t="s">
        <v>1025</v>
      </c>
      <c r="AF642" s="45">
        <v>7.207874156E9</v>
      </c>
      <c r="AG642" s="45">
        <v>9.866548969E9</v>
      </c>
      <c r="AH642" s="45" t="s">
        <v>52</v>
      </c>
      <c r="AI642" s="45">
        <v>0.0</v>
      </c>
      <c r="AJ642" s="45"/>
      <c r="AK642" s="45"/>
      <c r="AL642" s="45"/>
      <c r="AM642" s="45"/>
      <c r="AN642" s="45"/>
      <c r="AO642" s="45"/>
      <c r="AP642" s="45"/>
      <c r="AQ642" s="45"/>
      <c r="AR642" s="45"/>
      <c r="AU642" s="45" t="s">
        <v>1011</v>
      </c>
      <c r="AX642" s="45"/>
    </row>
    <row r="643">
      <c r="B643" s="45" t="s">
        <v>3493</v>
      </c>
      <c r="C643" s="45" t="s">
        <v>1111</v>
      </c>
      <c r="D643" s="45" t="s">
        <v>1112</v>
      </c>
      <c r="E643" s="45" t="s">
        <v>96</v>
      </c>
      <c r="F643" s="45"/>
      <c r="G643" s="45">
        <v>0.0</v>
      </c>
      <c r="H643" s="125"/>
      <c r="I643" s="125"/>
      <c r="J643" s="119">
        <v>6.15547E11</v>
      </c>
      <c r="K643" s="45" t="s">
        <v>1003</v>
      </c>
      <c r="L643" s="45">
        <v>1099.0</v>
      </c>
      <c r="M643" s="45" t="s">
        <v>1003</v>
      </c>
      <c r="N643" s="45" t="s">
        <v>1003</v>
      </c>
      <c r="O643" s="45" t="s">
        <v>1113</v>
      </c>
      <c r="P643" s="45">
        <v>10323.0</v>
      </c>
      <c r="Q643" s="45">
        <v>0.0</v>
      </c>
      <c r="R643" s="45" t="s">
        <v>1114</v>
      </c>
      <c r="S643" s="45" t="s">
        <v>46</v>
      </c>
      <c r="T643" s="45" t="s">
        <v>1006</v>
      </c>
      <c r="U643" s="45">
        <v>98.0</v>
      </c>
      <c r="V643" s="45">
        <v>2019.0</v>
      </c>
      <c r="W643" s="45">
        <v>97.4</v>
      </c>
      <c r="X643" s="45">
        <v>2021.0</v>
      </c>
      <c r="Y643" s="45">
        <v>8.5</v>
      </c>
      <c r="Z643" s="45">
        <v>80.0</v>
      </c>
      <c r="AA643" s="45">
        <v>2025.0</v>
      </c>
      <c r="AB643" s="45">
        <v>0.0</v>
      </c>
      <c r="AC643" s="45">
        <v>0.0</v>
      </c>
      <c r="AD643" s="45" t="s">
        <v>1115</v>
      </c>
      <c r="AE643" s="45" t="s">
        <v>1116</v>
      </c>
      <c r="AF643" s="45">
        <v>7.095264009E9</v>
      </c>
      <c r="AG643" s="45">
        <v>9.553936456E9</v>
      </c>
      <c r="AH643" s="45" t="s">
        <v>1117</v>
      </c>
      <c r="AI643" s="45" t="s">
        <v>1118</v>
      </c>
      <c r="AJ643" s="45"/>
      <c r="AK643" s="45"/>
      <c r="AL643" s="45"/>
      <c r="AM643" s="45"/>
      <c r="AN643" s="45"/>
      <c r="AO643" s="45"/>
      <c r="AP643" s="45"/>
      <c r="AQ643" s="45"/>
      <c r="AR643" s="45"/>
      <c r="AU643" s="45" t="s">
        <v>1011</v>
      </c>
      <c r="AX643" s="45"/>
    </row>
    <row r="644">
      <c r="B644" s="45" t="s">
        <v>3494</v>
      </c>
      <c r="C644" s="45" t="s">
        <v>1154</v>
      </c>
      <c r="D644" s="45" t="s">
        <v>1155</v>
      </c>
      <c r="E644" s="45" t="s">
        <v>113</v>
      </c>
      <c r="F644" s="45"/>
      <c r="G644" s="45">
        <v>0.0</v>
      </c>
      <c r="H644" s="125"/>
      <c r="I644" s="125"/>
      <c r="J644" s="119">
        <v>4.15421E11</v>
      </c>
      <c r="K644" s="45" t="s">
        <v>1003</v>
      </c>
      <c r="L644" s="45">
        <v>576.0</v>
      </c>
      <c r="M644" s="45" t="s">
        <v>1003</v>
      </c>
      <c r="N644" s="45" t="s">
        <v>1003</v>
      </c>
      <c r="O644" s="45" t="s">
        <v>1156</v>
      </c>
      <c r="P644" s="45">
        <v>14323.0</v>
      </c>
      <c r="Q644" s="45">
        <v>0.0</v>
      </c>
      <c r="R644" s="45" t="s">
        <v>1157</v>
      </c>
      <c r="S644" s="45" t="s">
        <v>46</v>
      </c>
      <c r="T644" s="45" t="s">
        <v>1006</v>
      </c>
      <c r="U644" s="45">
        <v>88.35</v>
      </c>
      <c r="V644" s="45">
        <v>2019.0</v>
      </c>
      <c r="W644" s="45">
        <v>93.8</v>
      </c>
      <c r="X644" s="45">
        <v>2021.0</v>
      </c>
      <c r="Y644" s="45">
        <v>8.4</v>
      </c>
      <c r="Z644" s="45">
        <v>79.0</v>
      </c>
      <c r="AA644" s="45">
        <v>2025.0</v>
      </c>
      <c r="AB644" s="45">
        <v>0.0</v>
      </c>
      <c r="AC644" s="45">
        <v>0.0</v>
      </c>
      <c r="AD644" s="45" t="s">
        <v>1158</v>
      </c>
      <c r="AE644" s="45" t="s">
        <v>1159</v>
      </c>
      <c r="AF644" s="45">
        <v>8.247085538E9</v>
      </c>
      <c r="AG644" s="45">
        <v>8.247085538E9</v>
      </c>
      <c r="AH644" s="45">
        <v>0.0</v>
      </c>
      <c r="AI644" s="45">
        <v>0.0</v>
      </c>
      <c r="AJ644" s="45"/>
      <c r="AK644" s="45"/>
      <c r="AL644" s="45"/>
      <c r="AM644" s="45"/>
      <c r="AN644" s="45"/>
      <c r="AO644" s="45"/>
      <c r="AP644" s="45"/>
      <c r="AQ644" s="45"/>
      <c r="AR644" s="45"/>
      <c r="AU644" s="45" t="s">
        <v>1011</v>
      </c>
      <c r="AX644" s="45"/>
    </row>
    <row r="645">
      <c r="B645" s="45" t="s">
        <v>116</v>
      </c>
      <c r="C645" s="45" t="s">
        <v>1162</v>
      </c>
      <c r="D645" s="45" t="s">
        <v>1163</v>
      </c>
      <c r="E645" s="45" t="s">
        <v>117</v>
      </c>
      <c r="F645" s="45"/>
      <c r="G645" s="45">
        <v>0.0</v>
      </c>
      <c r="H645" s="125"/>
      <c r="I645" s="125"/>
      <c r="J645" s="119">
        <v>4.15264E11</v>
      </c>
      <c r="K645" s="45" t="s">
        <v>1003</v>
      </c>
      <c r="L645" s="45">
        <v>-180.0</v>
      </c>
      <c r="M645" s="45" t="s">
        <v>1003</v>
      </c>
      <c r="N645" s="45" t="s">
        <v>1003</v>
      </c>
      <c r="O645" s="45" t="s">
        <v>1164</v>
      </c>
      <c r="P645" s="45">
        <v>44600.0</v>
      </c>
      <c r="Q645" s="45">
        <v>0.0</v>
      </c>
      <c r="R645" s="121">
        <v>37714.0</v>
      </c>
      <c r="S645" s="45" t="s">
        <v>46</v>
      </c>
      <c r="T645" s="45" t="s">
        <v>1006</v>
      </c>
      <c r="U645" s="45">
        <v>88.0</v>
      </c>
      <c r="V645" s="45">
        <v>2018.0</v>
      </c>
      <c r="W645" s="45">
        <v>93.0</v>
      </c>
      <c r="X645" s="45">
        <v>2020.0</v>
      </c>
      <c r="Y645" s="45">
        <v>8.4</v>
      </c>
      <c r="Z645" s="45">
        <v>79.0</v>
      </c>
      <c r="AA645" s="45">
        <v>2025.0</v>
      </c>
      <c r="AB645" s="45">
        <v>0.0</v>
      </c>
      <c r="AC645" s="45">
        <v>0.0</v>
      </c>
      <c r="AD645" s="45" t="s">
        <v>1165</v>
      </c>
      <c r="AE645" s="45" t="s">
        <v>1166</v>
      </c>
      <c r="AF645" s="45">
        <v>9.515962889E9</v>
      </c>
      <c r="AG645" s="45">
        <v>9.440235299E9</v>
      </c>
      <c r="AH645" s="45" t="s">
        <v>48</v>
      </c>
      <c r="AI645" s="45">
        <v>0.0</v>
      </c>
      <c r="AJ645" s="45"/>
      <c r="AK645" s="45"/>
      <c r="AL645" s="45"/>
      <c r="AM645" s="45"/>
      <c r="AN645" s="45"/>
      <c r="AO645" s="45"/>
      <c r="AP645" s="45"/>
      <c r="AQ645" s="45"/>
      <c r="AR645" s="45"/>
      <c r="AU645" s="45" t="s">
        <v>1011</v>
      </c>
      <c r="AX645" s="45"/>
    </row>
    <row r="646">
      <c r="B646" s="45" t="s">
        <v>123</v>
      </c>
      <c r="C646" s="45" t="s">
        <v>1176</v>
      </c>
      <c r="D646" s="45" t="s">
        <v>1177</v>
      </c>
      <c r="E646" s="45" t="s">
        <v>124</v>
      </c>
      <c r="F646" s="45"/>
      <c r="G646" s="45">
        <v>0.0</v>
      </c>
      <c r="H646" s="125"/>
      <c r="I646" s="125"/>
      <c r="J646" s="119">
        <v>8.24233E11</v>
      </c>
      <c r="K646" s="45" t="s">
        <v>1003</v>
      </c>
      <c r="L646" s="45">
        <v>1024.0</v>
      </c>
      <c r="M646" s="45" t="s">
        <v>1003</v>
      </c>
      <c r="N646" s="45" t="s">
        <v>1003</v>
      </c>
      <c r="O646" s="45" t="s">
        <v>1178</v>
      </c>
      <c r="P646" s="45">
        <v>8868.0</v>
      </c>
      <c r="Q646" s="45">
        <v>0.0</v>
      </c>
      <c r="R646" s="45" t="s">
        <v>1179</v>
      </c>
      <c r="S646" s="45" t="s">
        <v>46</v>
      </c>
      <c r="T646" s="45" t="s">
        <v>1006</v>
      </c>
      <c r="U646" s="45">
        <v>98.0</v>
      </c>
      <c r="V646" s="45">
        <v>2019.0</v>
      </c>
      <c r="W646" s="45">
        <v>99.0</v>
      </c>
      <c r="X646" s="45">
        <v>2021.0</v>
      </c>
      <c r="Y646" s="45">
        <v>9.2</v>
      </c>
      <c r="Z646" s="45">
        <v>87.0</v>
      </c>
      <c r="AA646" s="45">
        <v>2025.0</v>
      </c>
      <c r="AB646" s="45">
        <v>0.0</v>
      </c>
      <c r="AC646" s="45">
        <v>0.0</v>
      </c>
      <c r="AD646" s="45" t="s">
        <v>1180</v>
      </c>
      <c r="AE646" s="45" t="s">
        <v>1181</v>
      </c>
      <c r="AF646" s="45">
        <v>7.801060344E9</v>
      </c>
      <c r="AG646" s="45">
        <v>9.848332543E9</v>
      </c>
      <c r="AH646" s="45" t="s">
        <v>125</v>
      </c>
      <c r="AI646" s="45">
        <v>0.0</v>
      </c>
      <c r="AJ646" s="45"/>
      <c r="AK646" s="45"/>
      <c r="AL646" s="45"/>
      <c r="AM646" s="45"/>
      <c r="AN646" s="45"/>
      <c r="AO646" s="45"/>
      <c r="AP646" s="45"/>
      <c r="AQ646" s="45"/>
      <c r="AR646" s="45"/>
      <c r="AU646" s="45" t="s">
        <v>1011</v>
      </c>
      <c r="AX646" s="45"/>
    </row>
    <row r="647">
      <c r="B647" s="45" t="s">
        <v>128</v>
      </c>
      <c r="C647" s="45" t="s">
        <v>1191</v>
      </c>
      <c r="D647" s="45" t="s">
        <v>1192</v>
      </c>
      <c r="E647" s="45" t="s">
        <v>129</v>
      </c>
      <c r="F647" s="45"/>
      <c r="G647" s="45">
        <v>0.0</v>
      </c>
      <c r="H647" s="125"/>
      <c r="I647" s="125"/>
      <c r="J647" s="119">
        <v>9.39742E11</v>
      </c>
      <c r="K647" s="45" t="s">
        <v>1003</v>
      </c>
      <c r="L647" s="45">
        <v>143.0</v>
      </c>
      <c r="M647" s="45" t="s">
        <v>1003</v>
      </c>
      <c r="N647" s="45" t="s">
        <v>1003</v>
      </c>
      <c r="O647" s="45" t="s">
        <v>1193</v>
      </c>
      <c r="P647" s="45">
        <v>15034.0</v>
      </c>
      <c r="Q647" s="45">
        <v>0.0</v>
      </c>
      <c r="R647" s="45" t="s">
        <v>1194</v>
      </c>
      <c r="S647" s="45" t="s">
        <v>60</v>
      </c>
      <c r="T647" s="45" t="s">
        <v>1006</v>
      </c>
      <c r="U647" s="45">
        <v>98.0</v>
      </c>
      <c r="V647" s="45">
        <v>2019.0</v>
      </c>
      <c r="W647" s="45">
        <v>94.4</v>
      </c>
      <c r="X647" s="45">
        <v>2021.0</v>
      </c>
      <c r="Y647" s="45">
        <v>8.6</v>
      </c>
      <c r="Z647" s="45">
        <v>81.0</v>
      </c>
      <c r="AA647" s="45">
        <v>2025.0</v>
      </c>
      <c r="AB647" s="45">
        <v>0.0</v>
      </c>
      <c r="AC647" s="45">
        <v>0.0</v>
      </c>
      <c r="AD647" s="45" t="s">
        <v>1195</v>
      </c>
      <c r="AE647" s="45" t="s">
        <v>1196</v>
      </c>
      <c r="AF647" s="45">
        <v>9.966922291E9</v>
      </c>
      <c r="AG647" s="45">
        <v>9.885522291E9</v>
      </c>
      <c r="AH647" s="45" t="s">
        <v>62</v>
      </c>
      <c r="AI647" s="45">
        <v>0.0</v>
      </c>
      <c r="AJ647" s="45"/>
      <c r="AK647" s="45"/>
      <c r="AL647" s="45"/>
      <c r="AM647" s="45"/>
      <c r="AN647" s="45"/>
      <c r="AO647" s="45"/>
      <c r="AP647" s="45"/>
      <c r="AQ647" s="45"/>
      <c r="AR647" s="45"/>
      <c r="AU647" s="45" t="s">
        <v>1011</v>
      </c>
      <c r="AX647" s="45"/>
    </row>
    <row r="648">
      <c r="B648" s="45" t="s">
        <v>3495</v>
      </c>
      <c r="C648" s="45" t="s">
        <v>1220</v>
      </c>
      <c r="D648" s="45" t="s">
        <v>1221</v>
      </c>
      <c r="E648" s="45" t="s">
        <v>141</v>
      </c>
      <c r="F648" s="45"/>
      <c r="G648" s="45">
        <v>0.0</v>
      </c>
      <c r="H648" s="125"/>
      <c r="I648" s="125"/>
      <c r="J648" s="119">
        <v>5.53618E11</v>
      </c>
      <c r="K648" s="45" t="s">
        <v>1003</v>
      </c>
      <c r="L648" s="45" t="s">
        <v>1003</v>
      </c>
      <c r="M648" s="45" t="s">
        <v>1003</v>
      </c>
      <c r="N648" s="45" t="s">
        <v>1003</v>
      </c>
      <c r="O648" s="45" t="s">
        <v>1222</v>
      </c>
      <c r="P648" s="45">
        <v>12689.0</v>
      </c>
      <c r="Q648" s="45">
        <v>0.0</v>
      </c>
      <c r="R648" s="121">
        <v>37900.0</v>
      </c>
      <c r="S648" s="45" t="s">
        <v>46</v>
      </c>
      <c r="T648" s="45" t="s">
        <v>1006</v>
      </c>
      <c r="U648" s="45">
        <v>97.0</v>
      </c>
      <c r="V648" s="45">
        <v>2019.0</v>
      </c>
      <c r="W648" s="45">
        <v>96.6</v>
      </c>
      <c r="X648" s="45">
        <v>2021.0</v>
      </c>
      <c r="Y648" s="45">
        <v>8.1</v>
      </c>
      <c r="Z648" s="45">
        <v>76.0</v>
      </c>
      <c r="AA648" s="45">
        <v>2025.0</v>
      </c>
      <c r="AB648" s="45">
        <v>0.0</v>
      </c>
      <c r="AC648" s="45">
        <v>0.0</v>
      </c>
      <c r="AD648" s="45" t="s">
        <v>1223</v>
      </c>
      <c r="AE648" s="45" t="s">
        <v>1224</v>
      </c>
      <c r="AF648" s="45">
        <v>7.660971009E9</v>
      </c>
      <c r="AG648" s="45">
        <v>9.542561451E9</v>
      </c>
      <c r="AH648" s="45" t="s">
        <v>52</v>
      </c>
      <c r="AI648" s="45">
        <v>0.0</v>
      </c>
      <c r="AJ648" s="45"/>
      <c r="AK648" s="45"/>
      <c r="AL648" s="45"/>
      <c r="AM648" s="45"/>
      <c r="AN648" s="45"/>
      <c r="AO648" s="45"/>
      <c r="AP648" s="45"/>
      <c r="AQ648" s="45"/>
      <c r="AR648" s="45"/>
      <c r="AU648" s="45" t="s">
        <v>1011</v>
      </c>
      <c r="AX648" s="45"/>
    </row>
    <row r="649">
      <c r="B649" s="45" t="s">
        <v>155</v>
      </c>
      <c r="C649" s="45" t="s">
        <v>1265</v>
      </c>
      <c r="D649" s="45" t="s">
        <v>1266</v>
      </c>
      <c r="E649" s="45" t="s">
        <v>156</v>
      </c>
      <c r="F649" s="45"/>
      <c r="G649" s="45">
        <v>0.0</v>
      </c>
      <c r="H649" s="125"/>
      <c r="I649" s="125"/>
      <c r="J649" s="119">
        <v>2.90575E11</v>
      </c>
      <c r="K649" s="45" t="s">
        <v>1003</v>
      </c>
      <c r="L649" s="45">
        <v>963.0</v>
      </c>
      <c r="M649" s="45" t="s">
        <v>1003</v>
      </c>
      <c r="N649" s="45" t="s">
        <v>1003</v>
      </c>
      <c r="O649" s="45" t="s">
        <v>1123</v>
      </c>
      <c r="P649" s="45">
        <v>0.0</v>
      </c>
      <c r="Q649" s="45">
        <v>0.0</v>
      </c>
      <c r="R649" s="45" t="s">
        <v>1267</v>
      </c>
      <c r="S649" s="45" t="s">
        <v>46</v>
      </c>
      <c r="T649" s="45" t="s">
        <v>1006</v>
      </c>
      <c r="U649" s="45">
        <v>97.0</v>
      </c>
      <c r="V649" s="45">
        <v>2019.0</v>
      </c>
      <c r="W649" s="45">
        <v>97.4</v>
      </c>
      <c r="X649" s="45">
        <v>2021.0</v>
      </c>
      <c r="Y649" s="45">
        <v>8.2</v>
      </c>
      <c r="Z649" s="45">
        <v>77.0</v>
      </c>
      <c r="AA649" s="45">
        <v>2025.0</v>
      </c>
      <c r="AB649" s="45">
        <v>0.0</v>
      </c>
      <c r="AC649" s="45">
        <v>0.0</v>
      </c>
      <c r="AD649" s="45" t="s">
        <v>1268</v>
      </c>
      <c r="AE649" s="45" t="s">
        <v>1269</v>
      </c>
      <c r="AF649" s="45">
        <v>8.919162146E9</v>
      </c>
      <c r="AG649" s="45">
        <v>9.550426999E9</v>
      </c>
      <c r="AH649" s="45" t="s">
        <v>3475</v>
      </c>
      <c r="AI649" s="45" t="s">
        <v>90</v>
      </c>
      <c r="AJ649" s="45"/>
      <c r="AK649" s="45"/>
      <c r="AL649" s="45"/>
      <c r="AM649" s="45"/>
      <c r="AN649" s="45"/>
      <c r="AO649" s="45"/>
      <c r="AP649" s="45"/>
      <c r="AQ649" s="45"/>
      <c r="AR649" s="45"/>
      <c r="AU649" s="45" t="s">
        <v>1011</v>
      </c>
      <c r="AX649" s="45"/>
    </row>
    <row r="650">
      <c r="B650" s="45" t="s">
        <v>3496</v>
      </c>
      <c r="C650" s="45" t="s">
        <v>1279</v>
      </c>
      <c r="D650" s="45" t="s">
        <v>1280</v>
      </c>
      <c r="E650" s="45" t="s">
        <v>161</v>
      </c>
      <c r="F650" s="45"/>
      <c r="G650" s="45">
        <v>0.0</v>
      </c>
      <c r="H650" s="125"/>
      <c r="I650" s="125"/>
      <c r="J650" s="119">
        <v>3.24007E11</v>
      </c>
      <c r="K650" s="45" t="s">
        <v>1003</v>
      </c>
      <c r="L650" s="45" t="s">
        <v>1003</v>
      </c>
      <c r="M650" s="45" t="s">
        <v>1003</v>
      </c>
      <c r="N650" s="45" t="s">
        <v>1003</v>
      </c>
      <c r="O650" s="45" t="s">
        <v>1123</v>
      </c>
      <c r="P650" s="45">
        <v>25146.0</v>
      </c>
      <c r="Q650" s="45">
        <v>0.0</v>
      </c>
      <c r="R650" s="45" t="s">
        <v>1281</v>
      </c>
      <c r="S650" s="45" t="s">
        <v>46</v>
      </c>
      <c r="T650" s="45" t="s">
        <v>1006</v>
      </c>
      <c r="U650" s="45">
        <v>97.0</v>
      </c>
      <c r="V650" s="45">
        <v>2019.0</v>
      </c>
      <c r="W650" s="45">
        <v>87.0</v>
      </c>
      <c r="X650" s="45">
        <v>2021.0</v>
      </c>
      <c r="Y650" s="45">
        <v>7.8</v>
      </c>
      <c r="Z650" s="45">
        <v>73.0</v>
      </c>
      <c r="AA650" s="45">
        <v>2025.0</v>
      </c>
      <c r="AB650" s="45">
        <v>0.0</v>
      </c>
      <c r="AC650" s="45">
        <v>0.0</v>
      </c>
      <c r="AD650" s="45" t="s">
        <v>1282</v>
      </c>
      <c r="AE650" s="45" t="s">
        <v>1283</v>
      </c>
      <c r="AF650" s="45">
        <v>9.390925019E9</v>
      </c>
      <c r="AG650" s="45">
        <v>9.441938941E9</v>
      </c>
      <c r="AH650" s="45">
        <v>0.0</v>
      </c>
      <c r="AI650" s="45">
        <v>0.0</v>
      </c>
      <c r="AJ650" s="45"/>
      <c r="AK650" s="45"/>
      <c r="AL650" s="45"/>
      <c r="AM650" s="45"/>
      <c r="AN650" s="45"/>
      <c r="AO650" s="45"/>
      <c r="AP650" s="45"/>
      <c r="AQ650" s="45"/>
      <c r="AR650" s="45"/>
      <c r="AU650" s="45" t="s">
        <v>1011</v>
      </c>
      <c r="AX650" s="45"/>
    </row>
    <row r="651">
      <c r="B651" s="45" t="s">
        <v>165</v>
      </c>
      <c r="C651" s="45" t="s">
        <v>1293</v>
      </c>
      <c r="D651" s="45" t="s">
        <v>1294</v>
      </c>
      <c r="E651" s="45" t="s">
        <v>166</v>
      </c>
      <c r="F651" s="45"/>
      <c r="G651" s="45">
        <v>0.0</v>
      </c>
      <c r="H651" s="125"/>
      <c r="I651" s="125"/>
      <c r="J651" s="119">
        <v>4.1118E11</v>
      </c>
      <c r="K651" s="45" t="s">
        <v>1003</v>
      </c>
      <c r="L651" s="45" t="s">
        <v>1003</v>
      </c>
      <c r="M651" s="45" t="s">
        <v>1003</v>
      </c>
      <c r="N651" s="45" t="s">
        <v>1003</v>
      </c>
      <c r="O651" s="45" t="s">
        <v>1295</v>
      </c>
      <c r="P651" s="45">
        <v>20302.0</v>
      </c>
      <c r="Q651" s="45">
        <v>0.0</v>
      </c>
      <c r="R651" s="45" t="s">
        <v>1296</v>
      </c>
      <c r="S651" s="45" t="s">
        <v>46</v>
      </c>
      <c r="T651" s="45" t="s">
        <v>1006</v>
      </c>
      <c r="U651" s="45">
        <v>95.0</v>
      </c>
      <c r="V651" s="45">
        <v>2019.0</v>
      </c>
      <c r="W651" s="45">
        <v>96.0</v>
      </c>
      <c r="X651" s="45">
        <v>2021.0</v>
      </c>
      <c r="Y651" s="45">
        <v>0.0</v>
      </c>
      <c r="Z651" s="45">
        <v>-5.0</v>
      </c>
      <c r="AA651" s="45">
        <v>2025.0</v>
      </c>
      <c r="AB651" s="45">
        <v>1.0</v>
      </c>
      <c r="AC651" s="45">
        <v>2.0</v>
      </c>
      <c r="AD651" s="45" t="s">
        <v>1297</v>
      </c>
      <c r="AE651" s="45" t="s">
        <v>1298</v>
      </c>
      <c r="AF651" s="45">
        <v>6.304314963E9</v>
      </c>
      <c r="AG651" s="45">
        <v>9.963851326E9</v>
      </c>
      <c r="AH651" s="45">
        <v>0.0</v>
      </c>
      <c r="AI651" s="45">
        <v>0.0</v>
      </c>
      <c r="AJ651" s="45"/>
      <c r="AK651" s="45"/>
      <c r="AL651" s="45"/>
      <c r="AM651" s="45"/>
      <c r="AN651" s="45"/>
      <c r="AO651" s="45"/>
      <c r="AP651" s="45"/>
      <c r="AQ651" s="45"/>
      <c r="AR651" s="45"/>
      <c r="AU651" s="45" t="s">
        <v>1011</v>
      </c>
      <c r="AX651" s="45"/>
    </row>
    <row r="652">
      <c r="B652" s="45" t="s">
        <v>176</v>
      </c>
      <c r="C652" s="45" t="s">
        <v>1331</v>
      </c>
      <c r="D652" s="45" t="s">
        <v>1332</v>
      </c>
      <c r="E652" s="45" t="s">
        <v>177</v>
      </c>
      <c r="F652" s="45"/>
      <c r="G652" s="45">
        <v>0.0</v>
      </c>
      <c r="H652" s="125"/>
      <c r="I652" s="125"/>
      <c r="J652" s="119">
        <v>3.99505E11</v>
      </c>
      <c r="K652" s="45" t="s">
        <v>1003</v>
      </c>
      <c r="L652" s="45">
        <v>822.0</v>
      </c>
      <c r="M652" s="45" t="s">
        <v>1003</v>
      </c>
      <c r="N652" s="45" t="s">
        <v>1003</v>
      </c>
      <c r="O652" s="45" t="s">
        <v>1333</v>
      </c>
      <c r="P652" s="45">
        <v>7523.0</v>
      </c>
      <c r="Q652" s="45">
        <v>0.0</v>
      </c>
      <c r="R652" s="121">
        <v>38049.0</v>
      </c>
      <c r="S652" s="45" t="s">
        <v>46</v>
      </c>
      <c r="T652" s="45" t="s">
        <v>1006</v>
      </c>
      <c r="U652" s="45">
        <v>97.0</v>
      </c>
      <c r="V652" s="45">
        <v>2019.0</v>
      </c>
      <c r="W652" s="45">
        <v>89.8</v>
      </c>
      <c r="X652" s="45">
        <v>2021.0</v>
      </c>
      <c r="Y652" s="45">
        <v>8.5</v>
      </c>
      <c r="Z652" s="45">
        <v>80.0</v>
      </c>
      <c r="AA652" s="45">
        <v>2025.0</v>
      </c>
      <c r="AB652" s="45">
        <v>0.0</v>
      </c>
      <c r="AC652" s="45">
        <v>0.0</v>
      </c>
      <c r="AD652" s="45" t="s">
        <v>1334</v>
      </c>
      <c r="AE652" s="45" t="s">
        <v>1335</v>
      </c>
      <c r="AF652" s="45">
        <v>9.030788579E9</v>
      </c>
      <c r="AG652" s="45">
        <v>9.959811144E9</v>
      </c>
      <c r="AH652" s="45" t="s">
        <v>1336</v>
      </c>
      <c r="AI652" s="45">
        <v>0.0</v>
      </c>
      <c r="AJ652" s="45"/>
      <c r="AK652" s="45"/>
      <c r="AL652" s="45"/>
      <c r="AM652" s="45"/>
      <c r="AN652" s="45"/>
      <c r="AO652" s="45"/>
      <c r="AP652" s="45"/>
      <c r="AQ652" s="45"/>
      <c r="AR652" s="45"/>
      <c r="AU652" s="45" t="s">
        <v>1011</v>
      </c>
      <c r="AX652" s="45"/>
    </row>
    <row r="653">
      <c r="B653" s="45" t="s">
        <v>195</v>
      </c>
      <c r="C653" s="45" t="s">
        <v>1381</v>
      </c>
      <c r="D653" s="45" t="s">
        <v>1382</v>
      </c>
      <c r="E653" s="45" t="s">
        <v>196</v>
      </c>
      <c r="F653" s="45"/>
      <c r="G653" s="45">
        <v>0.0</v>
      </c>
      <c r="H653" s="125"/>
      <c r="I653" s="125"/>
      <c r="J653" s="119">
        <v>6.53443E11</v>
      </c>
      <c r="K653" s="45" t="s">
        <v>1003</v>
      </c>
      <c r="L653" s="45" t="s">
        <v>1003</v>
      </c>
      <c r="M653" s="45" t="s">
        <v>1003</v>
      </c>
      <c r="N653" s="45" t="s">
        <v>1003</v>
      </c>
      <c r="O653" s="45" t="s">
        <v>1383</v>
      </c>
      <c r="P653" s="45">
        <v>3455.0</v>
      </c>
      <c r="Q653" s="45">
        <v>0.0</v>
      </c>
      <c r="R653" s="121">
        <v>37628.0</v>
      </c>
      <c r="S653" s="45" t="s">
        <v>46</v>
      </c>
      <c r="T653" s="45" t="s">
        <v>1006</v>
      </c>
      <c r="U653" s="45">
        <v>100.0</v>
      </c>
      <c r="V653" s="45">
        <v>2019.0</v>
      </c>
      <c r="W653" s="45">
        <v>97.9</v>
      </c>
      <c r="X653" s="45">
        <v>2021.0</v>
      </c>
      <c r="Y653" s="45">
        <v>9.3</v>
      </c>
      <c r="Z653" s="45">
        <v>88.0</v>
      </c>
      <c r="AA653" s="45">
        <v>2025.0</v>
      </c>
      <c r="AB653" s="45">
        <v>0.0</v>
      </c>
      <c r="AC653" s="45">
        <v>0.0</v>
      </c>
      <c r="AD653" s="45" t="s">
        <v>1384</v>
      </c>
      <c r="AE653" s="45" t="s">
        <v>1385</v>
      </c>
      <c r="AF653" s="45">
        <v>9.182757161E9</v>
      </c>
      <c r="AG653" s="45">
        <v>9.441111897E9</v>
      </c>
      <c r="AH653" s="45" t="s">
        <v>210</v>
      </c>
      <c r="AI653" s="45">
        <v>0.0</v>
      </c>
      <c r="AJ653" s="45"/>
      <c r="AK653" s="45"/>
      <c r="AL653" s="45"/>
      <c r="AM653" s="45"/>
      <c r="AN653" s="45"/>
      <c r="AO653" s="45"/>
      <c r="AP653" s="45"/>
      <c r="AQ653" s="45"/>
      <c r="AR653" s="45"/>
      <c r="AU653" s="45" t="s">
        <v>1011</v>
      </c>
      <c r="AX653" s="45"/>
    </row>
    <row r="654">
      <c r="B654" s="45" t="s">
        <v>3497</v>
      </c>
      <c r="C654" s="45" t="s">
        <v>1477</v>
      </c>
      <c r="D654" s="45" t="s">
        <v>1478</v>
      </c>
      <c r="E654" s="45" t="s">
        <v>230</v>
      </c>
      <c r="F654" s="45"/>
      <c r="G654" s="45">
        <v>0.0</v>
      </c>
      <c r="H654" s="125"/>
      <c r="I654" s="125"/>
      <c r="J654" s="119">
        <v>6.46083E11</v>
      </c>
      <c r="K654" s="45" t="s">
        <v>1003</v>
      </c>
      <c r="L654" s="45">
        <v>499.0</v>
      </c>
      <c r="M654" s="45" t="s">
        <v>1003</v>
      </c>
      <c r="N654" s="45" t="s">
        <v>1003</v>
      </c>
      <c r="O654" s="45" t="s">
        <v>1479</v>
      </c>
      <c r="P654" s="45">
        <v>29841.0</v>
      </c>
      <c r="Q654" s="45">
        <v>0.0</v>
      </c>
      <c r="R654" s="121">
        <v>38174.0</v>
      </c>
      <c r="S654" s="45" t="s">
        <v>46</v>
      </c>
      <c r="T654" s="45" t="s">
        <v>1006</v>
      </c>
      <c r="U654" s="45">
        <v>90.25</v>
      </c>
      <c r="V654" s="45">
        <v>2019.0</v>
      </c>
      <c r="W654" s="45">
        <v>95.0</v>
      </c>
      <c r="X654" s="45">
        <v>2021.0</v>
      </c>
      <c r="Y654" s="45">
        <v>8.0</v>
      </c>
      <c r="Z654" s="45">
        <v>75.0</v>
      </c>
      <c r="AA654" s="45">
        <v>2025.0</v>
      </c>
      <c r="AB654" s="45">
        <v>0.0</v>
      </c>
      <c r="AC654" s="45">
        <v>0.0</v>
      </c>
      <c r="AD654" s="45" t="s">
        <v>1480</v>
      </c>
      <c r="AE654" s="45" t="s">
        <v>1481</v>
      </c>
      <c r="AF654" s="45">
        <v>9.704903605E9</v>
      </c>
      <c r="AG654" s="45">
        <v>9.866287439E9</v>
      </c>
      <c r="AH654" s="45" t="s">
        <v>3478</v>
      </c>
      <c r="AI654" s="45" t="s">
        <v>515</v>
      </c>
      <c r="AJ654" s="45"/>
      <c r="AK654" s="45" t="s">
        <v>1009</v>
      </c>
      <c r="AL654" s="45" t="s">
        <v>1010</v>
      </c>
      <c r="AM654" s="45">
        <v>9.3</v>
      </c>
      <c r="AN654" s="45">
        <v>8.59</v>
      </c>
      <c r="AO654" s="45">
        <v>8.61</v>
      </c>
      <c r="AP654" s="45">
        <v>0.0</v>
      </c>
      <c r="AQ654" s="45">
        <v>8.67</v>
      </c>
      <c r="AR654" s="45">
        <v>8.65</v>
      </c>
      <c r="AU654" s="45" t="s">
        <v>1011</v>
      </c>
      <c r="AX654" s="45" t="s">
        <v>1012</v>
      </c>
    </row>
    <row r="655">
      <c r="B655" s="45" t="s">
        <v>232</v>
      </c>
      <c r="C655" s="45" t="s">
        <v>1484</v>
      </c>
      <c r="D655" s="45" t="s">
        <v>1485</v>
      </c>
      <c r="E655" s="45" t="s">
        <v>233</v>
      </c>
      <c r="F655" s="45"/>
      <c r="G655" s="45">
        <v>0.0</v>
      </c>
      <c r="H655" s="125"/>
      <c r="I655" s="125"/>
      <c r="J655" s="119">
        <v>4.35078E11</v>
      </c>
      <c r="K655" s="45" t="s">
        <v>1003</v>
      </c>
      <c r="L655" s="45">
        <v>698.0</v>
      </c>
      <c r="M655" s="45" t="s">
        <v>1003</v>
      </c>
      <c r="N655" s="45" t="s">
        <v>1003</v>
      </c>
      <c r="O655" s="45" t="s">
        <v>1479</v>
      </c>
      <c r="P655" s="45">
        <v>27814.0</v>
      </c>
      <c r="Q655" s="45">
        <v>0.0</v>
      </c>
      <c r="R655" s="45" t="s">
        <v>1486</v>
      </c>
      <c r="S655" s="45" t="s">
        <v>60</v>
      </c>
      <c r="T655" s="45" t="s">
        <v>1006</v>
      </c>
      <c r="U655" s="45">
        <v>88.0</v>
      </c>
      <c r="V655" s="45">
        <v>2019.0</v>
      </c>
      <c r="W655" s="45">
        <v>96.0</v>
      </c>
      <c r="X655" s="45">
        <v>2021.0</v>
      </c>
      <c r="Y655" s="45">
        <v>8.5</v>
      </c>
      <c r="Z655" s="45">
        <v>80.0</v>
      </c>
      <c r="AA655" s="45">
        <v>2025.0</v>
      </c>
      <c r="AB655" s="45">
        <v>0.0</v>
      </c>
      <c r="AC655" s="45">
        <v>0.0</v>
      </c>
      <c r="AD655" s="45" t="s">
        <v>1487</v>
      </c>
      <c r="AE655" s="45" t="s">
        <v>1488</v>
      </c>
      <c r="AF655" s="45">
        <v>6.301757985E9</v>
      </c>
      <c r="AG655" s="45">
        <v>9.849552997E9</v>
      </c>
      <c r="AH655" s="45">
        <v>0.0</v>
      </c>
      <c r="AI655" s="45">
        <v>0.0</v>
      </c>
      <c r="AJ655" s="45"/>
      <c r="AK655" s="45" t="s">
        <v>1026</v>
      </c>
      <c r="AL655" s="45" t="s">
        <v>1027</v>
      </c>
      <c r="AM655" s="45">
        <v>8.65</v>
      </c>
      <c r="AN655" s="45">
        <v>8.76</v>
      </c>
      <c r="AO655" s="45">
        <v>8.25</v>
      </c>
      <c r="AP655" s="45">
        <v>0.0</v>
      </c>
      <c r="AQ655" s="45">
        <v>8.5</v>
      </c>
      <c r="AR655" s="45">
        <v>8.57</v>
      </c>
      <c r="AU655" s="45" t="s">
        <v>1011</v>
      </c>
      <c r="AX655" s="45" t="s">
        <v>1028</v>
      </c>
    </row>
    <row r="656">
      <c r="B656" s="45" t="s">
        <v>279</v>
      </c>
      <c r="C656" s="45" t="s">
        <v>18</v>
      </c>
      <c r="D656" s="45" t="s">
        <v>1625</v>
      </c>
      <c r="E656" s="45" t="s">
        <v>280</v>
      </c>
      <c r="F656" s="45"/>
      <c r="G656" s="45">
        <v>0.0</v>
      </c>
      <c r="H656" s="125"/>
      <c r="I656" s="125"/>
      <c r="J656" s="119">
        <v>4.48953E11</v>
      </c>
      <c r="K656" s="45" t="s">
        <v>1003</v>
      </c>
      <c r="L656" s="45" t="s">
        <v>1003</v>
      </c>
      <c r="M656" s="45" t="s">
        <v>1003</v>
      </c>
      <c r="N656" s="45" t="s">
        <v>1003</v>
      </c>
      <c r="O656" s="45" t="s">
        <v>1031</v>
      </c>
      <c r="P656" s="45">
        <v>13035.0</v>
      </c>
      <c r="Q656" s="45">
        <v>0.0</v>
      </c>
      <c r="R656" s="45" t="s">
        <v>1626</v>
      </c>
      <c r="S656" s="45" t="s">
        <v>60</v>
      </c>
      <c r="T656" s="45" t="s">
        <v>1006</v>
      </c>
      <c r="U656" s="45">
        <v>93.0</v>
      </c>
      <c r="V656" s="45">
        <v>2019.0</v>
      </c>
      <c r="W656" s="45">
        <v>96.0</v>
      </c>
      <c r="X656" s="45">
        <v>2021.0</v>
      </c>
      <c r="Y656" s="45">
        <v>8.7</v>
      </c>
      <c r="Z656" s="45">
        <v>82.0</v>
      </c>
      <c r="AA656" s="45">
        <v>2025.0</v>
      </c>
      <c r="AB656" s="45">
        <v>0.0</v>
      </c>
      <c r="AC656" s="45">
        <v>0.0</v>
      </c>
      <c r="AD656" s="45" t="s">
        <v>1627</v>
      </c>
      <c r="AE656" s="45" t="s">
        <v>1628</v>
      </c>
      <c r="AF656" s="45">
        <v>9.959476606E9</v>
      </c>
      <c r="AG656" s="45">
        <v>7.093256574E9</v>
      </c>
      <c r="AH656" s="45" t="s">
        <v>271</v>
      </c>
      <c r="AI656" s="45">
        <v>0.0</v>
      </c>
      <c r="AJ656" s="45"/>
      <c r="AK656" s="45" t="s">
        <v>1119</v>
      </c>
      <c r="AL656" s="45" t="s">
        <v>1120</v>
      </c>
      <c r="AM656" s="45">
        <v>8.81</v>
      </c>
      <c r="AN656" s="45">
        <v>8.44</v>
      </c>
      <c r="AO656" s="45">
        <v>7.93</v>
      </c>
      <c r="AP656" s="45">
        <v>0.0</v>
      </c>
      <c r="AQ656" s="45">
        <v>8.44</v>
      </c>
      <c r="AR656" s="45">
        <v>8.45</v>
      </c>
      <c r="AU656" s="45" t="s">
        <v>1011</v>
      </c>
      <c r="AX656" s="45" t="s">
        <v>1028</v>
      </c>
    </row>
    <row r="657">
      <c r="B657" s="45" t="s">
        <v>3498</v>
      </c>
      <c r="C657" s="45" t="s">
        <v>1781</v>
      </c>
      <c r="D657" s="45" t="s">
        <v>1782</v>
      </c>
      <c r="E657" s="45" t="s">
        <v>338</v>
      </c>
      <c r="F657" s="45"/>
      <c r="G657" s="45">
        <v>0.0</v>
      </c>
      <c r="H657" s="125"/>
      <c r="I657" s="125"/>
      <c r="J657" s="119">
        <v>9.53524E11</v>
      </c>
      <c r="K657" s="45" t="s">
        <v>1003</v>
      </c>
      <c r="L657" s="45" t="s">
        <v>1003</v>
      </c>
      <c r="M657" s="45" t="s">
        <v>1003</v>
      </c>
      <c r="N657" s="45" t="s">
        <v>1003</v>
      </c>
      <c r="O657" s="45" t="s">
        <v>1783</v>
      </c>
      <c r="P657" s="45">
        <v>39584.0</v>
      </c>
      <c r="Q657" s="45">
        <v>0.0</v>
      </c>
      <c r="R657" s="121">
        <v>38205.0</v>
      </c>
      <c r="S657" s="45" t="s">
        <v>60</v>
      </c>
      <c r="T657" s="45" t="s">
        <v>1006</v>
      </c>
      <c r="U657" s="45">
        <v>92.0</v>
      </c>
      <c r="V657" s="45">
        <v>2019.0</v>
      </c>
      <c r="W657" s="45">
        <v>91.6</v>
      </c>
      <c r="X657" s="45">
        <v>2021.0</v>
      </c>
      <c r="Y657" s="45">
        <v>8.4</v>
      </c>
      <c r="Z657" s="45">
        <v>79.0</v>
      </c>
      <c r="AA657" s="45">
        <v>2025.0</v>
      </c>
      <c r="AB657" s="45">
        <v>0.0</v>
      </c>
      <c r="AC657" s="45">
        <v>0.0</v>
      </c>
      <c r="AD657" s="45" t="s">
        <v>1784</v>
      </c>
      <c r="AE657" s="45" t="s">
        <v>1785</v>
      </c>
      <c r="AF657" s="45">
        <v>9.849985627E9</v>
      </c>
      <c r="AG657" s="45">
        <v>9.490393102E9</v>
      </c>
      <c r="AH657" s="45" t="s">
        <v>48</v>
      </c>
      <c r="AI657" s="45">
        <v>0.0</v>
      </c>
      <c r="AJ657" s="45"/>
      <c r="AK657" s="45" t="s">
        <v>1160</v>
      </c>
      <c r="AL657" s="45" t="s">
        <v>1161</v>
      </c>
      <c r="AM657" s="45">
        <v>8.68</v>
      </c>
      <c r="AN657" s="45">
        <v>7.98</v>
      </c>
      <c r="AO657" s="45">
        <v>8.0</v>
      </c>
      <c r="AP657" s="45">
        <v>0.0</v>
      </c>
      <c r="AQ657" s="45">
        <v>8.23</v>
      </c>
      <c r="AR657" s="45">
        <v>8.33</v>
      </c>
      <c r="AU657" s="45" t="s">
        <v>1011</v>
      </c>
      <c r="AX657" s="45" t="s">
        <v>1028</v>
      </c>
    </row>
    <row r="658">
      <c r="B658" s="45" t="s">
        <v>3499</v>
      </c>
      <c r="C658" s="45" t="s">
        <v>1828</v>
      </c>
      <c r="D658" s="45" t="s">
        <v>1829</v>
      </c>
      <c r="E658" s="45" t="s">
        <v>354</v>
      </c>
      <c r="F658" s="45"/>
      <c r="G658" s="45">
        <v>0.0</v>
      </c>
      <c r="H658" s="125"/>
      <c r="I658" s="125"/>
      <c r="J658" s="119">
        <v>5.14809E11</v>
      </c>
      <c r="K658" s="45" t="s">
        <v>1003</v>
      </c>
      <c r="L658" s="45" t="s">
        <v>1003</v>
      </c>
      <c r="M658" s="45" t="s">
        <v>1003</v>
      </c>
      <c r="N658" s="45" t="s">
        <v>1003</v>
      </c>
      <c r="O658" s="45" t="s">
        <v>1123</v>
      </c>
      <c r="P658" s="45">
        <v>29473.0</v>
      </c>
      <c r="Q658" s="45">
        <v>0.0</v>
      </c>
      <c r="R658" s="121">
        <v>38085.0</v>
      </c>
      <c r="S658" s="45" t="s">
        <v>60</v>
      </c>
      <c r="T658" s="45" t="s">
        <v>1006</v>
      </c>
      <c r="U658" s="45">
        <v>95.0</v>
      </c>
      <c r="V658" s="45">
        <v>2019.0</v>
      </c>
      <c r="W658" s="45">
        <v>95.0</v>
      </c>
      <c r="X658" s="45">
        <v>2021.0</v>
      </c>
      <c r="Y658" s="45">
        <v>9.0</v>
      </c>
      <c r="Z658" s="45">
        <v>85.0</v>
      </c>
      <c r="AA658" s="45">
        <v>2025.0</v>
      </c>
      <c r="AB658" s="45">
        <v>0.0</v>
      </c>
      <c r="AC658" s="45">
        <v>0.0</v>
      </c>
      <c r="AD658" s="45" t="s">
        <v>1830</v>
      </c>
      <c r="AE658" s="45" t="s">
        <v>1831</v>
      </c>
      <c r="AF658" s="45">
        <v>9.849639601E9</v>
      </c>
      <c r="AG658" s="45">
        <v>9.912642175E9</v>
      </c>
      <c r="AH658" s="45">
        <v>0.0</v>
      </c>
      <c r="AI658" s="45">
        <v>0.0</v>
      </c>
      <c r="AJ658" s="45"/>
      <c r="AK658" s="45" t="s">
        <v>1167</v>
      </c>
      <c r="AL658" s="45" t="s">
        <v>1168</v>
      </c>
      <c r="AM658" s="45">
        <v>8.46</v>
      </c>
      <c r="AN658" s="45">
        <v>8.73</v>
      </c>
      <c r="AO658" s="45">
        <v>7.91</v>
      </c>
      <c r="AP658" s="45">
        <v>0.0</v>
      </c>
      <c r="AQ658" s="45">
        <v>8.29</v>
      </c>
      <c r="AR658" s="45">
        <v>8.36</v>
      </c>
      <c r="AU658" s="45" t="s">
        <v>1011</v>
      </c>
      <c r="AX658" s="45" t="s">
        <v>1028</v>
      </c>
    </row>
    <row r="659">
      <c r="B659" s="45" t="s">
        <v>357</v>
      </c>
      <c r="C659" s="45" t="s">
        <v>1840</v>
      </c>
      <c r="D659" s="45" t="s">
        <v>1841</v>
      </c>
      <c r="E659" s="45" t="s">
        <v>358</v>
      </c>
      <c r="F659" s="45"/>
      <c r="G659" s="45">
        <v>0.0</v>
      </c>
      <c r="H659" s="125"/>
      <c r="I659" s="125"/>
      <c r="J659" s="119">
        <v>6.15255E11</v>
      </c>
      <c r="K659" s="45" t="s">
        <v>1003</v>
      </c>
      <c r="L659" s="45" t="s">
        <v>1003</v>
      </c>
      <c r="M659" s="45" t="s">
        <v>1003</v>
      </c>
      <c r="N659" s="45" t="s">
        <v>1003</v>
      </c>
      <c r="O659" s="45" t="s">
        <v>1842</v>
      </c>
      <c r="P659" s="45">
        <v>26461.0</v>
      </c>
      <c r="Q659" s="45">
        <v>0.0</v>
      </c>
      <c r="R659" s="45" t="s">
        <v>1843</v>
      </c>
      <c r="S659" s="45" t="s">
        <v>46</v>
      </c>
      <c r="T659" s="45" t="s">
        <v>1006</v>
      </c>
      <c r="U659" s="45">
        <v>92.0</v>
      </c>
      <c r="V659" s="45">
        <v>2019.0</v>
      </c>
      <c r="W659" s="45">
        <v>97.4</v>
      </c>
      <c r="X659" s="45">
        <v>2021.0</v>
      </c>
      <c r="Y659" s="45">
        <v>8.6</v>
      </c>
      <c r="Z659" s="45">
        <v>81.0</v>
      </c>
      <c r="AA659" s="45">
        <v>2025.0</v>
      </c>
      <c r="AB659" s="45">
        <v>0.0</v>
      </c>
      <c r="AC659" s="45">
        <v>0.0</v>
      </c>
      <c r="AD659" s="45" t="s">
        <v>1844</v>
      </c>
      <c r="AE659" s="45" t="s">
        <v>1845</v>
      </c>
      <c r="AF659" s="45">
        <v>9.701967654E9</v>
      </c>
      <c r="AG659" s="45">
        <v>8.639893747E9</v>
      </c>
      <c r="AH659" s="45" t="s">
        <v>360</v>
      </c>
      <c r="AI659" s="45" t="s">
        <v>644</v>
      </c>
      <c r="AJ659" s="45"/>
      <c r="AK659" s="45" t="s">
        <v>1182</v>
      </c>
      <c r="AL659" s="45" t="s">
        <v>1183</v>
      </c>
      <c r="AM659" s="45">
        <v>9.59</v>
      </c>
      <c r="AN659" s="45">
        <v>9.27</v>
      </c>
      <c r="AO659" s="45">
        <v>8.59</v>
      </c>
      <c r="AP659" s="45">
        <v>0.0</v>
      </c>
      <c r="AQ659" s="45">
        <v>9.18</v>
      </c>
      <c r="AR659" s="45">
        <v>9.19</v>
      </c>
      <c r="AU659" s="45" t="s">
        <v>1011</v>
      </c>
      <c r="AX659" s="45" t="s">
        <v>1012</v>
      </c>
    </row>
    <row r="660">
      <c r="B660" s="45" t="s">
        <v>383</v>
      </c>
      <c r="C660" s="45" t="s">
        <v>1910</v>
      </c>
      <c r="D660" s="45" t="s">
        <v>1911</v>
      </c>
      <c r="E660" s="45" t="s">
        <v>384</v>
      </c>
      <c r="F660" s="45"/>
      <c r="G660" s="45">
        <v>0.0</v>
      </c>
      <c r="H660" s="125"/>
      <c r="I660" s="125"/>
      <c r="J660" s="119">
        <v>5.83349E11</v>
      </c>
      <c r="K660" s="45" t="s">
        <v>1003</v>
      </c>
      <c r="L660" s="45">
        <v>994.0</v>
      </c>
      <c r="M660" s="45">
        <v>4965.0</v>
      </c>
      <c r="N660" s="45">
        <v>4707.0</v>
      </c>
      <c r="O660" s="45" t="s">
        <v>1912</v>
      </c>
      <c r="P660" s="45">
        <v>13726.0</v>
      </c>
      <c r="Q660" s="45">
        <v>0.0</v>
      </c>
      <c r="R660" s="121">
        <v>37870.0</v>
      </c>
      <c r="S660" s="45" t="s">
        <v>60</v>
      </c>
      <c r="T660" s="45" t="s">
        <v>1006</v>
      </c>
      <c r="U660" s="45">
        <v>100.0</v>
      </c>
      <c r="V660" s="45">
        <v>2019.0</v>
      </c>
      <c r="W660" s="45">
        <v>96.4</v>
      </c>
      <c r="X660" s="45">
        <v>2021.0</v>
      </c>
      <c r="Y660" s="45">
        <v>9.2</v>
      </c>
      <c r="Z660" s="45">
        <v>87.0</v>
      </c>
      <c r="AA660" s="45">
        <v>2025.0</v>
      </c>
      <c r="AB660" s="45">
        <v>0.0</v>
      </c>
      <c r="AC660" s="45">
        <v>0.0</v>
      </c>
      <c r="AD660" s="45" t="s">
        <v>1913</v>
      </c>
      <c r="AE660" s="45" t="s">
        <v>1914</v>
      </c>
      <c r="AF660" s="45">
        <v>7.093919555E9</v>
      </c>
      <c r="AG660" s="45">
        <v>9.440627713E9</v>
      </c>
      <c r="AH660" s="45" t="s">
        <v>52</v>
      </c>
      <c r="AI660" s="45">
        <v>0.0</v>
      </c>
      <c r="AJ660" s="45"/>
      <c r="AK660" s="45" t="s">
        <v>1197</v>
      </c>
      <c r="AL660" s="45" t="s">
        <v>1198</v>
      </c>
      <c r="AM660" s="45">
        <v>9.14</v>
      </c>
      <c r="AN660" s="45">
        <v>8.37</v>
      </c>
      <c r="AO660" s="45">
        <v>8.43</v>
      </c>
      <c r="AP660" s="45">
        <v>0.0</v>
      </c>
      <c r="AQ660" s="45">
        <v>8.58</v>
      </c>
      <c r="AR660" s="45">
        <v>8.6</v>
      </c>
      <c r="AU660" s="45" t="s">
        <v>1011</v>
      </c>
      <c r="AX660" s="45" t="s">
        <v>1028</v>
      </c>
    </row>
    <row r="661">
      <c r="B661" s="45" t="s">
        <v>395</v>
      </c>
      <c r="C661" s="45" t="s">
        <v>1951</v>
      </c>
      <c r="D661" s="45" t="s">
        <v>1952</v>
      </c>
      <c r="E661" s="45" t="s">
        <v>396</v>
      </c>
      <c r="F661" s="45"/>
      <c r="G661" s="45">
        <v>0.0</v>
      </c>
      <c r="H661" s="125"/>
      <c r="I661" s="125"/>
      <c r="J661" s="119">
        <v>2.89406E11</v>
      </c>
      <c r="K661" s="45" t="s">
        <v>1003</v>
      </c>
      <c r="L661" s="45" t="s">
        <v>1003</v>
      </c>
      <c r="M661" s="45" t="s">
        <v>1003</v>
      </c>
      <c r="N661" s="45" t="s">
        <v>1003</v>
      </c>
      <c r="O661" s="45" t="s">
        <v>1806</v>
      </c>
      <c r="P661" s="45">
        <v>32721.0</v>
      </c>
      <c r="Q661" s="45">
        <v>0.0</v>
      </c>
      <c r="R661" s="45" t="s">
        <v>1953</v>
      </c>
      <c r="S661" s="45" t="s">
        <v>46</v>
      </c>
      <c r="T661" s="45" t="s">
        <v>1006</v>
      </c>
      <c r="U661" s="45">
        <v>97.0</v>
      </c>
      <c r="V661" s="45">
        <v>2019.0</v>
      </c>
      <c r="W661" s="45">
        <v>97.6</v>
      </c>
      <c r="X661" s="45">
        <v>2021.0</v>
      </c>
      <c r="Y661" s="45">
        <v>9.0</v>
      </c>
      <c r="Z661" s="45">
        <v>85.0</v>
      </c>
      <c r="AA661" s="45">
        <v>2025.0</v>
      </c>
      <c r="AB661" s="45">
        <v>0.0</v>
      </c>
      <c r="AC661" s="45">
        <v>0.0</v>
      </c>
      <c r="AD661" s="45" t="s">
        <v>1954</v>
      </c>
      <c r="AE661" s="45" t="s">
        <v>1955</v>
      </c>
      <c r="AF661" s="45">
        <v>6.302669764E9</v>
      </c>
      <c r="AG661" s="45">
        <v>9.652665419E9</v>
      </c>
      <c r="AH661" s="45">
        <v>0.0</v>
      </c>
      <c r="AI661" s="45">
        <v>0.0</v>
      </c>
      <c r="AJ661" s="45"/>
      <c r="AK661" s="45" t="s">
        <v>1225</v>
      </c>
      <c r="AL661" s="45" t="s">
        <v>1226</v>
      </c>
      <c r="AM661" s="45">
        <v>8.54</v>
      </c>
      <c r="AN661" s="45">
        <v>8.59</v>
      </c>
      <c r="AO661" s="45">
        <v>8.07</v>
      </c>
      <c r="AP661" s="45">
        <v>0.0</v>
      </c>
      <c r="AQ661" s="45">
        <v>8.24</v>
      </c>
      <c r="AR661" s="45">
        <v>8.19</v>
      </c>
      <c r="AU661" s="45" t="s">
        <v>1011</v>
      </c>
      <c r="AX661" s="45" t="s">
        <v>1012</v>
      </c>
    </row>
    <row r="662">
      <c r="B662" s="45" t="s">
        <v>397</v>
      </c>
      <c r="C662" s="45" t="s">
        <v>1958</v>
      </c>
      <c r="D662" s="45" t="s">
        <v>1959</v>
      </c>
      <c r="E662" s="45" t="s">
        <v>398</v>
      </c>
      <c r="F662" s="45"/>
      <c r="G662" s="45">
        <v>0.0</v>
      </c>
      <c r="H662" s="125"/>
      <c r="I662" s="125"/>
      <c r="J662" s="119">
        <v>9.03111E11</v>
      </c>
      <c r="K662" s="45" t="s">
        <v>1003</v>
      </c>
      <c r="L662" s="45">
        <v>595.0</v>
      </c>
      <c r="M662" s="45" t="s">
        <v>1003</v>
      </c>
      <c r="N662" s="45" t="s">
        <v>1003</v>
      </c>
      <c r="O662" s="45" t="s">
        <v>1960</v>
      </c>
      <c r="P662" s="45">
        <v>14206.0</v>
      </c>
      <c r="Q662" s="45">
        <v>0.0</v>
      </c>
      <c r="R662" s="121">
        <v>38385.0</v>
      </c>
      <c r="S662" s="45" t="s">
        <v>60</v>
      </c>
      <c r="T662" s="45" t="s">
        <v>1006</v>
      </c>
      <c r="U662" s="45">
        <v>97.0</v>
      </c>
      <c r="V662" s="45">
        <v>2019.0</v>
      </c>
      <c r="W662" s="45">
        <v>95.0</v>
      </c>
      <c r="X662" s="45">
        <v>2021.0</v>
      </c>
      <c r="Y662" s="45">
        <v>8.6</v>
      </c>
      <c r="Z662" s="45">
        <v>81.0</v>
      </c>
      <c r="AA662" s="45">
        <v>2025.0</v>
      </c>
      <c r="AB662" s="45">
        <v>0.0</v>
      </c>
      <c r="AC662" s="45">
        <v>0.0</v>
      </c>
      <c r="AD662" s="45" t="s">
        <v>1961</v>
      </c>
      <c r="AE662" s="45" t="s">
        <v>1962</v>
      </c>
      <c r="AF662" s="45">
        <v>9.398173395E9</v>
      </c>
      <c r="AG662" s="45">
        <v>9.3945566E9</v>
      </c>
      <c r="AH662" s="45">
        <v>0.0</v>
      </c>
      <c r="AI662" s="45">
        <v>0.0</v>
      </c>
      <c r="AJ662" s="45"/>
      <c r="AK662" s="45" t="s">
        <v>1270</v>
      </c>
      <c r="AL662" s="45" t="s">
        <v>1271</v>
      </c>
      <c r="AM662" s="45">
        <v>8.05</v>
      </c>
      <c r="AN662" s="45">
        <v>8.24</v>
      </c>
      <c r="AO662" s="45">
        <v>8.27</v>
      </c>
      <c r="AP662" s="45">
        <v>0.0</v>
      </c>
      <c r="AQ662" s="45">
        <v>8.15</v>
      </c>
      <c r="AR662" s="45">
        <v>8.15</v>
      </c>
      <c r="AU662" s="45" t="s">
        <v>1011</v>
      </c>
      <c r="AX662" s="45" t="s">
        <v>1012</v>
      </c>
    </row>
    <row r="663">
      <c r="B663" s="45" t="s">
        <v>410</v>
      </c>
      <c r="C663" s="45" t="s">
        <v>1995</v>
      </c>
      <c r="D663" s="45" t="s">
        <v>1996</v>
      </c>
      <c r="E663" s="45" t="s">
        <v>411</v>
      </c>
      <c r="F663" s="45"/>
      <c r="G663" s="45">
        <v>0.0</v>
      </c>
      <c r="H663" s="125"/>
      <c r="I663" s="125"/>
      <c r="J663" s="119">
        <v>8.48607E11</v>
      </c>
      <c r="K663" s="45" t="s">
        <v>1003</v>
      </c>
      <c r="L663" s="45" t="s">
        <v>1003</v>
      </c>
      <c r="M663" s="45" t="s">
        <v>1003</v>
      </c>
      <c r="N663" s="45" t="s">
        <v>1003</v>
      </c>
      <c r="O663" s="45" t="s">
        <v>1997</v>
      </c>
      <c r="P663" s="45">
        <v>9482.0</v>
      </c>
      <c r="Q663" s="45">
        <v>0.0</v>
      </c>
      <c r="R663" s="121">
        <v>37934.0</v>
      </c>
      <c r="S663" s="45" t="s">
        <v>60</v>
      </c>
      <c r="T663" s="45" t="s">
        <v>1006</v>
      </c>
      <c r="U663" s="45">
        <v>95.0</v>
      </c>
      <c r="V663" s="45">
        <v>2019.0</v>
      </c>
      <c r="W663" s="45">
        <v>95.8</v>
      </c>
      <c r="X663" s="45">
        <v>2021.0</v>
      </c>
      <c r="Y663" s="45">
        <v>8.8</v>
      </c>
      <c r="Z663" s="45">
        <v>83.0</v>
      </c>
      <c r="AA663" s="45">
        <v>2025.0</v>
      </c>
      <c r="AB663" s="45">
        <v>0.0</v>
      </c>
      <c r="AC663" s="45">
        <v>0.0</v>
      </c>
      <c r="AD663" s="45" t="s">
        <v>1998</v>
      </c>
      <c r="AE663" s="45" t="s">
        <v>1999</v>
      </c>
      <c r="AF663" s="45">
        <v>9.059293538E9</v>
      </c>
      <c r="AG663" s="45">
        <v>9.848293538E9</v>
      </c>
      <c r="AH663" s="45">
        <v>0.0</v>
      </c>
      <c r="AI663" s="45">
        <v>0.0</v>
      </c>
      <c r="AJ663" s="45"/>
      <c r="AK663" s="45" t="s">
        <v>1284</v>
      </c>
      <c r="AL663" s="45" t="s">
        <v>1285</v>
      </c>
      <c r="AM663" s="45">
        <v>7.95</v>
      </c>
      <c r="AN663" s="45">
        <v>7.39</v>
      </c>
      <c r="AO663" s="45">
        <v>7.14</v>
      </c>
      <c r="AP663" s="45">
        <v>0.0</v>
      </c>
      <c r="AQ663" s="45">
        <v>7.63</v>
      </c>
      <c r="AR663" s="45">
        <v>7.69</v>
      </c>
      <c r="AU663" s="45" t="s">
        <v>1011</v>
      </c>
      <c r="AX663" s="45" t="s">
        <v>1028</v>
      </c>
    </row>
    <row r="664">
      <c r="B664" s="45" t="s">
        <v>431</v>
      </c>
      <c r="C664" s="45" t="s">
        <v>2059</v>
      </c>
      <c r="D664" s="45" t="s">
        <v>2060</v>
      </c>
      <c r="E664" s="45" t="s">
        <v>432</v>
      </c>
      <c r="F664" s="45"/>
      <c r="G664" s="45">
        <v>0.0</v>
      </c>
      <c r="H664" s="125"/>
      <c r="I664" s="125"/>
      <c r="J664" s="119">
        <v>5.59782E11</v>
      </c>
      <c r="K664" s="45" t="s">
        <v>1003</v>
      </c>
      <c r="L664" s="45">
        <v>11821.0</v>
      </c>
      <c r="M664" s="45">
        <v>14452.0</v>
      </c>
      <c r="N664" s="45" t="s">
        <v>1003</v>
      </c>
      <c r="O664" s="45" t="s">
        <v>2061</v>
      </c>
      <c r="P664" s="45">
        <v>0.0</v>
      </c>
      <c r="Q664" s="45">
        <v>0.0</v>
      </c>
      <c r="R664" s="45" t="s">
        <v>2062</v>
      </c>
      <c r="S664" s="45" t="s">
        <v>46</v>
      </c>
      <c r="T664" s="45" t="s">
        <v>1006</v>
      </c>
      <c r="U664" s="45">
        <v>92.6</v>
      </c>
      <c r="V664" s="45">
        <v>2019.0</v>
      </c>
      <c r="W664" s="45">
        <v>96.2</v>
      </c>
      <c r="X664" s="45">
        <v>2021.0</v>
      </c>
      <c r="Y664" s="45">
        <v>9.0</v>
      </c>
      <c r="Z664" s="45">
        <v>85.0</v>
      </c>
      <c r="AA664" s="45">
        <v>2025.0</v>
      </c>
      <c r="AB664" s="45">
        <v>0.0</v>
      </c>
      <c r="AC664" s="45">
        <v>0.0</v>
      </c>
      <c r="AD664" s="45" t="s">
        <v>2063</v>
      </c>
      <c r="AE664" s="45" t="s">
        <v>2064</v>
      </c>
      <c r="AF664" s="45">
        <v>8.897737626E9</v>
      </c>
      <c r="AG664" s="45">
        <v>8.897737179E9</v>
      </c>
      <c r="AH664" s="45" t="s">
        <v>406</v>
      </c>
      <c r="AI664" s="45">
        <v>0.0</v>
      </c>
      <c r="AJ664" s="45"/>
      <c r="AK664" s="45" t="s">
        <v>1299</v>
      </c>
      <c r="AL664" s="45" t="s">
        <v>1300</v>
      </c>
      <c r="AM664" s="45">
        <v>7.97</v>
      </c>
      <c r="AN664" s="45">
        <v>7.73</v>
      </c>
      <c r="AO664" s="45">
        <v>7.3</v>
      </c>
      <c r="AP664" s="45">
        <v>0.0</v>
      </c>
      <c r="AQ664" s="45">
        <v>7.49</v>
      </c>
      <c r="AR664" s="45">
        <v>0.0</v>
      </c>
      <c r="AU664" s="45" t="s">
        <v>1011</v>
      </c>
      <c r="AX664" s="45" t="s">
        <v>1012</v>
      </c>
    </row>
    <row r="665">
      <c r="B665" s="45" t="s">
        <v>3500</v>
      </c>
      <c r="C665" s="45" t="s">
        <v>2182</v>
      </c>
      <c r="D665" s="45" t="s">
        <v>2183</v>
      </c>
      <c r="E665" s="45" t="s">
        <v>480</v>
      </c>
      <c r="F665" s="45"/>
      <c r="G665" s="45">
        <v>0.0</v>
      </c>
      <c r="H665" s="125"/>
      <c r="I665" s="125"/>
      <c r="J665" s="119">
        <v>9.77592E11</v>
      </c>
      <c r="K665" s="45" t="s">
        <v>1003</v>
      </c>
      <c r="L665" s="45" t="s">
        <v>1003</v>
      </c>
      <c r="M665" s="45" t="s">
        <v>1003</v>
      </c>
      <c r="N665" s="45" t="s">
        <v>1003</v>
      </c>
      <c r="O665" s="45" t="s">
        <v>1123</v>
      </c>
      <c r="P665" s="45">
        <v>7829.0</v>
      </c>
      <c r="Q665" s="45">
        <v>0.0</v>
      </c>
      <c r="R665" s="45" t="s">
        <v>1983</v>
      </c>
      <c r="S665" s="45" t="s">
        <v>46</v>
      </c>
      <c r="T665" s="45" t="s">
        <v>1006</v>
      </c>
      <c r="U665" s="45">
        <v>100.0</v>
      </c>
      <c r="V665" s="45">
        <v>2019.0</v>
      </c>
      <c r="W665" s="45">
        <v>96.0</v>
      </c>
      <c r="X665" s="45">
        <v>2021.0</v>
      </c>
      <c r="Y665" s="45">
        <v>8.8</v>
      </c>
      <c r="Z665" s="45">
        <v>83.0</v>
      </c>
      <c r="AA665" s="45">
        <v>2025.0</v>
      </c>
      <c r="AB665" s="45">
        <v>0.0</v>
      </c>
      <c r="AC665" s="45">
        <v>0.0</v>
      </c>
      <c r="AD665" s="45" t="s">
        <v>2184</v>
      </c>
      <c r="AE665" s="45" t="s">
        <v>2185</v>
      </c>
      <c r="AF665" s="45">
        <v>9.121795308E9</v>
      </c>
      <c r="AG665" s="45">
        <v>9.849195308E9</v>
      </c>
      <c r="AH665" s="45" t="s">
        <v>2186</v>
      </c>
      <c r="AI665" s="45">
        <v>0.0</v>
      </c>
      <c r="AJ665" s="45"/>
      <c r="AK665" s="45" t="s">
        <v>1337</v>
      </c>
      <c r="AL665" s="45" t="s">
        <v>1338</v>
      </c>
      <c r="AM665" s="45">
        <v>8.3</v>
      </c>
      <c r="AN665" s="45">
        <v>8.83</v>
      </c>
      <c r="AO665" s="45">
        <v>8.55</v>
      </c>
      <c r="AP665" s="45">
        <v>0.0</v>
      </c>
      <c r="AQ665" s="45">
        <v>8.49</v>
      </c>
      <c r="AR665" s="45">
        <v>8.48</v>
      </c>
      <c r="AU665" s="45" t="s">
        <v>1011</v>
      </c>
      <c r="AX665" s="45" t="s">
        <v>1012</v>
      </c>
    </row>
    <row r="666">
      <c r="B666" s="45" t="s">
        <v>482</v>
      </c>
      <c r="C666" s="45" t="s">
        <v>2189</v>
      </c>
      <c r="D666" s="45" t="s">
        <v>2190</v>
      </c>
      <c r="E666" s="45" t="s">
        <v>483</v>
      </c>
      <c r="F666" s="45"/>
      <c r="G666" s="45">
        <v>0.0</v>
      </c>
      <c r="H666" s="125"/>
      <c r="I666" s="125"/>
      <c r="J666" s="119">
        <v>5.31105E11</v>
      </c>
      <c r="K666" s="45" t="s">
        <v>1003</v>
      </c>
      <c r="L666" s="45">
        <v>6958.0</v>
      </c>
      <c r="M666" s="45" t="s">
        <v>1003</v>
      </c>
      <c r="N666" s="45" t="s">
        <v>1003</v>
      </c>
      <c r="O666" s="45" t="s">
        <v>2191</v>
      </c>
      <c r="P666" s="45">
        <v>0.0</v>
      </c>
      <c r="Q666" s="45">
        <v>0.0</v>
      </c>
      <c r="R666" s="45" t="s">
        <v>1472</v>
      </c>
      <c r="S666" s="45" t="s">
        <v>60</v>
      </c>
      <c r="T666" s="45" t="s">
        <v>1006</v>
      </c>
      <c r="U666" s="45">
        <v>97.0</v>
      </c>
      <c r="V666" s="45">
        <v>2019.0</v>
      </c>
      <c r="W666" s="45">
        <v>94.8</v>
      </c>
      <c r="X666" s="45">
        <v>2021.0</v>
      </c>
      <c r="Y666" s="45">
        <v>8.6</v>
      </c>
      <c r="Z666" s="45">
        <v>81.0</v>
      </c>
      <c r="AA666" s="45">
        <v>2025.0</v>
      </c>
      <c r="AB666" s="45">
        <v>0.0</v>
      </c>
      <c r="AC666" s="45">
        <v>0.0</v>
      </c>
      <c r="AD666" s="45" t="s">
        <v>2192</v>
      </c>
      <c r="AE666" s="45" t="s">
        <v>2193</v>
      </c>
      <c r="AF666" s="45">
        <v>9.014882199E9</v>
      </c>
      <c r="AG666" s="45">
        <v>9.246936559E9</v>
      </c>
      <c r="AH666" s="45">
        <v>0.0</v>
      </c>
      <c r="AI666" s="45">
        <v>0.0</v>
      </c>
      <c r="AJ666" s="45"/>
      <c r="AK666" s="45" t="s">
        <v>1386</v>
      </c>
      <c r="AL666" s="45" t="s">
        <v>1387</v>
      </c>
      <c r="AM666" s="45">
        <v>9.19</v>
      </c>
      <c r="AN666" s="45">
        <v>9.51</v>
      </c>
      <c r="AO666" s="45">
        <v>9.09</v>
      </c>
      <c r="AP666" s="45">
        <v>0.0</v>
      </c>
      <c r="AQ666" s="45">
        <v>9.2</v>
      </c>
      <c r="AR666" s="45">
        <v>9.23</v>
      </c>
      <c r="AU666" s="45" t="s">
        <v>1011</v>
      </c>
      <c r="AX666" s="45" t="s">
        <v>1028</v>
      </c>
    </row>
    <row r="667">
      <c r="B667" s="45" t="s">
        <v>3501</v>
      </c>
      <c r="C667" s="45" t="s">
        <v>2332</v>
      </c>
      <c r="D667" s="45" t="s">
        <v>2333</v>
      </c>
      <c r="E667" s="45" t="s">
        <v>532</v>
      </c>
      <c r="F667" s="45"/>
      <c r="G667" s="45">
        <v>0.0</v>
      </c>
      <c r="H667" s="125"/>
      <c r="I667" s="125"/>
      <c r="J667" s="119">
        <v>7.08118E11</v>
      </c>
      <c r="K667" s="45" t="s">
        <v>1003</v>
      </c>
      <c r="L667" s="45">
        <v>25905.0</v>
      </c>
      <c r="M667" s="45">
        <v>26748.0</v>
      </c>
      <c r="N667" s="45">
        <v>33652.0</v>
      </c>
      <c r="O667" s="45" t="s">
        <v>2334</v>
      </c>
      <c r="P667" s="45">
        <v>13847.0</v>
      </c>
      <c r="Q667" s="45">
        <v>0.0</v>
      </c>
      <c r="R667" s="45" t="s">
        <v>2335</v>
      </c>
      <c r="S667" s="45" t="s">
        <v>46</v>
      </c>
      <c r="T667" s="45" t="s">
        <v>1006</v>
      </c>
      <c r="U667" s="45">
        <v>84.0</v>
      </c>
      <c r="V667" s="45">
        <v>2019.0</v>
      </c>
      <c r="W667" s="45">
        <v>94.0</v>
      </c>
      <c r="X667" s="45">
        <v>2021.0</v>
      </c>
      <c r="Y667" s="45">
        <v>8.7</v>
      </c>
      <c r="Z667" s="45">
        <v>82.0</v>
      </c>
      <c r="AA667" s="45">
        <v>2025.0</v>
      </c>
      <c r="AB667" s="45">
        <v>0.0</v>
      </c>
      <c r="AC667" s="45">
        <v>0.0</v>
      </c>
      <c r="AD667" s="45" t="s">
        <v>2336</v>
      </c>
      <c r="AE667" s="45" t="s">
        <v>2337</v>
      </c>
      <c r="AF667" s="45">
        <v>9.381004526E9</v>
      </c>
      <c r="AG667" s="45">
        <v>9.441078276E9</v>
      </c>
      <c r="AH667" s="45" t="s">
        <v>2338</v>
      </c>
      <c r="AI667" s="45" t="s">
        <v>957</v>
      </c>
      <c r="AJ667" s="45"/>
      <c r="AK667" s="45" t="s">
        <v>1482</v>
      </c>
      <c r="AL667" s="45" t="s">
        <v>1483</v>
      </c>
      <c r="AM667" s="45">
        <v>7.41</v>
      </c>
      <c r="AN667" s="45">
        <v>7.78</v>
      </c>
      <c r="AO667" s="45">
        <v>7.45</v>
      </c>
      <c r="AP667" s="45">
        <v>0.0</v>
      </c>
      <c r="AQ667" s="45">
        <v>7.81</v>
      </c>
      <c r="AR667" s="45">
        <v>7.85</v>
      </c>
      <c r="AU667" s="45" t="s">
        <v>1011</v>
      </c>
      <c r="AX667" s="45" t="s">
        <v>1028</v>
      </c>
    </row>
    <row r="668">
      <c r="B668" s="45" t="s">
        <v>577</v>
      </c>
      <c r="C668" s="45" t="s">
        <v>2473</v>
      </c>
      <c r="D668" s="45" t="s">
        <v>2474</v>
      </c>
      <c r="E668" s="45" t="s">
        <v>578</v>
      </c>
      <c r="F668" s="45"/>
      <c r="G668" s="45">
        <v>0.0</v>
      </c>
      <c r="H668" s="125"/>
      <c r="I668" s="125"/>
      <c r="J668" s="119">
        <v>5.33356E11</v>
      </c>
      <c r="K668" s="45" t="s">
        <v>1003</v>
      </c>
      <c r="L668" s="45">
        <v>6143.0</v>
      </c>
      <c r="M668" s="45">
        <v>8263.0</v>
      </c>
      <c r="N668" s="45" t="s">
        <v>1003</v>
      </c>
      <c r="O668" s="45" t="s">
        <v>2475</v>
      </c>
      <c r="P668" s="45">
        <v>9136.0</v>
      </c>
      <c r="Q668" s="45">
        <v>0.0</v>
      </c>
      <c r="R668" s="45" t="s">
        <v>2476</v>
      </c>
      <c r="S668" s="45" t="s">
        <v>46</v>
      </c>
      <c r="T668" s="45" t="s">
        <v>1006</v>
      </c>
      <c r="U668" s="45">
        <v>93.0</v>
      </c>
      <c r="V668" s="45">
        <v>2019.0</v>
      </c>
      <c r="W668" s="45">
        <v>98.2</v>
      </c>
      <c r="X668" s="45">
        <v>2021.0</v>
      </c>
      <c r="Y668" s="45">
        <v>8.2</v>
      </c>
      <c r="Z668" s="45">
        <v>77.0</v>
      </c>
      <c r="AA668" s="45">
        <v>2025.0</v>
      </c>
      <c r="AB668" s="45">
        <v>0.0</v>
      </c>
      <c r="AC668" s="45">
        <v>0.0</v>
      </c>
      <c r="AD668" s="45" t="s">
        <v>2477</v>
      </c>
      <c r="AE668" s="45" t="s">
        <v>2478</v>
      </c>
      <c r="AF668" s="45">
        <v>9.010236025E9</v>
      </c>
      <c r="AG668" s="45">
        <v>9.440602743E9</v>
      </c>
      <c r="AH668" s="45" t="s">
        <v>90</v>
      </c>
      <c r="AI668" s="45" t="s">
        <v>90</v>
      </c>
      <c r="AJ668" s="45"/>
      <c r="AK668" s="45" t="s">
        <v>1489</v>
      </c>
      <c r="AL668" s="45" t="s">
        <v>1490</v>
      </c>
      <c r="AM668" s="45">
        <v>7.41</v>
      </c>
      <c r="AN668" s="45">
        <v>8.15</v>
      </c>
      <c r="AO668" s="45">
        <v>8.14</v>
      </c>
      <c r="AP668" s="45">
        <v>0.0</v>
      </c>
      <c r="AQ668" s="45">
        <v>8.4</v>
      </c>
      <c r="AR668" s="45">
        <v>8.44</v>
      </c>
      <c r="AU668" s="45" t="s">
        <v>1011</v>
      </c>
      <c r="AX668" s="45" t="s">
        <v>1012</v>
      </c>
    </row>
    <row r="669">
      <c r="B669" s="45" t="s">
        <v>3502</v>
      </c>
      <c r="C669" s="45" t="s">
        <v>2583</v>
      </c>
      <c r="D669" s="45" t="s">
        <v>2584</v>
      </c>
      <c r="E669" s="45" t="s">
        <v>613</v>
      </c>
      <c r="F669" s="45"/>
      <c r="G669" s="45">
        <v>0.0</v>
      </c>
      <c r="H669" s="125"/>
      <c r="I669" s="125"/>
      <c r="J669" s="119">
        <v>6.13954E11</v>
      </c>
      <c r="K669" s="45" t="s">
        <v>1003</v>
      </c>
      <c r="L669" s="45">
        <v>1850.0</v>
      </c>
      <c r="M669" s="45" t="s">
        <v>1003</v>
      </c>
      <c r="N669" s="45" t="s">
        <v>1003</v>
      </c>
      <c r="O669" s="45" t="s">
        <v>1620</v>
      </c>
      <c r="P669" s="45">
        <v>22449.0</v>
      </c>
      <c r="Q669" s="45">
        <v>0.0</v>
      </c>
      <c r="R669" s="121">
        <v>37930.0</v>
      </c>
      <c r="S669" s="45" t="s">
        <v>60</v>
      </c>
      <c r="T669" s="45" t="s">
        <v>1006</v>
      </c>
      <c r="U669" s="45">
        <v>95.0</v>
      </c>
      <c r="V669" s="45">
        <v>2019.0</v>
      </c>
      <c r="W669" s="45">
        <v>89.0</v>
      </c>
      <c r="X669" s="45">
        <v>2021.0</v>
      </c>
      <c r="Y669" s="45">
        <v>8.8</v>
      </c>
      <c r="Z669" s="45">
        <v>83.0</v>
      </c>
      <c r="AA669" s="45">
        <v>2025.0</v>
      </c>
      <c r="AB669" s="45">
        <v>0.0</v>
      </c>
      <c r="AC669" s="45">
        <v>0.0</v>
      </c>
      <c r="AD669" s="45" t="s">
        <v>2585</v>
      </c>
      <c r="AE669" s="45" t="s">
        <v>2586</v>
      </c>
      <c r="AF669" s="45">
        <v>6.301871816E9</v>
      </c>
      <c r="AG669" s="45">
        <v>9.502560693E9</v>
      </c>
      <c r="AH669" s="45" t="s">
        <v>52</v>
      </c>
      <c r="AI669" s="45">
        <v>0.0</v>
      </c>
      <c r="AJ669" s="45"/>
      <c r="AK669" s="45" t="s">
        <v>1629</v>
      </c>
      <c r="AL669" s="45" t="s">
        <v>1630</v>
      </c>
      <c r="AM669" s="45">
        <v>9.08</v>
      </c>
      <c r="AN669" s="45">
        <v>8.71</v>
      </c>
      <c r="AO669" s="45">
        <v>8.59</v>
      </c>
      <c r="AP669" s="45">
        <v>0.0</v>
      </c>
      <c r="AQ669" s="45">
        <v>8.84</v>
      </c>
      <c r="AR669" s="45">
        <v>8.8</v>
      </c>
      <c r="AU669" s="45" t="s">
        <v>1011</v>
      </c>
      <c r="AX669" s="45" t="s">
        <v>1028</v>
      </c>
    </row>
    <row r="670">
      <c r="B670" s="45" t="s">
        <v>619</v>
      </c>
      <c r="C670" s="45" t="s">
        <v>2602</v>
      </c>
      <c r="D670" s="45" t="s">
        <v>2603</v>
      </c>
      <c r="E670" s="45" t="s">
        <v>620</v>
      </c>
      <c r="F670" s="45"/>
      <c r="G670" s="45">
        <v>0.0</v>
      </c>
      <c r="H670" s="125"/>
      <c r="I670" s="125"/>
      <c r="J670" s="119">
        <v>8.9447E11</v>
      </c>
      <c r="K670" s="45" t="s">
        <v>1003</v>
      </c>
      <c r="L670" s="45">
        <v>2701.0</v>
      </c>
      <c r="M670" s="45" t="s">
        <v>1003</v>
      </c>
      <c r="N670" s="45" t="s">
        <v>1003</v>
      </c>
      <c r="O670" s="45" t="s">
        <v>1123</v>
      </c>
      <c r="P670" s="45">
        <v>9774.0</v>
      </c>
      <c r="Q670" s="45">
        <v>0.0</v>
      </c>
      <c r="R670" s="45" t="s">
        <v>2604</v>
      </c>
      <c r="S670" s="45" t="s">
        <v>60</v>
      </c>
      <c r="T670" s="45" t="s">
        <v>1006</v>
      </c>
      <c r="U670" s="45">
        <v>100.0</v>
      </c>
      <c r="V670" s="45">
        <v>2019.0</v>
      </c>
      <c r="W670" s="45">
        <v>98.0</v>
      </c>
      <c r="X670" s="45">
        <v>2021.0</v>
      </c>
      <c r="Y670" s="45">
        <v>9.1</v>
      </c>
      <c r="Z670" s="45">
        <v>86.0</v>
      </c>
      <c r="AA670" s="45">
        <v>2025.0</v>
      </c>
      <c r="AB670" s="45">
        <v>0.0</v>
      </c>
      <c r="AC670" s="45">
        <v>0.0</v>
      </c>
      <c r="AD670" s="45" t="s">
        <v>2605</v>
      </c>
      <c r="AE670" s="45" t="s">
        <v>2606</v>
      </c>
      <c r="AF670" s="45">
        <v>8.309999179E9</v>
      </c>
      <c r="AG670" s="45">
        <v>9.618801828E9</v>
      </c>
      <c r="AH670" s="45" t="s">
        <v>622</v>
      </c>
      <c r="AI670" s="45" t="s">
        <v>621</v>
      </c>
      <c r="AJ670" s="45"/>
      <c r="AK670" s="45" t="s">
        <v>1786</v>
      </c>
      <c r="AL670" s="45" t="s">
        <v>1787</v>
      </c>
      <c r="AM670" s="45">
        <v>7.92</v>
      </c>
      <c r="AN670" s="45">
        <v>8.02</v>
      </c>
      <c r="AO670" s="45">
        <v>0.0</v>
      </c>
      <c r="AP670" s="45">
        <v>0.0</v>
      </c>
      <c r="AQ670" s="45">
        <v>8.36</v>
      </c>
      <c r="AR670" s="45">
        <v>8.4</v>
      </c>
      <c r="AU670" s="45" t="s">
        <v>1011</v>
      </c>
      <c r="AX670" s="45" t="s">
        <v>1012</v>
      </c>
    </row>
    <row r="671">
      <c r="B671" s="45" t="s">
        <v>632</v>
      </c>
      <c r="C671" s="45" t="s">
        <v>2633</v>
      </c>
      <c r="D671" s="45" t="s">
        <v>2634</v>
      </c>
      <c r="E671" s="45" t="s">
        <v>633</v>
      </c>
      <c r="F671" s="45"/>
      <c r="G671" s="45">
        <v>0.0</v>
      </c>
      <c r="H671" s="125"/>
      <c r="I671" s="125"/>
      <c r="J671" s="119">
        <v>4.3756E11</v>
      </c>
      <c r="K671" s="45" t="s">
        <v>1003</v>
      </c>
      <c r="L671" s="45">
        <v>5160.0</v>
      </c>
      <c r="M671" s="45">
        <v>8917.0</v>
      </c>
      <c r="N671" s="45">
        <v>10057.0</v>
      </c>
      <c r="O671" s="45" t="s">
        <v>2191</v>
      </c>
      <c r="P671" s="45">
        <v>8303.0</v>
      </c>
      <c r="Q671" s="45">
        <v>0.0</v>
      </c>
      <c r="R671" s="45" t="s">
        <v>2635</v>
      </c>
      <c r="S671" s="45" t="s">
        <v>60</v>
      </c>
      <c r="T671" s="45" t="s">
        <v>1006</v>
      </c>
      <c r="U671" s="45">
        <v>100.0</v>
      </c>
      <c r="V671" s="45">
        <v>2019.0</v>
      </c>
      <c r="W671" s="45">
        <v>96.6</v>
      </c>
      <c r="X671" s="45">
        <v>2021.0</v>
      </c>
      <c r="Y671" s="45">
        <v>9.0</v>
      </c>
      <c r="Z671" s="45">
        <v>85.0</v>
      </c>
      <c r="AA671" s="45">
        <v>2025.0</v>
      </c>
      <c r="AB671" s="45">
        <v>0.0</v>
      </c>
      <c r="AC671" s="45">
        <v>0.0</v>
      </c>
      <c r="AD671" s="45" t="s">
        <v>2636</v>
      </c>
      <c r="AE671" s="45" t="s">
        <v>2637</v>
      </c>
      <c r="AF671" s="45">
        <v>9.963422104E9</v>
      </c>
      <c r="AG671" s="45">
        <v>7.013826913E9</v>
      </c>
      <c r="AH671" s="45" t="s">
        <v>52</v>
      </c>
      <c r="AI671" s="45">
        <v>0.0</v>
      </c>
      <c r="AJ671" s="45"/>
      <c r="AK671" s="45" t="s">
        <v>1832</v>
      </c>
      <c r="AL671" s="45" t="s">
        <v>1833</v>
      </c>
      <c r="AM671" s="45">
        <v>8.92</v>
      </c>
      <c r="AN671" s="45">
        <v>8.71</v>
      </c>
      <c r="AO671" s="45">
        <v>8.68</v>
      </c>
      <c r="AP671" s="45">
        <v>0.0</v>
      </c>
      <c r="AQ671" s="45">
        <v>8.91</v>
      </c>
      <c r="AR671" s="45">
        <v>8.98</v>
      </c>
      <c r="AU671" s="45" t="s">
        <v>1011</v>
      </c>
      <c r="AX671" s="45" t="s">
        <v>1012</v>
      </c>
    </row>
    <row r="672">
      <c r="B672" s="45" t="s">
        <v>642</v>
      </c>
      <c r="C672" s="45" t="s">
        <v>2661</v>
      </c>
      <c r="D672" s="45" t="s">
        <v>2144</v>
      </c>
      <c r="E672" s="45" t="s">
        <v>643</v>
      </c>
      <c r="F672" s="45"/>
      <c r="G672" s="45">
        <v>0.0</v>
      </c>
      <c r="H672" s="125"/>
      <c r="I672" s="125"/>
      <c r="J672" s="119">
        <v>8.65173E11</v>
      </c>
      <c r="K672" s="45" t="s">
        <v>1003</v>
      </c>
      <c r="L672" s="45">
        <v>2749.0</v>
      </c>
      <c r="M672" s="45" t="s">
        <v>1003</v>
      </c>
      <c r="N672" s="45" t="s">
        <v>1003</v>
      </c>
      <c r="O672" s="45" t="s">
        <v>2662</v>
      </c>
      <c r="P672" s="45">
        <v>0.0</v>
      </c>
      <c r="Q672" s="45">
        <v>0.0</v>
      </c>
      <c r="R672" s="121">
        <v>37865.0</v>
      </c>
      <c r="S672" s="45" t="s">
        <v>60</v>
      </c>
      <c r="T672" s="45" t="s">
        <v>1006</v>
      </c>
      <c r="U672" s="45">
        <v>95.0</v>
      </c>
      <c r="V672" s="45">
        <v>2019.0</v>
      </c>
      <c r="W672" s="45">
        <v>70.0</v>
      </c>
      <c r="X672" s="45">
        <v>2021.0</v>
      </c>
      <c r="Y672" s="45">
        <v>0.0</v>
      </c>
      <c r="Z672" s="45">
        <v>-5.0</v>
      </c>
      <c r="AA672" s="45">
        <v>2025.0</v>
      </c>
      <c r="AB672" s="45">
        <v>1.0</v>
      </c>
      <c r="AC672" s="45">
        <v>1.0</v>
      </c>
      <c r="AD672" s="45" t="s">
        <v>2663</v>
      </c>
      <c r="AE672" s="45" t="s">
        <v>2664</v>
      </c>
      <c r="AF672" s="45">
        <v>8.712143398E9</v>
      </c>
      <c r="AG672" s="45">
        <v>9.951158767E9</v>
      </c>
      <c r="AH672" s="45" t="s">
        <v>645</v>
      </c>
      <c r="AI672" s="45" t="s">
        <v>3489</v>
      </c>
      <c r="AJ672" s="45"/>
      <c r="AK672" s="45" t="s">
        <v>1846</v>
      </c>
      <c r="AL672" s="45" t="s">
        <v>1847</v>
      </c>
      <c r="AM672" s="45">
        <v>8.68</v>
      </c>
      <c r="AN672" s="45">
        <v>8.61</v>
      </c>
      <c r="AO672" s="45">
        <v>8.61</v>
      </c>
      <c r="AP672" s="45">
        <v>0.0</v>
      </c>
      <c r="AQ672" s="45">
        <v>8.71</v>
      </c>
      <c r="AR672" s="45">
        <v>8.7</v>
      </c>
      <c r="AU672" s="45" t="s">
        <v>1011</v>
      </c>
      <c r="AX672" s="45" t="s">
        <v>1028</v>
      </c>
    </row>
    <row r="673">
      <c r="B673" s="45" t="s">
        <v>667</v>
      </c>
      <c r="C673" s="45" t="s">
        <v>2730</v>
      </c>
      <c r="D673" s="45" t="s">
        <v>2731</v>
      </c>
      <c r="E673" s="45" t="s">
        <v>668</v>
      </c>
      <c r="F673" s="45"/>
      <c r="G673" s="45">
        <v>0.0</v>
      </c>
      <c r="H673" s="125"/>
      <c r="I673" s="125"/>
      <c r="J673" s="119">
        <v>9.87542E11</v>
      </c>
      <c r="K673" s="45" t="s">
        <v>1003</v>
      </c>
      <c r="L673" s="45" t="s">
        <v>1003</v>
      </c>
      <c r="M673" s="45" t="s">
        <v>1003</v>
      </c>
      <c r="N673" s="45" t="s">
        <v>1003</v>
      </c>
      <c r="O673" s="45" t="s">
        <v>2732</v>
      </c>
      <c r="P673" s="45">
        <v>9253.0</v>
      </c>
      <c r="Q673" s="45">
        <v>0.0</v>
      </c>
      <c r="R673" s="121">
        <v>37961.0</v>
      </c>
      <c r="S673" s="45" t="s">
        <v>60</v>
      </c>
      <c r="T673" s="45" t="s">
        <v>1006</v>
      </c>
      <c r="U673" s="45">
        <v>95.0</v>
      </c>
      <c r="V673" s="45">
        <v>2019.0</v>
      </c>
      <c r="W673" s="45">
        <v>99.2</v>
      </c>
      <c r="X673" s="45">
        <v>2021.0</v>
      </c>
      <c r="Y673" s="45">
        <v>8.5</v>
      </c>
      <c r="Z673" s="45">
        <v>80.0</v>
      </c>
      <c r="AA673" s="45">
        <v>2025.0</v>
      </c>
      <c r="AB673" s="45">
        <v>0.0</v>
      </c>
      <c r="AC673" s="45">
        <v>0.0</v>
      </c>
      <c r="AD673" s="45" t="s">
        <v>2733</v>
      </c>
      <c r="AE673" s="45" t="s">
        <v>2734</v>
      </c>
      <c r="AF673" s="45">
        <v>8.00832965E9</v>
      </c>
      <c r="AG673" s="45">
        <v>9.17766005E9</v>
      </c>
      <c r="AH673" s="45" t="s">
        <v>670</v>
      </c>
      <c r="AI673" s="45" t="s">
        <v>2735</v>
      </c>
      <c r="AJ673" s="45"/>
      <c r="AK673" s="45" t="s">
        <v>1915</v>
      </c>
      <c r="AL673" s="45" t="s">
        <v>1916</v>
      </c>
      <c r="AM673" s="45">
        <v>9.43</v>
      </c>
      <c r="AN673" s="45">
        <v>9.07</v>
      </c>
      <c r="AO673" s="45">
        <v>9.14</v>
      </c>
      <c r="AP673" s="45">
        <v>0.0</v>
      </c>
      <c r="AQ673" s="45">
        <v>9.2</v>
      </c>
      <c r="AR673" s="45">
        <v>9.17</v>
      </c>
      <c r="AU673" s="45" t="s">
        <v>1011</v>
      </c>
      <c r="AX673" s="45" t="s">
        <v>1012</v>
      </c>
    </row>
    <row r="674">
      <c r="B674" s="45" t="s">
        <v>3503</v>
      </c>
      <c r="C674" s="45" t="s">
        <v>2746</v>
      </c>
      <c r="D674" s="45" t="s">
        <v>2747</v>
      </c>
      <c r="E674" s="45" t="s">
        <v>674</v>
      </c>
      <c r="F674" s="45"/>
      <c r="G674" s="45">
        <v>0.0</v>
      </c>
      <c r="H674" s="125"/>
      <c r="I674" s="125"/>
      <c r="J674" s="119">
        <v>7.50226E11</v>
      </c>
      <c r="K674" s="45" t="s">
        <v>1003</v>
      </c>
      <c r="L674" s="45">
        <v>13711.0</v>
      </c>
      <c r="M674" s="45">
        <v>14309.0</v>
      </c>
      <c r="N674" s="45">
        <v>14732.0</v>
      </c>
      <c r="O674" s="45" t="s">
        <v>1123</v>
      </c>
      <c r="P674" s="45">
        <v>12323.0</v>
      </c>
      <c r="Q674" s="45">
        <v>0.0</v>
      </c>
      <c r="R674" s="121">
        <v>38117.0</v>
      </c>
      <c r="S674" s="45" t="s">
        <v>46</v>
      </c>
      <c r="T674" s="45" t="s">
        <v>1006</v>
      </c>
      <c r="U674" s="45">
        <v>98.0</v>
      </c>
      <c r="V674" s="45">
        <v>2019.0</v>
      </c>
      <c r="W674" s="45">
        <v>94.6</v>
      </c>
      <c r="X674" s="45">
        <v>2021.0</v>
      </c>
      <c r="Y674" s="45">
        <v>8.4</v>
      </c>
      <c r="Z674" s="45">
        <v>79.0</v>
      </c>
      <c r="AA674" s="45">
        <v>2025.0</v>
      </c>
      <c r="AB674" s="45">
        <v>0.0</v>
      </c>
      <c r="AC674" s="45">
        <v>0.0</v>
      </c>
      <c r="AD674" s="45" t="s">
        <v>2748</v>
      </c>
      <c r="AE674" s="45" t="s">
        <v>2749</v>
      </c>
      <c r="AF674" s="45">
        <v>7.995639636E9</v>
      </c>
      <c r="AG674" s="45">
        <v>9.441512359E9</v>
      </c>
      <c r="AH674" s="45" t="s">
        <v>125</v>
      </c>
      <c r="AI674" s="45" t="s">
        <v>349</v>
      </c>
      <c r="AJ674" s="45"/>
      <c r="AK674" s="45" t="s">
        <v>1956</v>
      </c>
      <c r="AL674" s="45" t="s">
        <v>1957</v>
      </c>
      <c r="AM674" s="45">
        <v>8.68</v>
      </c>
      <c r="AN674" s="45">
        <v>8.32</v>
      </c>
      <c r="AO674" s="45">
        <v>9.14</v>
      </c>
      <c r="AP674" s="45">
        <v>0.0</v>
      </c>
      <c r="AQ674" s="45">
        <v>8.95</v>
      </c>
      <c r="AR674" s="45">
        <v>9.0</v>
      </c>
      <c r="AU674" s="45" t="s">
        <v>1011</v>
      </c>
      <c r="AX674" s="45" t="s">
        <v>1012</v>
      </c>
    </row>
    <row r="675">
      <c r="B675" s="45" t="s">
        <v>3504</v>
      </c>
      <c r="C675" s="45" t="s">
        <v>2819</v>
      </c>
      <c r="D675" s="45" t="s">
        <v>2820</v>
      </c>
      <c r="E675" s="45" t="s">
        <v>703</v>
      </c>
      <c r="F675" s="45"/>
      <c r="G675" s="45">
        <v>0.0</v>
      </c>
      <c r="H675" s="125"/>
      <c r="I675" s="125"/>
      <c r="J675" s="119">
        <v>2.51393E11</v>
      </c>
      <c r="K675" s="45" t="s">
        <v>1003</v>
      </c>
      <c r="L675" s="45">
        <v>15905.0</v>
      </c>
      <c r="M675" s="45">
        <v>18299.0</v>
      </c>
      <c r="N675" s="45">
        <v>22346.0</v>
      </c>
      <c r="O675" s="45" t="s">
        <v>1236</v>
      </c>
      <c r="P675" s="45">
        <v>12092.0</v>
      </c>
      <c r="Q675" s="45">
        <v>0.0</v>
      </c>
      <c r="R675" s="45" t="s">
        <v>2821</v>
      </c>
      <c r="S675" s="45" t="s">
        <v>46</v>
      </c>
      <c r="T675" s="45" t="s">
        <v>1006</v>
      </c>
      <c r="U675" s="45">
        <v>98.0</v>
      </c>
      <c r="V675" s="45">
        <v>2019.0</v>
      </c>
      <c r="W675" s="45">
        <v>98.0</v>
      </c>
      <c r="X675" s="45">
        <v>2021.0</v>
      </c>
      <c r="Y675" s="45">
        <v>8.8</v>
      </c>
      <c r="Z675" s="45">
        <v>83.0</v>
      </c>
      <c r="AA675" s="45">
        <v>2025.0</v>
      </c>
      <c r="AB675" s="45">
        <v>0.0</v>
      </c>
      <c r="AC675" s="45">
        <v>0.0</v>
      </c>
      <c r="AD675" s="45" t="s">
        <v>2822</v>
      </c>
      <c r="AE675" s="45" t="s">
        <v>2823</v>
      </c>
      <c r="AF675" s="45">
        <v>9.05916946E9</v>
      </c>
      <c r="AG675" s="45">
        <v>9.701520319E9</v>
      </c>
      <c r="AH675" s="45">
        <v>0.0</v>
      </c>
      <c r="AI675" s="45">
        <v>0.0</v>
      </c>
      <c r="AJ675" s="45"/>
      <c r="AK675" s="45" t="s">
        <v>1963</v>
      </c>
      <c r="AL675" s="45" t="s">
        <v>1964</v>
      </c>
      <c r="AM675" s="45">
        <v>8.76</v>
      </c>
      <c r="AN675" s="45">
        <v>8.46</v>
      </c>
      <c r="AO675" s="45">
        <v>8.2</v>
      </c>
      <c r="AP675" s="45">
        <v>0.0</v>
      </c>
      <c r="AQ675" s="45">
        <v>8.54</v>
      </c>
      <c r="AR675" s="45">
        <v>8.56</v>
      </c>
      <c r="AU675" s="45" t="s">
        <v>1011</v>
      </c>
      <c r="AX675" s="45" t="s">
        <v>1028</v>
      </c>
    </row>
    <row r="676">
      <c r="B676" s="45" t="s">
        <v>3505</v>
      </c>
      <c r="C676" s="45" t="s">
        <v>2881</v>
      </c>
      <c r="D676" s="45" t="s">
        <v>2882</v>
      </c>
      <c r="E676" s="45" t="s">
        <v>728</v>
      </c>
      <c r="F676" s="45"/>
      <c r="G676" s="45">
        <v>0.0</v>
      </c>
      <c r="H676" s="125"/>
      <c r="I676" s="125"/>
      <c r="J676" s="119">
        <v>2.96414E11</v>
      </c>
      <c r="K676" s="45" t="s">
        <v>1003</v>
      </c>
      <c r="L676" s="45" t="s">
        <v>1003</v>
      </c>
      <c r="M676" s="45" t="s">
        <v>1003</v>
      </c>
      <c r="N676" s="45" t="s">
        <v>1003</v>
      </c>
      <c r="O676" s="45" t="s">
        <v>2883</v>
      </c>
      <c r="P676" s="45">
        <v>19382.0</v>
      </c>
      <c r="Q676" s="45">
        <v>0.0</v>
      </c>
      <c r="R676" s="121">
        <v>38268.0</v>
      </c>
      <c r="S676" s="45" t="s">
        <v>46</v>
      </c>
      <c r="T676" s="45" t="s">
        <v>1006</v>
      </c>
      <c r="U676" s="45">
        <v>98.0</v>
      </c>
      <c r="V676" s="45">
        <v>2019.0</v>
      </c>
      <c r="W676" s="45">
        <v>93.2</v>
      </c>
      <c r="X676" s="45">
        <v>2022.0</v>
      </c>
      <c r="Y676" s="45">
        <v>8.1</v>
      </c>
      <c r="Z676" s="45">
        <v>76.0</v>
      </c>
      <c r="AA676" s="45">
        <v>2025.0</v>
      </c>
      <c r="AB676" s="45">
        <v>0.0</v>
      </c>
      <c r="AC676" s="45">
        <v>0.0</v>
      </c>
      <c r="AD676" s="45" t="s">
        <v>2884</v>
      </c>
      <c r="AE676" s="45" t="s">
        <v>2885</v>
      </c>
      <c r="AF676" s="45">
        <v>9.55099282E9</v>
      </c>
      <c r="AG676" s="45">
        <v>8.897216666E9</v>
      </c>
      <c r="AH676" s="45" t="s">
        <v>52</v>
      </c>
      <c r="AI676" s="45">
        <v>0.0</v>
      </c>
      <c r="AJ676" s="45"/>
      <c r="AK676" s="45" t="s">
        <v>2000</v>
      </c>
      <c r="AL676" s="45" t="s">
        <v>2001</v>
      </c>
      <c r="AM676" s="45">
        <v>8.65</v>
      </c>
      <c r="AN676" s="45">
        <v>8.85</v>
      </c>
      <c r="AO676" s="45">
        <v>8.5</v>
      </c>
      <c r="AP676" s="45">
        <v>0.0</v>
      </c>
      <c r="AQ676" s="45">
        <v>8.74</v>
      </c>
      <c r="AR676" s="45">
        <v>8.78</v>
      </c>
      <c r="AU676" s="45" t="s">
        <v>1011</v>
      </c>
      <c r="AX676" s="45" t="s">
        <v>1028</v>
      </c>
    </row>
    <row r="677">
      <c r="B677" s="45" t="s">
        <v>753</v>
      </c>
      <c r="C677" s="45" t="s">
        <v>2951</v>
      </c>
      <c r="D677" s="45" t="s">
        <v>2952</v>
      </c>
      <c r="E677" s="45" t="s">
        <v>754</v>
      </c>
      <c r="F677" s="45"/>
      <c r="G677" s="45">
        <v>0.0</v>
      </c>
      <c r="H677" s="125"/>
      <c r="I677" s="125"/>
      <c r="J677" s="119">
        <v>2.05281E11</v>
      </c>
      <c r="K677" s="45" t="s">
        <v>1003</v>
      </c>
      <c r="L677" s="45">
        <v>12847.0</v>
      </c>
      <c r="M677" s="45">
        <v>15235.0</v>
      </c>
      <c r="N677" s="45">
        <v>16505.0</v>
      </c>
      <c r="O677" s="45" t="s">
        <v>2945</v>
      </c>
      <c r="P677" s="45">
        <v>16042.0</v>
      </c>
      <c r="Q677" s="45">
        <v>0.0</v>
      </c>
      <c r="R677" s="120">
        <v>37905.0</v>
      </c>
      <c r="S677" s="45" t="s">
        <v>46</v>
      </c>
      <c r="T677" s="45" t="s">
        <v>1006</v>
      </c>
      <c r="U677" s="45">
        <v>91.2</v>
      </c>
      <c r="V677" s="45">
        <v>2019.0</v>
      </c>
      <c r="W677" s="45">
        <v>97.2</v>
      </c>
      <c r="X677" s="45">
        <v>2021.0</v>
      </c>
      <c r="Y677" s="45">
        <v>8.8</v>
      </c>
      <c r="Z677" s="45">
        <v>83.0</v>
      </c>
      <c r="AA677" s="45">
        <v>2025.0</v>
      </c>
      <c r="AB677" s="45">
        <v>0.0</v>
      </c>
      <c r="AC677" s="45">
        <v>0.0</v>
      </c>
      <c r="AD677" s="45" t="s">
        <v>2953</v>
      </c>
      <c r="AE677" s="45" t="s">
        <v>2954</v>
      </c>
      <c r="AF677" s="45">
        <v>9.014549574E9</v>
      </c>
      <c r="AG677" s="45">
        <v>9.246203075E9</v>
      </c>
      <c r="AH677" s="45" t="s">
        <v>755</v>
      </c>
      <c r="AI677" s="45">
        <v>0.0</v>
      </c>
      <c r="AJ677" s="45"/>
      <c r="AK677" s="45" t="s">
        <v>2065</v>
      </c>
      <c r="AL677" s="45" t="s">
        <v>2066</v>
      </c>
      <c r="AM677" s="45">
        <v>9.08</v>
      </c>
      <c r="AN677" s="45">
        <v>9.22</v>
      </c>
      <c r="AO677" s="45">
        <v>8.86</v>
      </c>
      <c r="AP677" s="45">
        <v>0.0</v>
      </c>
      <c r="AQ677" s="45">
        <v>9.01</v>
      </c>
      <c r="AR677" s="45">
        <v>9.03</v>
      </c>
      <c r="AU677" s="45" t="s">
        <v>1011</v>
      </c>
      <c r="AX677" s="45" t="s">
        <v>1012</v>
      </c>
    </row>
    <row r="678">
      <c r="B678" s="45" t="s">
        <v>788</v>
      </c>
      <c r="C678" s="45" t="s">
        <v>3050</v>
      </c>
      <c r="D678" s="45" t="s">
        <v>3051</v>
      </c>
      <c r="E678" s="45" t="s">
        <v>789</v>
      </c>
      <c r="F678" s="45"/>
      <c r="G678" s="45">
        <v>0.0</v>
      </c>
      <c r="H678" s="125"/>
      <c r="I678" s="125"/>
      <c r="J678" s="119">
        <v>3.23985E11</v>
      </c>
      <c r="K678" s="45" t="s">
        <v>1003</v>
      </c>
      <c r="L678" s="45">
        <v>4576.0</v>
      </c>
      <c r="M678" s="45">
        <v>7267.0</v>
      </c>
      <c r="N678" s="45">
        <v>8057.0</v>
      </c>
      <c r="O678" s="45" t="s">
        <v>3052</v>
      </c>
      <c r="P678" s="45">
        <v>13142.0</v>
      </c>
      <c r="Q678" s="45">
        <v>0.0</v>
      </c>
      <c r="R678" s="121">
        <v>37809.0</v>
      </c>
      <c r="S678" s="45" t="s">
        <v>60</v>
      </c>
      <c r="T678" s="45" t="s">
        <v>1006</v>
      </c>
      <c r="U678" s="45">
        <v>100.0</v>
      </c>
      <c r="V678" s="45">
        <v>2019.0</v>
      </c>
      <c r="W678" s="45">
        <v>98.2</v>
      </c>
      <c r="X678" s="45">
        <v>2021.0</v>
      </c>
      <c r="Y678" s="45">
        <v>8.9</v>
      </c>
      <c r="Z678" s="45">
        <v>84.0</v>
      </c>
      <c r="AA678" s="45">
        <v>2025.0</v>
      </c>
      <c r="AB678" s="45">
        <v>0.0</v>
      </c>
      <c r="AC678" s="45">
        <v>0.0</v>
      </c>
      <c r="AD678" s="45" t="s">
        <v>3053</v>
      </c>
      <c r="AE678" s="45" t="s">
        <v>3054</v>
      </c>
      <c r="AF678" s="45">
        <v>7.702611894E9</v>
      </c>
      <c r="AG678" s="45">
        <v>9.177359368E9</v>
      </c>
      <c r="AH678" s="45" t="s">
        <v>62</v>
      </c>
      <c r="AI678" s="45">
        <v>0.0</v>
      </c>
      <c r="AJ678" s="45"/>
      <c r="AK678" s="45" t="s">
        <v>2187</v>
      </c>
      <c r="AL678" s="45" t="s">
        <v>2188</v>
      </c>
      <c r="AM678" s="45">
        <v>8.95</v>
      </c>
      <c r="AN678" s="45">
        <v>8.68</v>
      </c>
      <c r="AO678" s="45">
        <v>7.91</v>
      </c>
      <c r="AP678" s="45">
        <v>0.0</v>
      </c>
      <c r="AQ678" s="45">
        <v>8.68</v>
      </c>
      <c r="AR678" s="45">
        <v>8.73</v>
      </c>
      <c r="AU678" s="45" t="s">
        <v>1011</v>
      </c>
      <c r="AX678" s="45" t="s">
        <v>1028</v>
      </c>
    </row>
    <row r="679">
      <c r="B679" s="45" t="s">
        <v>817</v>
      </c>
      <c r="C679" s="45" t="s">
        <v>3131</v>
      </c>
      <c r="D679" s="45" t="s">
        <v>3132</v>
      </c>
      <c r="E679" s="45" t="s">
        <v>818</v>
      </c>
      <c r="F679" s="45"/>
      <c r="G679" s="45">
        <v>0.0</v>
      </c>
      <c r="H679" s="125"/>
      <c r="I679" s="125"/>
      <c r="J679" s="119">
        <v>2.8561E11</v>
      </c>
      <c r="K679" s="45" t="s">
        <v>1003</v>
      </c>
      <c r="L679" s="45" t="s">
        <v>1003</v>
      </c>
      <c r="M679" s="45" t="s">
        <v>1003</v>
      </c>
      <c r="N679" s="45" t="s">
        <v>1003</v>
      </c>
      <c r="O679" s="45" t="s">
        <v>3133</v>
      </c>
      <c r="P679" s="45">
        <v>17082.0</v>
      </c>
      <c r="Q679" s="45">
        <v>0.0</v>
      </c>
      <c r="R679" s="121">
        <v>37591.0</v>
      </c>
      <c r="S679" s="45" t="s">
        <v>46</v>
      </c>
      <c r="T679" s="45" t="s">
        <v>1006</v>
      </c>
      <c r="U679" s="45">
        <v>97.0</v>
      </c>
      <c r="V679" s="45">
        <v>2019.0</v>
      </c>
      <c r="W679" s="45">
        <v>97.8</v>
      </c>
      <c r="X679" s="45">
        <v>2021.0</v>
      </c>
      <c r="Y679" s="45">
        <v>8.3</v>
      </c>
      <c r="Z679" s="45">
        <v>78.0</v>
      </c>
      <c r="AA679" s="45">
        <v>2025.0</v>
      </c>
      <c r="AB679" s="45">
        <v>0.0</v>
      </c>
      <c r="AC679" s="45">
        <v>0.0</v>
      </c>
      <c r="AD679" s="45" t="s">
        <v>3134</v>
      </c>
      <c r="AE679" s="45" t="s">
        <v>3135</v>
      </c>
      <c r="AF679" s="45">
        <v>9.553187166E9</v>
      </c>
      <c r="AG679" s="45">
        <v>9.8482887E9</v>
      </c>
      <c r="AH679" s="45" t="s">
        <v>237</v>
      </c>
      <c r="AI679" s="45">
        <v>0.0</v>
      </c>
      <c r="AJ679" s="45"/>
      <c r="AK679" s="45" t="s">
        <v>2194</v>
      </c>
      <c r="AL679" s="45" t="s">
        <v>2195</v>
      </c>
      <c r="AM679" s="45">
        <v>8.59</v>
      </c>
      <c r="AN679" s="45">
        <v>8.56</v>
      </c>
      <c r="AO679" s="45">
        <v>7.73</v>
      </c>
      <c r="AP679" s="45">
        <v>0.0</v>
      </c>
      <c r="AQ679" s="45">
        <v>8.57</v>
      </c>
      <c r="AR679" s="45">
        <v>8.56</v>
      </c>
      <c r="AU679" s="45" t="s">
        <v>1011</v>
      </c>
      <c r="AX679" s="45" t="s">
        <v>1028</v>
      </c>
    </row>
    <row r="680">
      <c r="B680" s="45" t="s">
        <v>3506</v>
      </c>
      <c r="C680" s="45" t="s">
        <v>3171</v>
      </c>
      <c r="D680" s="45" t="s">
        <v>3172</v>
      </c>
      <c r="E680" s="45" t="s">
        <v>830</v>
      </c>
      <c r="F680" s="45"/>
      <c r="G680" s="45">
        <v>0.0</v>
      </c>
      <c r="H680" s="125"/>
      <c r="I680" s="125"/>
      <c r="J680" s="119">
        <v>5.42989E11</v>
      </c>
      <c r="K680" s="45" t="s">
        <v>1003</v>
      </c>
      <c r="L680" s="45" t="s">
        <v>1003</v>
      </c>
      <c r="M680" s="45" t="s">
        <v>1003</v>
      </c>
      <c r="N680" s="45" t="s">
        <v>1003</v>
      </c>
      <c r="O680" s="45" t="s">
        <v>1479</v>
      </c>
      <c r="P680" s="45">
        <v>15892.0</v>
      </c>
      <c r="Q680" s="45">
        <v>0.0</v>
      </c>
      <c r="R680" s="121">
        <v>37962.0</v>
      </c>
      <c r="S680" s="45" t="s">
        <v>46</v>
      </c>
      <c r="T680" s="45" t="s">
        <v>1006</v>
      </c>
      <c r="U680" s="45">
        <v>97.0</v>
      </c>
      <c r="V680" s="45">
        <v>2019.0</v>
      </c>
      <c r="W680" s="45">
        <v>97.6</v>
      </c>
      <c r="X680" s="45">
        <v>2021.0</v>
      </c>
      <c r="Y680" s="45">
        <v>8.3</v>
      </c>
      <c r="Z680" s="45">
        <v>78.0</v>
      </c>
      <c r="AA680" s="45">
        <v>2025.0</v>
      </c>
      <c r="AB680" s="45">
        <v>0.0</v>
      </c>
      <c r="AC680" s="45">
        <v>0.0</v>
      </c>
      <c r="AD680" s="45" t="s">
        <v>3173</v>
      </c>
      <c r="AE680" s="45" t="s">
        <v>3174</v>
      </c>
      <c r="AF680" s="45">
        <v>7.842371131E9</v>
      </c>
      <c r="AG680" s="45">
        <v>9.491681372E9</v>
      </c>
      <c r="AH680" s="45" t="s">
        <v>831</v>
      </c>
      <c r="AI680" s="45" t="s">
        <v>3507</v>
      </c>
      <c r="AJ680" s="45"/>
      <c r="AK680" s="45" t="s">
        <v>2339</v>
      </c>
      <c r="AL680" s="45" t="s">
        <v>2340</v>
      </c>
      <c r="AM680" s="45">
        <v>9.16</v>
      </c>
      <c r="AN680" s="45">
        <v>8.93</v>
      </c>
      <c r="AO680" s="45">
        <v>8.45</v>
      </c>
      <c r="AP680" s="45">
        <v>0.0</v>
      </c>
      <c r="AQ680" s="45">
        <v>8.81</v>
      </c>
      <c r="AR680" s="45">
        <v>8.71</v>
      </c>
      <c r="AU680" s="45" t="s">
        <v>1011</v>
      </c>
      <c r="AX680" s="45" t="s">
        <v>1028</v>
      </c>
    </row>
    <row r="681">
      <c r="B681" s="45" t="s">
        <v>3508</v>
      </c>
      <c r="C681" s="45" t="s">
        <v>3185</v>
      </c>
      <c r="D681" s="45" t="s">
        <v>3186</v>
      </c>
      <c r="E681" s="45" t="s">
        <v>835</v>
      </c>
      <c r="F681" s="45"/>
      <c r="G681" s="45">
        <v>0.0</v>
      </c>
      <c r="H681" s="125"/>
      <c r="I681" s="125"/>
      <c r="J681" s="119">
        <v>6.44196E11</v>
      </c>
      <c r="K681" s="45" t="s">
        <v>1003</v>
      </c>
      <c r="L681" s="45" t="s">
        <v>1003</v>
      </c>
      <c r="M681" s="45" t="s">
        <v>1003</v>
      </c>
      <c r="N681" s="45" t="s">
        <v>1003</v>
      </c>
      <c r="O681" s="45" t="s">
        <v>2775</v>
      </c>
      <c r="P681" s="45">
        <v>0.0</v>
      </c>
      <c r="Q681" s="45">
        <v>0.0</v>
      </c>
      <c r="R681" s="45" t="s">
        <v>2604</v>
      </c>
      <c r="S681" s="45" t="s">
        <v>46</v>
      </c>
      <c r="T681" s="45" t="s">
        <v>1006</v>
      </c>
      <c r="U681" s="45">
        <v>95.0</v>
      </c>
      <c r="V681" s="45">
        <v>2019.0</v>
      </c>
      <c r="W681" s="45">
        <v>96.8</v>
      </c>
      <c r="X681" s="45">
        <v>2021.0</v>
      </c>
      <c r="Y681" s="45">
        <v>8.1</v>
      </c>
      <c r="Z681" s="45">
        <v>76.0</v>
      </c>
      <c r="AA681" s="45">
        <v>2025.0</v>
      </c>
      <c r="AB681" s="45">
        <v>0.0</v>
      </c>
      <c r="AC681" s="45">
        <v>0.0</v>
      </c>
      <c r="AD681" s="45" t="s">
        <v>3187</v>
      </c>
      <c r="AE681" s="45" t="s">
        <v>3188</v>
      </c>
      <c r="AF681" s="45">
        <v>9.347785568E9</v>
      </c>
      <c r="AG681" s="45">
        <v>9.441670345E9</v>
      </c>
      <c r="AH681" s="45" t="s">
        <v>52</v>
      </c>
      <c r="AI681" s="45">
        <v>0.0</v>
      </c>
      <c r="AJ681" s="45"/>
      <c r="AK681" s="45" t="s">
        <v>2479</v>
      </c>
      <c r="AL681" s="45" t="s">
        <v>2480</v>
      </c>
      <c r="AM681" s="45">
        <v>8.46</v>
      </c>
      <c r="AN681" s="45">
        <v>8.0</v>
      </c>
      <c r="AO681" s="45">
        <v>7.98</v>
      </c>
      <c r="AP681" s="45">
        <v>0.0</v>
      </c>
      <c r="AQ681" s="45">
        <v>8.08</v>
      </c>
      <c r="AR681" s="45">
        <v>8.11</v>
      </c>
      <c r="AU681" s="45" t="s">
        <v>1011</v>
      </c>
      <c r="AX681" s="45" t="s">
        <v>1012</v>
      </c>
    </row>
    <row r="682">
      <c r="B682" s="45" t="s">
        <v>863</v>
      </c>
      <c r="C682" s="45" t="s">
        <v>3273</v>
      </c>
      <c r="D682" s="45" t="s">
        <v>3274</v>
      </c>
      <c r="E682" s="45" t="s">
        <v>864</v>
      </c>
      <c r="F682" s="45"/>
      <c r="G682" s="45">
        <v>0.0</v>
      </c>
      <c r="H682" s="125"/>
      <c r="I682" s="125"/>
      <c r="J682" s="119">
        <v>9.17167E11</v>
      </c>
      <c r="K682" s="45" t="s">
        <v>1003</v>
      </c>
      <c r="L682" s="45">
        <v>1550.0</v>
      </c>
      <c r="M682" s="45" t="s">
        <v>1003</v>
      </c>
      <c r="N682" s="45" t="s">
        <v>1003</v>
      </c>
      <c r="O682" s="45" t="s">
        <v>1047</v>
      </c>
      <c r="P682" s="45">
        <v>8997.0</v>
      </c>
      <c r="Q682" s="45">
        <v>0.0</v>
      </c>
      <c r="R682" s="120">
        <v>37935.0</v>
      </c>
      <c r="S682" s="45" t="s">
        <v>60</v>
      </c>
      <c r="T682" s="45" t="s">
        <v>1006</v>
      </c>
      <c r="U682" s="45">
        <v>95.0</v>
      </c>
      <c r="V682" s="45">
        <v>2019.0</v>
      </c>
      <c r="W682" s="45">
        <v>98.2</v>
      </c>
      <c r="X682" s="45">
        <v>2021.0</v>
      </c>
      <c r="Y682" s="45">
        <v>9.0</v>
      </c>
      <c r="Z682" s="45">
        <v>85.0</v>
      </c>
      <c r="AA682" s="45">
        <v>2025.0</v>
      </c>
      <c r="AB682" s="45">
        <v>0.0</v>
      </c>
      <c r="AC682" s="45">
        <v>0.0</v>
      </c>
      <c r="AD682" s="45" t="s">
        <v>3275</v>
      </c>
      <c r="AE682" s="45" t="s">
        <v>3276</v>
      </c>
      <c r="AF682" s="45">
        <v>9.392737278E9</v>
      </c>
      <c r="AG682" s="45">
        <v>9.849618431E9</v>
      </c>
      <c r="AH682" s="45" t="s">
        <v>271</v>
      </c>
      <c r="AI682" s="45">
        <v>0.0</v>
      </c>
      <c r="AJ682" s="45"/>
      <c r="AK682" s="45" t="s">
        <v>2587</v>
      </c>
      <c r="AL682" s="45" t="s">
        <v>2588</v>
      </c>
      <c r="AM682" s="45">
        <v>8.43</v>
      </c>
      <c r="AN682" s="45">
        <v>8.59</v>
      </c>
      <c r="AO682" s="45">
        <v>8.07</v>
      </c>
      <c r="AP682" s="45">
        <v>0.0</v>
      </c>
      <c r="AQ682" s="45">
        <v>8.62</v>
      </c>
      <c r="AR682" s="45">
        <v>8.71</v>
      </c>
      <c r="AU682" s="45" t="s">
        <v>1011</v>
      </c>
      <c r="AX682" s="45" t="s">
        <v>1012</v>
      </c>
    </row>
    <row r="683">
      <c r="B683" s="45" t="s">
        <v>3509</v>
      </c>
      <c r="C683" s="45" t="s">
        <v>3510</v>
      </c>
      <c r="D683" s="45" t="s">
        <v>3511</v>
      </c>
      <c r="E683" s="45" t="s">
        <v>3512</v>
      </c>
      <c r="F683" s="45"/>
      <c r="G683" s="45">
        <v>0.0</v>
      </c>
      <c r="H683" s="125"/>
      <c r="I683" s="125"/>
      <c r="J683" s="119">
        <v>4.78206E11</v>
      </c>
      <c r="K683" s="45" t="s">
        <v>1003</v>
      </c>
      <c r="L683" s="45" t="s">
        <v>1003</v>
      </c>
      <c r="M683" s="45" t="s">
        <v>1003</v>
      </c>
      <c r="N683" s="45" t="s">
        <v>1003</v>
      </c>
      <c r="O683" s="45" t="s">
        <v>3513</v>
      </c>
      <c r="P683" s="45">
        <v>41000.0</v>
      </c>
      <c r="Q683" s="45">
        <v>0.0</v>
      </c>
      <c r="R683" s="45" t="s">
        <v>1244</v>
      </c>
      <c r="S683" s="45" t="s">
        <v>46</v>
      </c>
      <c r="T683" s="45" t="s">
        <v>3514</v>
      </c>
      <c r="U683" s="45">
        <v>98.0</v>
      </c>
      <c r="V683" s="45">
        <v>2019.0</v>
      </c>
      <c r="W683" s="45">
        <v>98.0</v>
      </c>
      <c r="X683" s="45">
        <v>2021.0</v>
      </c>
      <c r="Y683" s="45">
        <v>7.2</v>
      </c>
      <c r="Z683" s="45">
        <v>67.0</v>
      </c>
      <c r="AA683" s="45">
        <v>2025.0</v>
      </c>
      <c r="AB683" s="45">
        <v>0.0</v>
      </c>
      <c r="AC683" s="45">
        <v>1.0</v>
      </c>
      <c r="AD683" s="45" t="s">
        <v>3515</v>
      </c>
      <c r="AE683" s="45" t="s">
        <v>3516</v>
      </c>
      <c r="AF683" s="45">
        <v>7.893062483E9</v>
      </c>
      <c r="AG683" s="45">
        <v>9.440532483E9</v>
      </c>
      <c r="AH683" s="45" t="s">
        <v>440</v>
      </c>
      <c r="AI683" s="45" t="s">
        <v>3517</v>
      </c>
      <c r="AJ683" s="45"/>
      <c r="AK683" s="45" t="s">
        <v>2607</v>
      </c>
      <c r="AL683" s="45" t="s">
        <v>2608</v>
      </c>
      <c r="AM683" s="45">
        <v>9.19</v>
      </c>
      <c r="AN683" s="45">
        <v>9.07</v>
      </c>
      <c r="AO683" s="45">
        <v>8.59</v>
      </c>
      <c r="AP683" s="45">
        <v>0.0</v>
      </c>
      <c r="AQ683" s="45">
        <v>9.01</v>
      </c>
      <c r="AR683" s="45">
        <v>9.06</v>
      </c>
      <c r="AU683" s="45" t="s">
        <v>1011</v>
      </c>
      <c r="AX683" s="45" t="s">
        <v>1028</v>
      </c>
    </row>
    <row r="684">
      <c r="B684" s="45" t="s">
        <v>3518</v>
      </c>
      <c r="C684" s="45" t="s">
        <v>3519</v>
      </c>
      <c r="D684" s="45" t="s">
        <v>3520</v>
      </c>
      <c r="E684" s="45" t="s">
        <v>3521</v>
      </c>
      <c r="F684" s="45"/>
      <c r="G684" s="45">
        <v>0.0</v>
      </c>
      <c r="H684" s="125"/>
      <c r="I684" s="125"/>
      <c r="J684" s="119">
        <v>7.30625E11</v>
      </c>
      <c r="K684" s="45" t="s">
        <v>1003</v>
      </c>
      <c r="L684" s="45" t="s">
        <v>1003</v>
      </c>
      <c r="M684" s="45" t="s">
        <v>1003</v>
      </c>
      <c r="N684" s="45" t="s">
        <v>1003</v>
      </c>
      <c r="O684" s="45" t="s">
        <v>3522</v>
      </c>
      <c r="P684" s="45">
        <v>19857.0</v>
      </c>
      <c r="Q684" s="45">
        <v>0.0</v>
      </c>
      <c r="R684" s="45" t="s">
        <v>1244</v>
      </c>
      <c r="S684" s="45" t="s">
        <v>46</v>
      </c>
      <c r="T684" s="45" t="s">
        <v>3514</v>
      </c>
      <c r="U684" s="45">
        <v>92.0</v>
      </c>
      <c r="V684" s="45">
        <v>2019.0</v>
      </c>
      <c r="W684" s="45">
        <v>97.0</v>
      </c>
      <c r="X684" s="45">
        <v>2021.0</v>
      </c>
      <c r="Y684" s="45">
        <v>7.4</v>
      </c>
      <c r="Z684" s="45">
        <v>69.0</v>
      </c>
      <c r="AA684" s="45">
        <v>2025.0</v>
      </c>
      <c r="AB684" s="45">
        <v>0.0</v>
      </c>
      <c r="AC684" s="45">
        <v>1.0</v>
      </c>
      <c r="AD684" s="45" t="s">
        <v>3523</v>
      </c>
      <c r="AE684" s="45" t="s">
        <v>3524</v>
      </c>
      <c r="AF684" s="45">
        <v>8.008435412E9</v>
      </c>
      <c r="AG684" s="45">
        <v>6.300445974E9</v>
      </c>
      <c r="AH684" s="45">
        <v>0.0</v>
      </c>
      <c r="AI684" s="45" t="s">
        <v>3525</v>
      </c>
      <c r="AJ684" s="45"/>
      <c r="AK684" s="45" t="s">
        <v>2638</v>
      </c>
      <c r="AL684" s="45" t="s">
        <v>2639</v>
      </c>
      <c r="AM684" s="45">
        <v>9.59</v>
      </c>
      <c r="AN684" s="45">
        <v>8.93</v>
      </c>
      <c r="AO684" s="45">
        <v>8.55</v>
      </c>
      <c r="AP684" s="45">
        <v>0.0</v>
      </c>
      <c r="AQ684" s="45">
        <v>9.02</v>
      </c>
      <c r="AR684" s="45">
        <v>9.04</v>
      </c>
      <c r="AU684" s="45" t="s">
        <v>1011</v>
      </c>
      <c r="AX684" s="45" t="s">
        <v>1028</v>
      </c>
    </row>
    <row r="685">
      <c r="B685" s="45" t="s">
        <v>3526</v>
      </c>
      <c r="C685" s="45" t="s">
        <v>3527</v>
      </c>
      <c r="D685" s="45" t="s">
        <v>3528</v>
      </c>
      <c r="E685" s="45" t="s">
        <v>3529</v>
      </c>
      <c r="F685" s="45"/>
      <c r="G685" s="45">
        <v>0.0</v>
      </c>
      <c r="H685" s="125"/>
      <c r="I685" s="125"/>
      <c r="J685" s="119">
        <v>6.90678E11</v>
      </c>
      <c r="K685" s="45" t="s">
        <v>1003</v>
      </c>
      <c r="L685" s="45" t="s">
        <v>1003</v>
      </c>
      <c r="M685" s="45">
        <v>26515.0</v>
      </c>
      <c r="N685" s="45">
        <v>30940.0</v>
      </c>
      <c r="O685" s="45" t="s">
        <v>1870</v>
      </c>
      <c r="P685" s="45">
        <v>10739.0</v>
      </c>
      <c r="Q685" s="45">
        <v>0.0</v>
      </c>
      <c r="R685" s="45" t="s">
        <v>1919</v>
      </c>
      <c r="S685" s="45" t="s">
        <v>46</v>
      </c>
      <c r="T685" s="45" t="s">
        <v>3514</v>
      </c>
      <c r="U685" s="45">
        <v>98.0</v>
      </c>
      <c r="V685" s="45">
        <v>2019.0</v>
      </c>
      <c r="W685" s="45">
        <v>98.0</v>
      </c>
      <c r="X685" s="45">
        <v>2021.0</v>
      </c>
      <c r="Y685" s="45">
        <v>8.3</v>
      </c>
      <c r="Z685" s="45">
        <v>78.0</v>
      </c>
      <c r="AA685" s="45">
        <v>2025.0</v>
      </c>
      <c r="AB685" s="45">
        <v>0.0</v>
      </c>
      <c r="AC685" s="45">
        <v>0.0</v>
      </c>
      <c r="AD685" s="45" t="s">
        <v>3530</v>
      </c>
      <c r="AE685" s="45" t="s">
        <v>3531</v>
      </c>
      <c r="AF685" s="45">
        <v>6.300996064E9</v>
      </c>
      <c r="AG685" s="45">
        <v>9.010318449E9</v>
      </c>
      <c r="AH685" s="45" t="s">
        <v>278</v>
      </c>
      <c r="AI685" s="45">
        <v>0.0</v>
      </c>
      <c r="AJ685" s="45"/>
      <c r="AK685" s="45" t="s">
        <v>2666</v>
      </c>
      <c r="AL685" s="45" t="s">
        <v>2667</v>
      </c>
      <c r="AM685" s="45">
        <v>7.57</v>
      </c>
      <c r="AN685" s="45">
        <v>0.0</v>
      </c>
      <c r="AO685" s="45">
        <v>0.0</v>
      </c>
      <c r="AP685" s="45">
        <v>0.0</v>
      </c>
      <c r="AQ685" s="45">
        <v>7.06</v>
      </c>
      <c r="AR685" s="45">
        <v>0.0</v>
      </c>
      <c r="AU685" s="45" t="s">
        <v>1011</v>
      </c>
      <c r="AX685" s="45" t="s">
        <v>1012</v>
      </c>
    </row>
    <row r="686">
      <c r="B686" s="45" t="s">
        <v>3532</v>
      </c>
      <c r="C686" s="45" t="s">
        <v>15</v>
      </c>
      <c r="D686" s="45" t="s">
        <v>2196</v>
      </c>
      <c r="E686" s="45" t="s">
        <v>3533</v>
      </c>
      <c r="F686" s="45"/>
      <c r="G686" s="45">
        <v>0.0</v>
      </c>
      <c r="H686" s="125"/>
      <c r="I686" s="125"/>
      <c r="J686" s="119">
        <v>7.21356E11</v>
      </c>
      <c r="K686" s="45" t="s">
        <v>1003</v>
      </c>
      <c r="L686" s="45" t="s">
        <v>1003</v>
      </c>
      <c r="M686" s="45" t="s">
        <v>1003</v>
      </c>
      <c r="N686" s="45" t="s">
        <v>1003</v>
      </c>
      <c r="O686" s="45" t="s">
        <v>3534</v>
      </c>
      <c r="P686" s="45">
        <v>14337.0</v>
      </c>
      <c r="Q686" s="45">
        <v>0.0</v>
      </c>
      <c r="R686" s="45" t="s">
        <v>3535</v>
      </c>
      <c r="S686" s="45" t="s">
        <v>46</v>
      </c>
      <c r="T686" s="45" t="s">
        <v>3514</v>
      </c>
      <c r="U686" s="45">
        <v>92.0</v>
      </c>
      <c r="V686" s="45">
        <v>2019.0</v>
      </c>
      <c r="W686" s="45">
        <v>95.8</v>
      </c>
      <c r="X686" s="45">
        <v>2021.0</v>
      </c>
      <c r="Y686" s="45">
        <v>7.7</v>
      </c>
      <c r="Z686" s="45">
        <v>72.0</v>
      </c>
      <c r="AA686" s="45">
        <v>2025.0</v>
      </c>
      <c r="AB686" s="45">
        <v>0.0</v>
      </c>
      <c r="AC686" s="45">
        <v>0.0</v>
      </c>
      <c r="AD686" s="45" t="s">
        <v>3536</v>
      </c>
      <c r="AE686" s="45" t="s">
        <v>3537</v>
      </c>
      <c r="AF686" s="45">
        <v>9.550843673E9</v>
      </c>
      <c r="AG686" s="45">
        <v>9.177018904E9</v>
      </c>
      <c r="AH686" s="45">
        <v>0.0</v>
      </c>
      <c r="AI686" s="45">
        <v>0.0</v>
      </c>
      <c r="AJ686" s="45"/>
      <c r="AK686" s="45" t="s">
        <v>2736</v>
      </c>
      <c r="AL686" s="45" t="s">
        <v>2737</v>
      </c>
      <c r="AM686" s="45">
        <v>8.11</v>
      </c>
      <c r="AN686" s="45">
        <v>8.41</v>
      </c>
      <c r="AO686" s="45">
        <v>7.89</v>
      </c>
      <c r="AP686" s="45">
        <v>0.0</v>
      </c>
      <c r="AQ686" s="45">
        <v>8.29</v>
      </c>
      <c r="AR686" s="45">
        <v>8.44</v>
      </c>
      <c r="AU686" s="45" t="s">
        <v>1011</v>
      </c>
      <c r="AX686" s="45" t="s">
        <v>1012</v>
      </c>
    </row>
    <row r="687">
      <c r="B687" s="45" t="s">
        <v>3538</v>
      </c>
      <c r="C687" s="45" t="s">
        <v>3539</v>
      </c>
      <c r="D687" s="45" t="s">
        <v>3540</v>
      </c>
      <c r="E687" s="45" t="s">
        <v>3541</v>
      </c>
      <c r="F687" s="45"/>
      <c r="G687" s="45">
        <v>0.0</v>
      </c>
      <c r="H687" s="125"/>
      <c r="I687" s="125"/>
      <c r="J687" s="119">
        <v>6.82588E11</v>
      </c>
      <c r="K687" s="45" t="s">
        <v>1003</v>
      </c>
      <c r="L687" s="45" t="s">
        <v>1003</v>
      </c>
      <c r="M687" s="45">
        <v>10516.0</v>
      </c>
      <c r="N687" s="45">
        <v>14516.0</v>
      </c>
      <c r="O687" s="45" t="s">
        <v>1369</v>
      </c>
      <c r="P687" s="45">
        <v>15678.0</v>
      </c>
      <c r="Q687" s="45">
        <v>0.0</v>
      </c>
      <c r="R687" s="121">
        <v>37930.0</v>
      </c>
      <c r="S687" s="45" t="s">
        <v>60</v>
      </c>
      <c r="T687" s="45" t="s">
        <v>3514</v>
      </c>
      <c r="U687" s="45">
        <v>100.0</v>
      </c>
      <c r="V687" s="45">
        <v>2019.0</v>
      </c>
      <c r="W687" s="45">
        <v>96.6</v>
      </c>
      <c r="X687" s="45">
        <v>2021.0</v>
      </c>
      <c r="Y687" s="45">
        <v>8.8</v>
      </c>
      <c r="Z687" s="45">
        <v>83.0</v>
      </c>
      <c r="AA687" s="45">
        <v>2025.0</v>
      </c>
      <c r="AB687" s="45">
        <v>0.0</v>
      </c>
      <c r="AC687" s="45">
        <v>0.0</v>
      </c>
      <c r="AD687" s="45" t="s">
        <v>3542</v>
      </c>
      <c r="AE687" s="45" t="s">
        <v>3543</v>
      </c>
      <c r="AF687" s="45">
        <v>8.247829738E9</v>
      </c>
      <c r="AG687" s="45">
        <v>9.666702159E9</v>
      </c>
      <c r="AH687" s="45">
        <v>0.0</v>
      </c>
      <c r="AI687" s="45">
        <v>0.0</v>
      </c>
      <c r="AJ687" s="45"/>
      <c r="AK687" s="45" t="s">
        <v>2750</v>
      </c>
      <c r="AL687" s="45" t="s">
        <v>2751</v>
      </c>
      <c r="AM687" s="45">
        <v>8.38</v>
      </c>
      <c r="AN687" s="45">
        <v>8.9</v>
      </c>
      <c r="AO687" s="45">
        <v>8.0</v>
      </c>
      <c r="AP687" s="45">
        <v>0.0</v>
      </c>
      <c r="AQ687" s="45">
        <v>8.37</v>
      </c>
      <c r="AR687" s="45">
        <v>8.4</v>
      </c>
      <c r="AU687" s="45" t="s">
        <v>1011</v>
      </c>
      <c r="AX687" s="45" t="s">
        <v>1012</v>
      </c>
    </row>
    <row r="688">
      <c r="B688" s="45" t="s">
        <v>3544</v>
      </c>
      <c r="C688" s="45" t="s">
        <v>3545</v>
      </c>
      <c r="D688" s="45" t="s">
        <v>3546</v>
      </c>
      <c r="E688" s="45" t="s">
        <v>3547</v>
      </c>
      <c r="F688" s="45"/>
      <c r="G688" s="45">
        <v>0.0</v>
      </c>
      <c r="H688" s="125"/>
      <c r="I688" s="125"/>
      <c r="J688" s="119">
        <v>7.63264E11</v>
      </c>
      <c r="K688" s="45" t="s">
        <v>1003</v>
      </c>
      <c r="L688" s="45" t="s">
        <v>1003</v>
      </c>
      <c r="M688" s="45">
        <v>11363.0</v>
      </c>
      <c r="N688" s="45">
        <v>15264.0</v>
      </c>
      <c r="O688" s="45" t="s">
        <v>2018</v>
      </c>
      <c r="P688" s="45">
        <v>40903.0</v>
      </c>
      <c r="Q688" s="45">
        <v>0.0</v>
      </c>
      <c r="R688" s="45" t="s">
        <v>3358</v>
      </c>
      <c r="S688" s="45" t="s">
        <v>60</v>
      </c>
      <c r="T688" s="45" t="s">
        <v>3514</v>
      </c>
      <c r="U688" s="45">
        <v>98.0</v>
      </c>
      <c r="V688" s="45">
        <v>2019.0</v>
      </c>
      <c r="W688" s="45">
        <v>94.2</v>
      </c>
      <c r="X688" s="45">
        <v>2021.0</v>
      </c>
      <c r="Y688" s="45">
        <v>8.7</v>
      </c>
      <c r="Z688" s="45">
        <v>82.0</v>
      </c>
      <c r="AA688" s="45">
        <v>2025.0</v>
      </c>
      <c r="AB688" s="45">
        <v>0.0</v>
      </c>
      <c r="AC688" s="45">
        <v>0.0</v>
      </c>
      <c r="AD688" s="45" t="s">
        <v>3548</v>
      </c>
      <c r="AE688" s="45" t="s">
        <v>3549</v>
      </c>
      <c r="AF688" s="45">
        <v>7.032252311E9</v>
      </c>
      <c r="AG688" s="45">
        <v>9.700319783E9</v>
      </c>
      <c r="AH688" s="45">
        <v>0.0</v>
      </c>
      <c r="AI688" s="45">
        <v>0.0</v>
      </c>
      <c r="AJ688" s="45"/>
      <c r="AK688" s="45" t="s">
        <v>2824</v>
      </c>
      <c r="AL688" s="45" t="s">
        <v>2825</v>
      </c>
      <c r="AM688" s="45">
        <v>9.19</v>
      </c>
      <c r="AN688" s="45">
        <v>8.68</v>
      </c>
      <c r="AO688" s="45">
        <v>8.45</v>
      </c>
      <c r="AP688" s="45">
        <v>0.0</v>
      </c>
      <c r="AQ688" s="45">
        <v>8.8</v>
      </c>
      <c r="AR688" s="45">
        <v>8.82</v>
      </c>
      <c r="AU688" s="45" t="s">
        <v>1011</v>
      </c>
      <c r="AX688" s="45" t="s">
        <v>1028</v>
      </c>
    </row>
    <row r="689">
      <c r="B689" s="45" t="s">
        <v>3550</v>
      </c>
      <c r="C689" s="45" t="s">
        <v>3551</v>
      </c>
      <c r="D689" s="45" t="s">
        <v>3552</v>
      </c>
      <c r="E689" s="45" t="s">
        <v>3552</v>
      </c>
      <c r="F689" s="45"/>
      <c r="G689" s="45">
        <v>0.0</v>
      </c>
      <c r="H689" s="125"/>
      <c r="I689" s="125"/>
      <c r="J689" s="119">
        <v>5.05795E11</v>
      </c>
      <c r="K689" s="45" t="s">
        <v>1003</v>
      </c>
      <c r="L689" s="45" t="s">
        <v>1003</v>
      </c>
      <c r="M689" s="45" t="s">
        <v>1003</v>
      </c>
      <c r="N689" s="45" t="s">
        <v>1003</v>
      </c>
      <c r="O689" s="45" t="s">
        <v>3553</v>
      </c>
      <c r="P689" s="45">
        <v>20788.0</v>
      </c>
      <c r="Q689" s="45">
        <v>0.0</v>
      </c>
      <c r="R689" s="121">
        <v>38201.0</v>
      </c>
      <c r="S689" s="45" t="s">
        <v>60</v>
      </c>
      <c r="T689" s="45" t="s">
        <v>3514</v>
      </c>
      <c r="U689" s="45">
        <v>98.0</v>
      </c>
      <c r="V689" s="45">
        <v>2019.0</v>
      </c>
      <c r="W689" s="45">
        <v>97.0</v>
      </c>
      <c r="X689" s="45">
        <v>2021.0</v>
      </c>
      <c r="Y689" s="45">
        <v>8.2</v>
      </c>
      <c r="Z689" s="45">
        <v>77.0</v>
      </c>
      <c r="AA689" s="45">
        <v>2025.0</v>
      </c>
      <c r="AB689" s="45">
        <v>0.0</v>
      </c>
      <c r="AC689" s="45">
        <v>0.0</v>
      </c>
      <c r="AD689" s="45" t="s">
        <v>3554</v>
      </c>
      <c r="AE689" s="45" t="s">
        <v>3555</v>
      </c>
      <c r="AF689" s="45">
        <v>8.019830732E9</v>
      </c>
      <c r="AG689" s="45">
        <v>9.247374422E9</v>
      </c>
      <c r="AH689" s="45" t="s">
        <v>3478</v>
      </c>
      <c r="AI689" s="45" t="s">
        <v>3556</v>
      </c>
      <c r="AJ689" s="45"/>
      <c r="AK689" s="45" t="s">
        <v>2886</v>
      </c>
      <c r="AL689" s="45" t="s">
        <v>2887</v>
      </c>
      <c r="AM689" s="45">
        <v>8.0</v>
      </c>
      <c r="AN689" s="45">
        <v>8.44</v>
      </c>
      <c r="AO689" s="45">
        <v>7.52</v>
      </c>
      <c r="AP689" s="45">
        <v>0.0</v>
      </c>
      <c r="AQ689" s="45">
        <v>7.99</v>
      </c>
      <c r="AR689" s="45">
        <v>7.98</v>
      </c>
      <c r="AU689" s="45" t="s">
        <v>1011</v>
      </c>
      <c r="AX689" s="45" t="s">
        <v>1028</v>
      </c>
    </row>
    <row r="690">
      <c r="B690" s="45" t="s">
        <v>3557</v>
      </c>
      <c r="C690" s="45" t="s">
        <v>3558</v>
      </c>
      <c r="D690" s="45" t="s">
        <v>3559</v>
      </c>
      <c r="E690" s="45" t="s">
        <v>3560</v>
      </c>
      <c r="F690" s="45"/>
      <c r="G690" s="45">
        <v>0.0</v>
      </c>
      <c r="H690" s="125"/>
      <c r="I690" s="125"/>
      <c r="J690" s="119">
        <v>5.74437E11</v>
      </c>
      <c r="K690" s="45" t="s">
        <v>1003</v>
      </c>
      <c r="L690" s="45" t="s">
        <v>1003</v>
      </c>
      <c r="M690" s="45" t="s">
        <v>1003</v>
      </c>
      <c r="N690" s="45" t="s">
        <v>1003</v>
      </c>
      <c r="O690" s="45" t="s">
        <v>3561</v>
      </c>
      <c r="P690" s="45">
        <v>20188.0</v>
      </c>
      <c r="Q690" s="45">
        <v>0.0</v>
      </c>
      <c r="R690" s="45" t="s">
        <v>3562</v>
      </c>
      <c r="S690" s="45" t="s">
        <v>46</v>
      </c>
      <c r="T690" s="45" t="s">
        <v>3514</v>
      </c>
      <c r="U690" s="45">
        <v>97.0</v>
      </c>
      <c r="V690" s="45">
        <v>2019.0</v>
      </c>
      <c r="W690" s="45">
        <v>96.6</v>
      </c>
      <c r="X690" s="45">
        <v>2021.0</v>
      </c>
      <c r="Y690" s="45">
        <v>8.3</v>
      </c>
      <c r="Z690" s="45">
        <v>78.0</v>
      </c>
      <c r="AA690" s="45">
        <v>2025.0</v>
      </c>
      <c r="AB690" s="45">
        <v>0.0</v>
      </c>
      <c r="AC690" s="45">
        <v>0.0</v>
      </c>
      <c r="AD690" s="45" t="s">
        <v>3563</v>
      </c>
      <c r="AE690" s="45" t="s">
        <v>3564</v>
      </c>
      <c r="AF690" s="45">
        <v>9.849155205E9</v>
      </c>
      <c r="AG690" s="45">
        <v>7.780491704E9</v>
      </c>
      <c r="AH690" s="45">
        <v>0.0</v>
      </c>
      <c r="AI690" s="45">
        <v>0.0</v>
      </c>
      <c r="AJ690" s="45"/>
      <c r="AK690" s="45" t="s">
        <v>2955</v>
      </c>
      <c r="AL690" s="45" t="s">
        <v>2956</v>
      </c>
      <c r="AM690" s="45">
        <v>8.86</v>
      </c>
      <c r="AN690" s="45">
        <v>8.61</v>
      </c>
      <c r="AO690" s="45">
        <v>8.34</v>
      </c>
      <c r="AP690" s="45">
        <v>0.0</v>
      </c>
      <c r="AQ690" s="45">
        <v>8.73</v>
      </c>
      <c r="AR690" s="45">
        <v>8.77</v>
      </c>
      <c r="AU690" s="45" t="s">
        <v>1011</v>
      </c>
      <c r="AX690" s="45" t="s">
        <v>1012</v>
      </c>
    </row>
    <row r="691">
      <c r="B691" s="45" t="s">
        <v>3565</v>
      </c>
      <c r="C691" s="45" t="s">
        <v>3566</v>
      </c>
      <c r="D691" s="45" t="s">
        <v>3567</v>
      </c>
      <c r="E691" s="45" t="s">
        <v>3568</v>
      </c>
      <c r="F691" s="45"/>
      <c r="G691" s="45">
        <v>0.0</v>
      </c>
      <c r="H691" s="123"/>
      <c r="I691" s="123"/>
      <c r="J691" s="45" t="s">
        <v>3569</v>
      </c>
      <c r="K691" s="45" t="s">
        <v>1003</v>
      </c>
      <c r="L691" s="45" t="s">
        <v>1003</v>
      </c>
      <c r="M691" s="45" t="s">
        <v>1003</v>
      </c>
      <c r="N691" s="45" t="s">
        <v>1003</v>
      </c>
      <c r="O691" s="45" t="s">
        <v>2372</v>
      </c>
      <c r="P691" s="45">
        <v>20660.0</v>
      </c>
      <c r="Q691" s="45">
        <v>0.0</v>
      </c>
      <c r="R691" s="45" t="s">
        <v>2287</v>
      </c>
      <c r="S691" s="45" t="s">
        <v>60</v>
      </c>
      <c r="T691" s="45" t="s">
        <v>3514</v>
      </c>
      <c r="U691" s="45">
        <v>100.0</v>
      </c>
      <c r="V691" s="45">
        <v>2019.0</v>
      </c>
      <c r="W691" s="45">
        <v>96.6</v>
      </c>
      <c r="X691" s="45">
        <v>2021.0</v>
      </c>
      <c r="Y691" s="45">
        <v>8.3</v>
      </c>
      <c r="Z691" s="45">
        <v>78.0</v>
      </c>
      <c r="AA691" s="45">
        <v>2025.0</v>
      </c>
      <c r="AB691" s="45">
        <v>0.0</v>
      </c>
      <c r="AC691" s="45">
        <v>0.0</v>
      </c>
      <c r="AD691" s="45" t="s">
        <v>3570</v>
      </c>
      <c r="AE691" s="45" t="s">
        <v>3571</v>
      </c>
      <c r="AF691" s="45">
        <v>7.78023666E9</v>
      </c>
      <c r="AG691" s="45">
        <v>9.440479042E9</v>
      </c>
      <c r="AH691" s="45" t="s">
        <v>401</v>
      </c>
      <c r="AI691" s="45" t="s">
        <v>440</v>
      </c>
      <c r="AJ691" s="45"/>
      <c r="AK691" s="45" t="s">
        <v>3055</v>
      </c>
      <c r="AL691" s="45" t="s">
        <v>3056</v>
      </c>
      <c r="AM691" s="45">
        <v>9.19</v>
      </c>
      <c r="AN691" s="45">
        <v>9.22</v>
      </c>
      <c r="AO691" s="45">
        <v>8.5</v>
      </c>
      <c r="AP691" s="45">
        <v>0.0</v>
      </c>
      <c r="AQ691" s="45">
        <v>8.88</v>
      </c>
      <c r="AR691" s="45">
        <v>8.87</v>
      </c>
      <c r="AU691" s="45" t="s">
        <v>1011</v>
      </c>
      <c r="AX691" s="45" t="s">
        <v>1028</v>
      </c>
    </row>
    <row r="692">
      <c r="B692" s="45" t="s">
        <v>3572</v>
      </c>
      <c r="C692" s="45" t="s">
        <v>3573</v>
      </c>
      <c r="D692" s="45" t="s">
        <v>3574</v>
      </c>
      <c r="E692" s="45" t="s">
        <v>3575</v>
      </c>
      <c r="F692" s="45"/>
      <c r="G692" s="45">
        <v>0.0</v>
      </c>
      <c r="H692" s="125"/>
      <c r="I692" s="125"/>
      <c r="J692" s="119">
        <v>3.86449E11</v>
      </c>
      <c r="K692" s="45" t="s">
        <v>1003</v>
      </c>
      <c r="L692" s="45" t="s">
        <v>1003</v>
      </c>
      <c r="M692" s="45" t="s">
        <v>1003</v>
      </c>
      <c r="N692" s="45" t="s">
        <v>1003</v>
      </c>
      <c r="O692" s="45" t="s">
        <v>1123</v>
      </c>
      <c r="P692" s="45">
        <v>15714.0</v>
      </c>
      <c r="Q692" s="45">
        <v>0.0</v>
      </c>
      <c r="R692" s="45" t="s">
        <v>3576</v>
      </c>
      <c r="S692" s="45" t="s">
        <v>46</v>
      </c>
      <c r="T692" s="45" t="s">
        <v>3514</v>
      </c>
      <c r="U692" s="45">
        <v>100.0</v>
      </c>
      <c r="V692" s="45">
        <v>2018.0</v>
      </c>
      <c r="W692" s="45">
        <v>98.1</v>
      </c>
      <c r="X692" s="45">
        <v>2020.0</v>
      </c>
      <c r="Y692" s="45">
        <v>8.2</v>
      </c>
      <c r="Z692" s="45">
        <v>77.0</v>
      </c>
      <c r="AA692" s="45">
        <v>2025.0</v>
      </c>
      <c r="AB692" s="45">
        <v>0.0</v>
      </c>
      <c r="AC692" s="45">
        <v>0.0</v>
      </c>
      <c r="AD692" s="45" t="s">
        <v>3577</v>
      </c>
      <c r="AE692" s="45" t="s">
        <v>3578</v>
      </c>
      <c r="AF692" s="45">
        <v>6.301014145E9</v>
      </c>
      <c r="AG692" s="45">
        <v>9.885137047E9</v>
      </c>
      <c r="AH692" s="45" t="s">
        <v>278</v>
      </c>
      <c r="AI692" s="45" t="s">
        <v>3579</v>
      </c>
      <c r="AJ692" s="45"/>
      <c r="AK692" s="45" t="s">
        <v>3136</v>
      </c>
      <c r="AL692" s="45" t="s">
        <v>3137</v>
      </c>
      <c r="AM692" s="45">
        <v>8.35</v>
      </c>
      <c r="AN692" s="45">
        <v>8.02</v>
      </c>
      <c r="AO692" s="45">
        <v>8.07</v>
      </c>
      <c r="AP692" s="45">
        <v>0.0</v>
      </c>
      <c r="AQ692" s="45">
        <v>8.27</v>
      </c>
      <c r="AR692" s="45">
        <v>8.35</v>
      </c>
      <c r="AU692" s="45" t="s">
        <v>1011</v>
      </c>
      <c r="AX692" s="45" t="s">
        <v>1028</v>
      </c>
    </row>
    <row r="693">
      <c r="B693" s="45" t="s">
        <v>3580</v>
      </c>
      <c r="C693" s="45" t="s">
        <v>3581</v>
      </c>
      <c r="D693" s="45" t="s">
        <v>3582</v>
      </c>
      <c r="E693" s="45" t="s">
        <v>3583</v>
      </c>
      <c r="F693" s="45"/>
      <c r="G693" s="45">
        <v>0.0</v>
      </c>
      <c r="H693" s="125"/>
      <c r="I693" s="125"/>
      <c r="J693" s="119">
        <v>5.42754E11</v>
      </c>
      <c r="K693" s="45" t="s">
        <v>1003</v>
      </c>
      <c r="L693" s="45" t="s">
        <v>1003</v>
      </c>
      <c r="M693" s="45">
        <v>16874.0</v>
      </c>
      <c r="N693" s="45">
        <v>19751.0</v>
      </c>
      <c r="O693" s="45" t="s">
        <v>1918</v>
      </c>
      <c r="P693" s="45">
        <v>16080.0</v>
      </c>
      <c r="Q693" s="45">
        <v>0.0</v>
      </c>
      <c r="R693" s="45" t="s">
        <v>3584</v>
      </c>
      <c r="S693" s="45" t="s">
        <v>60</v>
      </c>
      <c r="T693" s="45" t="s">
        <v>3514</v>
      </c>
      <c r="U693" s="45">
        <v>100.0</v>
      </c>
      <c r="V693" s="45">
        <v>2019.0</v>
      </c>
      <c r="W693" s="45">
        <v>98.0</v>
      </c>
      <c r="X693" s="45">
        <v>2021.0</v>
      </c>
      <c r="Y693" s="45">
        <v>9.1</v>
      </c>
      <c r="Z693" s="45">
        <v>86.0</v>
      </c>
      <c r="AA693" s="45">
        <v>2025.0</v>
      </c>
      <c r="AB693" s="45">
        <v>0.0</v>
      </c>
      <c r="AC693" s="45">
        <v>0.0</v>
      </c>
      <c r="AD693" s="45" t="s">
        <v>3585</v>
      </c>
      <c r="AE693" s="45" t="s">
        <v>3586</v>
      </c>
      <c r="AF693" s="45">
        <v>8.977271532E9</v>
      </c>
      <c r="AG693" s="45">
        <v>9.398961532E9</v>
      </c>
      <c r="AH693" s="45" t="s">
        <v>62</v>
      </c>
      <c r="AI693" s="45">
        <v>0.0</v>
      </c>
      <c r="AJ693" s="45"/>
      <c r="AK693" s="45" t="s">
        <v>3176</v>
      </c>
      <c r="AL693" s="45" t="s">
        <v>3177</v>
      </c>
      <c r="AM693" s="45">
        <v>8.49</v>
      </c>
      <c r="AN693" s="45">
        <v>8.49</v>
      </c>
      <c r="AO693" s="45">
        <v>8.14</v>
      </c>
      <c r="AP693" s="45">
        <v>0.0</v>
      </c>
      <c r="AQ693" s="45">
        <v>8.36</v>
      </c>
      <c r="AR693" s="45">
        <v>8.35</v>
      </c>
      <c r="AU693" s="45" t="s">
        <v>1011</v>
      </c>
      <c r="AX693" s="45" t="s">
        <v>1028</v>
      </c>
    </row>
    <row r="694">
      <c r="B694" s="45" t="s">
        <v>3587</v>
      </c>
      <c r="C694" s="45" t="s">
        <v>3588</v>
      </c>
      <c r="D694" s="45" t="s">
        <v>3589</v>
      </c>
      <c r="E694" s="45" t="s">
        <v>3590</v>
      </c>
      <c r="F694" s="45"/>
      <c r="G694" s="45">
        <v>0.0</v>
      </c>
      <c r="H694" s="125"/>
      <c r="I694" s="125"/>
      <c r="J694" s="119">
        <v>6.66687E11</v>
      </c>
      <c r="K694" s="45" t="s">
        <v>1003</v>
      </c>
      <c r="L694" s="45" t="s">
        <v>1003</v>
      </c>
      <c r="M694" s="45" t="s">
        <v>1003</v>
      </c>
      <c r="N694" s="45" t="s">
        <v>1003</v>
      </c>
      <c r="O694" s="45" t="s">
        <v>1123</v>
      </c>
      <c r="P694" s="45">
        <v>17253.0</v>
      </c>
      <c r="Q694" s="45">
        <v>0.0</v>
      </c>
      <c r="R694" s="45" t="s">
        <v>3591</v>
      </c>
      <c r="S694" s="45" t="s">
        <v>46</v>
      </c>
      <c r="T694" s="45" t="s">
        <v>3514</v>
      </c>
      <c r="U694" s="45">
        <v>95.0</v>
      </c>
      <c r="V694" s="45">
        <v>2019.0</v>
      </c>
      <c r="W694" s="45">
        <v>90.8</v>
      </c>
      <c r="X694" s="45">
        <v>2021.0</v>
      </c>
      <c r="Y694" s="45">
        <v>7.4</v>
      </c>
      <c r="Z694" s="45">
        <v>69.0</v>
      </c>
      <c r="AA694" s="45">
        <v>2025.0</v>
      </c>
      <c r="AB694" s="45">
        <v>0.0</v>
      </c>
      <c r="AC694" s="45">
        <v>1.0</v>
      </c>
      <c r="AD694" s="45" t="s">
        <v>3592</v>
      </c>
      <c r="AE694" s="45" t="s">
        <v>3593</v>
      </c>
      <c r="AF694" s="45">
        <v>9.704620182E9</v>
      </c>
      <c r="AG694" s="45">
        <v>9.908752029E9</v>
      </c>
      <c r="AH694" s="45">
        <v>0.0</v>
      </c>
      <c r="AI694" s="45" t="s">
        <v>3525</v>
      </c>
      <c r="AJ694" s="45"/>
      <c r="AK694" s="45" t="s">
        <v>3189</v>
      </c>
      <c r="AL694" s="45" t="s">
        <v>3190</v>
      </c>
      <c r="AM694" s="45">
        <v>7.65</v>
      </c>
      <c r="AN694" s="45">
        <v>7.46</v>
      </c>
      <c r="AO694" s="45">
        <v>7.59</v>
      </c>
      <c r="AP694" s="45">
        <v>0.0</v>
      </c>
      <c r="AQ694" s="45">
        <v>7.87</v>
      </c>
      <c r="AR694" s="45">
        <v>8.0</v>
      </c>
      <c r="AU694" s="45" t="s">
        <v>1011</v>
      </c>
      <c r="AX694" s="45" t="s">
        <v>1028</v>
      </c>
    </row>
    <row r="695">
      <c r="B695" s="45" t="s">
        <v>3594</v>
      </c>
      <c r="C695" s="45" t="s">
        <v>2441</v>
      </c>
      <c r="D695" s="45" t="s">
        <v>3595</v>
      </c>
      <c r="E695" s="45" t="s">
        <v>3595</v>
      </c>
      <c r="F695" s="45"/>
      <c r="G695" s="45">
        <v>0.0</v>
      </c>
      <c r="H695" s="125"/>
      <c r="I695" s="125"/>
      <c r="J695" s="119">
        <v>4.55743E11</v>
      </c>
      <c r="K695" s="45" t="s">
        <v>1003</v>
      </c>
      <c r="L695" s="45" t="s">
        <v>1003</v>
      </c>
      <c r="M695" s="45" t="s">
        <v>1003</v>
      </c>
      <c r="N695" s="45" t="s">
        <v>1003</v>
      </c>
      <c r="O695" s="45" t="s">
        <v>1123</v>
      </c>
      <c r="P695" s="45">
        <v>30298.0</v>
      </c>
      <c r="Q695" s="45">
        <v>0.0</v>
      </c>
      <c r="R695" s="45" t="s">
        <v>3596</v>
      </c>
      <c r="S695" s="45" t="s">
        <v>46</v>
      </c>
      <c r="T695" s="45" t="s">
        <v>3514</v>
      </c>
      <c r="U695" s="45">
        <v>95.0</v>
      </c>
      <c r="V695" s="45">
        <v>2019.0</v>
      </c>
      <c r="W695" s="45">
        <v>89.6</v>
      </c>
      <c r="X695" s="45">
        <v>2021.0</v>
      </c>
      <c r="Y695" s="45">
        <v>7.5</v>
      </c>
      <c r="Z695" s="45">
        <v>70.0</v>
      </c>
      <c r="AA695" s="45">
        <v>2025.0</v>
      </c>
      <c r="AB695" s="45">
        <v>0.0</v>
      </c>
      <c r="AC695" s="45">
        <v>1.0</v>
      </c>
      <c r="AD695" s="45" t="s">
        <v>3597</v>
      </c>
      <c r="AE695" s="45" t="s">
        <v>3598</v>
      </c>
      <c r="AF695" s="45">
        <v>9.95965411E9</v>
      </c>
      <c r="AG695" s="45">
        <v>8.897627402E9</v>
      </c>
      <c r="AH695" s="45" t="s">
        <v>3475</v>
      </c>
      <c r="AI695" s="45" t="s">
        <v>3599</v>
      </c>
      <c r="AJ695" s="45"/>
      <c r="AK695" s="45" t="s">
        <v>3277</v>
      </c>
      <c r="AL695" s="45" t="s">
        <v>3278</v>
      </c>
      <c r="AM695" s="45">
        <v>9.19</v>
      </c>
      <c r="AN695" s="45">
        <v>8.63</v>
      </c>
      <c r="AO695" s="45">
        <v>8.55</v>
      </c>
      <c r="AP695" s="45">
        <v>0.0</v>
      </c>
      <c r="AQ695" s="45">
        <v>9.0</v>
      </c>
      <c r="AR695" s="45">
        <v>9.02</v>
      </c>
      <c r="AU695" s="45" t="s">
        <v>1011</v>
      </c>
      <c r="AX695" s="45" t="s">
        <v>1012</v>
      </c>
    </row>
    <row r="696">
      <c r="B696" s="45" t="s">
        <v>3600</v>
      </c>
      <c r="C696" s="45" t="s">
        <v>2689</v>
      </c>
      <c r="D696" s="45" t="s">
        <v>3601</v>
      </c>
      <c r="E696" s="45" t="s">
        <v>3602</v>
      </c>
      <c r="F696" s="45"/>
      <c r="G696" s="45">
        <v>0.0</v>
      </c>
      <c r="H696" s="125"/>
      <c r="I696" s="125"/>
      <c r="J696" s="119">
        <v>6.34876E11</v>
      </c>
      <c r="K696" s="45" t="s">
        <v>1003</v>
      </c>
      <c r="L696" s="45" t="s">
        <v>1003</v>
      </c>
      <c r="M696" s="45" t="s">
        <v>1003</v>
      </c>
      <c r="N696" s="45" t="s">
        <v>1003</v>
      </c>
      <c r="O696" s="45" t="s">
        <v>3044</v>
      </c>
      <c r="P696" s="45">
        <v>30599.0</v>
      </c>
      <c r="Q696" s="45">
        <v>0.0</v>
      </c>
      <c r="R696" s="45" t="s">
        <v>3603</v>
      </c>
      <c r="S696" s="45" t="s">
        <v>60</v>
      </c>
      <c r="T696" s="45" t="s">
        <v>3514</v>
      </c>
      <c r="U696" s="45">
        <v>97.0</v>
      </c>
      <c r="V696" s="45">
        <v>2019.0</v>
      </c>
      <c r="W696" s="45">
        <v>96.6</v>
      </c>
      <c r="X696" s="45">
        <v>2021.0</v>
      </c>
      <c r="Y696" s="45">
        <v>8.8</v>
      </c>
      <c r="Z696" s="45">
        <v>83.0</v>
      </c>
      <c r="AA696" s="45">
        <v>2025.0</v>
      </c>
      <c r="AB696" s="45">
        <v>0.0</v>
      </c>
      <c r="AC696" s="45">
        <v>0.0</v>
      </c>
      <c r="AD696" s="45" t="s">
        <v>3604</v>
      </c>
      <c r="AE696" s="45" t="s">
        <v>3605</v>
      </c>
      <c r="AF696" s="45">
        <v>8.978181765E9</v>
      </c>
      <c r="AG696" s="45">
        <v>9.989060695E9</v>
      </c>
      <c r="AH696" s="45">
        <v>0.0</v>
      </c>
      <c r="AI696" s="45">
        <v>0.0</v>
      </c>
      <c r="AJ696" s="45"/>
      <c r="AK696" s="45" t="s">
        <v>3606</v>
      </c>
      <c r="AL696" s="45" t="s">
        <v>3607</v>
      </c>
      <c r="AM696" s="45">
        <v>7.17</v>
      </c>
      <c r="AN696" s="45">
        <v>7.34</v>
      </c>
      <c r="AO696" s="45">
        <v>6.98</v>
      </c>
      <c r="AP696" s="45">
        <v>0.0</v>
      </c>
      <c r="AQ696" s="45">
        <v>6.68</v>
      </c>
      <c r="AR696" s="45">
        <v>7.11</v>
      </c>
      <c r="AU696" s="45" t="s">
        <v>1011</v>
      </c>
      <c r="AX696" s="45" t="s">
        <v>1012</v>
      </c>
    </row>
    <row r="697">
      <c r="B697" s="45" t="s">
        <v>3608</v>
      </c>
      <c r="C697" s="45" t="s">
        <v>3609</v>
      </c>
      <c r="D697" s="45" t="s">
        <v>3610</v>
      </c>
      <c r="E697" s="45" t="s">
        <v>3611</v>
      </c>
      <c r="F697" s="45"/>
      <c r="G697" s="45">
        <v>0.0</v>
      </c>
      <c r="H697" s="125"/>
      <c r="I697" s="125"/>
      <c r="J697" s="119">
        <v>5.69012E11</v>
      </c>
      <c r="K697" s="45" t="s">
        <v>1003</v>
      </c>
      <c r="L697" s="45" t="s">
        <v>1003</v>
      </c>
      <c r="M697" s="45">
        <v>12514.0</v>
      </c>
      <c r="N697" s="45">
        <v>15352.0</v>
      </c>
      <c r="O697" s="45" t="s">
        <v>3612</v>
      </c>
      <c r="P697" s="45">
        <v>10415.0</v>
      </c>
      <c r="Q697" s="45">
        <v>0.0</v>
      </c>
      <c r="R697" s="45" t="s">
        <v>3613</v>
      </c>
      <c r="S697" s="45" t="s">
        <v>46</v>
      </c>
      <c r="T697" s="45" t="s">
        <v>3514</v>
      </c>
      <c r="U697" s="45">
        <v>98.0</v>
      </c>
      <c r="V697" s="45">
        <v>2019.0</v>
      </c>
      <c r="W697" s="45">
        <v>94.0</v>
      </c>
      <c r="X697" s="45">
        <v>2021.0</v>
      </c>
      <c r="Y697" s="45">
        <v>8.3</v>
      </c>
      <c r="Z697" s="45">
        <v>78.0</v>
      </c>
      <c r="AA697" s="45">
        <v>2025.0</v>
      </c>
      <c r="AB697" s="45">
        <v>0.0</v>
      </c>
      <c r="AC697" s="45">
        <v>0.0</v>
      </c>
      <c r="AD697" s="45" t="s">
        <v>3614</v>
      </c>
      <c r="AE697" s="45" t="s">
        <v>3615</v>
      </c>
      <c r="AF697" s="45">
        <v>9.390338344E9</v>
      </c>
      <c r="AG697" s="45">
        <v>9.91264447E9</v>
      </c>
      <c r="AH697" s="45" t="s">
        <v>210</v>
      </c>
      <c r="AI697" s="45">
        <v>0.0</v>
      </c>
      <c r="AJ697" s="45"/>
      <c r="AK697" s="45" t="s">
        <v>3616</v>
      </c>
      <c r="AL697" s="45" t="s">
        <v>3617</v>
      </c>
      <c r="AM697" s="45">
        <v>6.67</v>
      </c>
      <c r="AN697" s="45">
        <v>7.24</v>
      </c>
      <c r="AO697" s="45">
        <v>7.2</v>
      </c>
      <c r="AP697" s="45">
        <v>0.0</v>
      </c>
      <c r="AQ697" s="45">
        <v>7.22</v>
      </c>
      <c r="AR697" s="45">
        <v>0.0</v>
      </c>
      <c r="AU697" s="45" t="s">
        <v>1011</v>
      </c>
      <c r="AX697" s="45" t="s">
        <v>1028</v>
      </c>
    </row>
    <row r="698">
      <c r="B698" s="45" t="s">
        <v>3618</v>
      </c>
      <c r="C698" s="45" t="s">
        <v>3042</v>
      </c>
      <c r="D698" s="45" t="s">
        <v>3619</v>
      </c>
      <c r="E698" s="45" t="s">
        <v>3620</v>
      </c>
      <c r="F698" s="45"/>
      <c r="G698" s="45">
        <v>0.0</v>
      </c>
      <c r="H698" s="125"/>
      <c r="I698" s="125"/>
      <c r="J698" s="119">
        <v>8.92202E11</v>
      </c>
      <c r="K698" s="45" t="s">
        <v>1003</v>
      </c>
      <c r="L698" s="45" t="s">
        <v>1003</v>
      </c>
      <c r="M698" s="45" t="s">
        <v>1003</v>
      </c>
      <c r="N698" s="45" t="s">
        <v>1003</v>
      </c>
      <c r="O698" s="45" t="s">
        <v>3621</v>
      </c>
      <c r="P698" s="45">
        <v>29781.0</v>
      </c>
      <c r="Q698" s="45">
        <v>0.0</v>
      </c>
      <c r="R698" s="121">
        <v>37875.0</v>
      </c>
      <c r="S698" s="45" t="s">
        <v>46</v>
      </c>
      <c r="T698" s="45" t="s">
        <v>3514</v>
      </c>
      <c r="U698" s="45">
        <v>100.0</v>
      </c>
      <c r="V698" s="45">
        <v>2019.0</v>
      </c>
      <c r="W698" s="45">
        <v>97.0</v>
      </c>
      <c r="X698" s="45">
        <v>2021.0</v>
      </c>
      <c r="Y698" s="45">
        <v>8.2</v>
      </c>
      <c r="Z698" s="45">
        <v>77.0</v>
      </c>
      <c r="AA698" s="45">
        <v>2025.0</v>
      </c>
      <c r="AB698" s="45">
        <v>0.0</v>
      </c>
      <c r="AC698" s="45">
        <v>0.0</v>
      </c>
      <c r="AD698" s="45" t="s">
        <v>3622</v>
      </c>
      <c r="AE698" s="45" t="s">
        <v>3623</v>
      </c>
      <c r="AF698" s="45">
        <v>9.392953189E9</v>
      </c>
      <c r="AG698" s="45">
        <v>9.948960475E9</v>
      </c>
      <c r="AH698" s="45" t="s">
        <v>237</v>
      </c>
      <c r="AI698" s="45">
        <v>0.0</v>
      </c>
      <c r="AJ698" s="45"/>
      <c r="AK698" s="45" t="s">
        <v>3624</v>
      </c>
      <c r="AL698" s="45" t="s">
        <v>3625</v>
      </c>
      <c r="AM698" s="45">
        <v>8.58</v>
      </c>
      <c r="AN698" s="45">
        <v>8.93</v>
      </c>
      <c r="AO698" s="45">
        <v>7.8</v>
      </c>
      <c r="AP698" s="45">
        <v>0.0</v>
      </c>
      <c r="AQ698" s="45">
        <v>8.44</v>
      </c>
      <c r="AR698" s="45">
        <v>8.33</v>
      </c>
      <c r="AU698" s="45" t="s">
        <v>1011</v>
      </c>
      <c r="AX698" s="45" t="s">
        <v>1028</v>
      </c>
    </row>
    <row r="699">
      <c r="B699" s="45" t="s">
        <v>3626</v>
      </c>
      <c r="C699" s="45" t="s">
        <v>3627</v>
      </c>
      <c r="D699" s="45" t="s">
        <v>3628</v>
      </c>
      <c r="E699" s="45" t="s">
        <v>3629</v>
      </c>
      <c r="F699" s="45"/>
      <c r="G699" s="45">
        <v>0.0</v>
      </c>
      <c r="H699" s="125"/>
      <c r="I699" s="125"/>
      <c r="J699" s="119">
        <v>7.17872E11</v>
      </c>
      <c r="K699" s="45" t="s">
        <v>1003</v>
      </c>
      <c r="L699" s="45" t="s">
        <v>1003</v>
      </c>
      <c r="M699" s="45" t="s">
        <v>1003</v>
      </c>
      <c r="N699" s="45" t="s">
        <v>1003</v>
      </c>
      <c r="O699" s="45" t="s">
        <v>3630</v>
      </c>
      <c r="P699" s="45">
        <v>0.0</v>
      </c>
      <c r="Q699" s="45">
        <v>1.0</v>
      </c>
      <c r="R699" s="121">
        <v>37900.0</v>
      </c>
      <c r="S699" s="45" t="s">
        <v>46</v>
      </c>
      <c r="T699" s="45" t="s">
        <v>3514</v>
      </c>
      <c r="U699" s="45">
        <v>97.0</v>
      </c>
      <c r="V699" s="45">
        <v>2019.0</v>
      </c>
      <c r="W699" s="45">
        <v>93.0</v>
      </c>
      <c r="X699" s="45">
        <v>2021.0</v>
      </c>
      <c r="Y699" s="45">
        <v>8.3</v>
      </c>
      <c r="Z699" s="45">
        <v>78.0</v>
      </c>
      <c r="AA699" s="45">
        <v>2025.0</v>
      </c>
      <c r="AB699" s="45">
        <v>0.0</v>
      </c>
      <c r="AC699" s="45">
        <v>0.0</v>
      </c>
      <c r="AD699" s="45" t="s">
        <v>3631</v>
      </c>
      <c r="AE699" s="45" t="s">
        <v>3632</v>
      </c>
      <c r="AF699" s="45">
        <v>7.075243555E9</v>
      </c>
      <c r="AG699" s="45">
        <v>9.61899988E9</v>
      </c>
      <c r="AH699" s="45" t="s">
        <v>237</v>
      </c>
      <c r="AI699" s="45">
        <v>0.0</v>
      </c>
      <c r="AJ699" s="45"/>
      <c r="AK699" s="45" t="s">
        <v>3633</v>
      </c>
      <c r="AL699" s="45" t="s">
        <v>3634</v>
      </c>
      <c r="AM699" s="45">
        <v>7.75</v>
      </c>
      <c r="AN699" s="45">
        <v>8.24</v>
      </c>
      <c r="AO699" s="45">
        <v>7.23</v>
      </c>
      <c r="AP699" s="45">
        <v>0.0</v>
      </c>
      <c r="AQ699" s="45">
        <v>7.71</v>
      </c>
      <c r="AR699" s="45">
        <v>7.66</v>
      </c>
      <c r="AU699" s="45" t="s">
        <v>1011</v>
      </c>
      <c r="AX699" s="45" t="s">
        <v>1028</v>
      </c>
    </row>
    <row r="700">
      <c r="B700" s="45" t="s">
        <v>3635</v>
      </c>
      <c r="C700" s="45" t="s">
        <v>3636</v>
      </c>
      <c r="D700" s="45" t="s">
        <v>1688</v>
      </c>
      <c r="E700" s="45" t="s">
        <v>3637</v>
      </c>
      <c r="F700" s="45"/>
      <c r="G700" s="45">
        <v>0.0</v>
      </c>
      <c r="H700" s="125"/>
      <c r="I700" s="125"/>
      <c r="J700" s="119">
        <v>2.68786E11</v>
      </c>
      <c r="K700" s="45" t="s">
        <v>1003</v>
      </c>
      <c r="L700" s="45" t="s">
        <v>1003</v>
      </c>
      <c r="M700" s="45" t="s">
        <v>1003</v>
      </c>
      <c r="N700" s="45" t="s">
        <v>1003</v>
      </c>
      <c r="O700" s="45" t="s">
        <v>1123</v>
      </c>
      <c r="P700" s="45">
        <v>15778.0</v>
      </c>
      <c r="Q700" s="45">
        <v>0.0</v>
      </c>
      <c r="R700" s="45" t="s">
        <v>3638</v>
      </c>
      <c r="S700" s="45" t="s">
        <v>46</v>
      </c>
      <c r="T700" s="45" t="s">
        <v>3514</v>
      </c>
      <c r="U700" s="45">
        <v>92.0</v>
      </c>
      <c r="V700" s="45">
        <v>2019.0</v>
      </c>
      <c r="W700" s="45">
        <v>92.0</v>
      </c>
      <c r="X700" s="45">
        <v>2021.0</v>
      </c>
      <c r="Y700" s="45">
        <v>7.9</v>
      </c>
      <c r="Z700" s="45">
        <v>74.0</v>
      </c>
      <c r="AA700" s="45">
        <v>2025.0</v>
      </c>
      <c r="AB700" s="45">
        <v>0.0</v>
      </c>
      <c r="AC700" s="45">
        <v>0.0</v>
      </c>
      <c r="AD700" s="45" t="s">
        <v>3639</v>
      </c>
      <c r="AE700" s="45" t="s">
        <v>3640</v>
      </c>
      <c r="AF700" s="45">
        <v>9.441238116E9</v>
      </c>
      <c r="AG700" s="45">
        <v>9.441301305E9</v>
      </c>
      <c r="AH700" s="45">
        <v>0.0</v>
      </c>
      <c r="AI700" s="45">
        <v>0.0</v>
      </c>
      <c r="AJ700" s="45"/>
      <c r="AK700" s="45" t="s">
        <v>3641</v>
      </c>
      <c r="AL700" s="45" t="s">
        <v>3642</v>
      </c>
      <c r="AM700" s="45">
        <v>8.5</v>
      </c>
      <c r="AN700" s="45">
        <v>8.66</v>
      </c>
      <c r="AO700" s="45">
        <v>8.34</v>
      </c>
      <c r="AP700" s="45">
        <v>0.0</v>
      </c>
      <c r="AQ700" s="45">
        <v>8.62</v>
      </c>
      <c r="AR700" s="45">
        <v>8.64</v>
      </c>
      <c r="AU700" s="45" t="s">
        <v>1011</v>
      </c>
      <c r="AX700" s="45" t="s">
        <v>1012</v>
      </c>
    </row>
    <row r="701">
      <c r="B701" s="45" t="s">
        <v>3643</v>
      </c>
      <c r="C701" s="45" t="s">
        <v>3644</v>
      </c>
      <c r="D701" s="45" t="s">
        <v>3645</v>
      </c>
      <c r="E701" s="45" t="s">
        <v>3646</v>
      </c>
      <c r="F701" s="45"/>
      <c r="G701" s="45">
        <v>0.0</v>
      </c>
      <c r="H701" s="125"/>
      <c r="I701" s="125"/>
      <c r="J701" s="119">
        <v>4.72652E11</v>
      </c>
      <c r="K701" s="45" t="s">
        <v>1003</v>
      </c>
      <c r="L701" s="45" t="s">
        <v>1003</v>
      </c>
      <c r="M701" s="45" t="s">
        <v>1003</v>
      </c>
      <c r="N701" s="45" t="s">
        <v>1003</v>
      </c>
      <c r="O701" s="45" t="s">
        <v>1084</v>
      </c>
      <c r="P701" s="45">
        <v>43214.0</v>
      </c>
      <c r="Q701" s="45">
        <v>0.0</v>
      </c>
      <c r="R701" s="120">
        <v>37936.0</v>
      </c>
      <c r="S701" s="45" t="s">
        <v>60</v>
      </c>
      <c r="T701" s="45" t="s">
        <v>3514</v>
      </c>
      <c r="U701" s="45">
        <v>88.0</v>
      </c>
      <c r="V701" s="45">
        <v>2019.0</v>
      </c>
      <c r="W701" s="45">
        <v>91.0</v>
      </c>
      <c r="X701" s="45">
        <v>2021.0</v>
      </c>
      <c r="Y701" s="45">
        <v>8.1</v>
      </c>
      <c r="Z701" s="45">
        <v>76.0</v>
      </c>
      <c r="AA701" s="45">
        <v>2025.0</v>
      </c>
      <c r="AB701" s="45">
        <v>0.0</v>
      </c>
      <c r="AC701" s="45">
        <v>0.0</v>
      </c>
      <c r="AD701" s="45" t="s">
        <v>3647</v>
      </c>
      <c r="AE701" s="45" t="s">
        <v>3648</v>
      </c>
      <c r="AF701" s="45">
        <v>8.143767804E9</v>
      </c>
      <c r="AG701" s="45">
        <v>8.019351362E9</v>
      </c>
      <c r="AH701" s="45">
        <v>0.0</v>
      </c>
      <c r="AI701" s="45">
        <v>0.0</v>
      </c>
      <c r="AJ701" s="45"/>
      <c r="AK701" s="45" t="s">
        <v>3649</v>
      </c>
      <c r="AL701" s="45" t="s">
        <v>3650</v>
      </c>
      <c r="AM701" s="45">
        <v>7.67</v>
      </c>
      <c r="AN701" s="45">
        <v>8.8</v>
      </c>
      <c r="AO701" s="45">
        <v>8.41</v>
      </c>
      <c r="AP701" s="45">
        <v>0.0</v>
      </c>
      <c r="AQ701" s="45">
        <v>8.59</v>
      </c>
      <c r="AR701" s="45">
        <v>8.69</v>
      </c>
      <c r="AU701" s="45" t="s">
        <v>1011</v>
      </c>
      <c r="AX701" s="45" t="s">
        <v>1012</v>
      </c>
    </row>
    <row r="702">
      <c r="B702" s="45" t="s">
        <v>3651</v>
      </c>
      <c r="C702" s="45" t="s">
        <v>3652</v>
      </c>
      <c r="D702" s="45" t="s">
        <v>1789</v>
      </c>
      <c r="E702" s="45" t="s">
        <v>3653</v>
      </c>
      <c r="F702" s="45"/>
      <c r="G702" s="45">
        <v>0.0</v>
      </c>
      <c r="H702" s="125"/>
      <c r="I702" s="125"/>
      <c r="J702" s="119">
        <v>7.88892E11</v>
      </c>
      <c r="K702" s="45" t="s">
        <v>1003</v>
      </c>
      <c r="L702" s="45" t="s">
        <v>1003</v>
      </c>
      <c r="M702" s="45" t="s">
        <v>1003</v>
      </c>
      <c r="N702" s="45" t="s">
        <v>1003</v>
      </c>
      <c r="O702" s="45" t="s">
        <v>3654</v>
      </c>
      <c r="P702" s="45">
        <v>0.0</v>
      </c>
      <c r="Q702" s="45">
        <v>0.0</v>
      </c>
      <c r="R702" s="45" t="s">
        <v>2279</v>
      </c>
      <c r="S702" s="45" t="s">
        <v>46</v>
      </c>
      <c r="T702" s="45" t="s">
        <v>3655</v>
      </c>
      <c r="U702" s="45">
        <v>89.0</v>
      </c>
      <c r="V702" s="45">
        <v>2019.0</v>
      </c>
      <c r="W702" s="45">
        <v>71.6</v>
      </c>
      <c r="X702" s="45">
        <v>2021.0</v>
      </c>
      <c r="Y702" s="45">
        <v>7.06</v>
      </c>
      <c r="Z702" s="45">
        <v>65.6</v>
      </c>
      <c r="AA702" s="45">
        <v>2025.0</v>
      </c>
      <c r="AB702" s="45">
        <v>2.0</v>
      </c>
      <c r="AC702" s="45">
        <v>6.0</v>
      </c>
      <c r="AD702" s="45" t="s">
        <v>3656</v>
      </c>
      <c r="AE702" s="45" t="s">
        <v>3657</v>
      </c>
      <c r="AF702" s="45">
        <v>9.849615006E9</v>
      </c>
      <c r="AG702" s="45">
        <v>9.849615006E9</v>
      </c>
      <c r="AH702" s="45" t="s">
        <v>271</v>
      </c>
      <c r="AI702" s="45">
        <v>0.0</v>
      </c>
      <c r="AJ702" s="45"/>
      <c r="AK702" s="45" t="s">
        <v>3658</v>
      </c>
      <c r="AL702" s="45" t="s">
        <v>3659</v>
      </c>
      <c r="AM702" s="45">
        <v>8.75</v>
      </c>
      <c r="AN702" s="45">
        <v>8.24</v>
      </c>
      <c r="AO702" s="45">
        <v>7.86</v>
      </c>
      <c r="AP702" s="45">
        <v>0.0</v>
      </c>
      <c r="AQ702" s="45">
        <v>8.06</v>
      </c>
      <c r="AR702" s="45">
        <v>8.06</v>
      </c>
      <c r="AU702" s="45" t="s">
        <v>1011</v>
      </c>
      <c r="AX702" s="45" t="s">
        <v>1012</v>
      </c>
    </row>
    <row r="703">
      <c r="B703" s="45" t="s">
        <v>3660</v>
      </c>
      <c r="C703" s="45" t="s">
        <v>3661</v>
      </c>
      <c r="D703" s="45" t="s">
        <v>3662</v>
      </c>
      <c r="E703" s="45" t="s">
        <v>3663</v>
      </c>
      <c r="F703" s="45"/>
      <c r="G703" s="45">
        <v>0.0</v>
      </c>
      <c r="H703" s="125"/>
      <c r="I703" s="125"/>
      <c r="J703" s="119">
        <v>7.52605E11</v>
      </c>
      <c r="K703" s="45" t="s">
        <v>1003</v>
      </c>
      <c r="L703" s="45" t="s">
        <v>1003</v>
      </c>
      <c r="M703" s="45" t="s">
        <v>1003</v>
      </c>
      <c r="N703" s="45" t="s">
        <v>1003</v>
      </c>
      <c r="O703" s="45" t="s">
        <v>3664</v>
      </c>
      <c r="P703" s="45">
        <v>19533.0</v>
      </c>
      <c r="Q703" s="45">
        <v>0.0</v>
      </c>
      <c r="R703" s="45" t="s">
        <v>3665</v>
      </c>
      <c r="S703" s="45" t="s">
        <v>60</v>
      </c>
      <c r="T703" s="45" t="s">
        <v>3655</v>
      </c>
      <c r="U703" s="45">
        <v>95.0</v>
      </c>
      <c r="V703" s="45">
        <v>2019.0</v>
      </c>
      <c r="W703" s="45">
        <v>98.4</v>
      </c>
      <c r="X703" s="45">
        <v>2021.0</v>
      </c>
      <c r="Y703" s="45">
        <v>8.1</v>
      </c>
      <c r="Z703" s="45">
        <v>76.0</v>
      </c>
      <c r="AA703" s="45">
        <v>2025.0</v>
      </c>
      <c r="AB703" s="45">
        <v>0.0</v>
      </c>
      <c r="AC703" s="45">
        <v>0.0</v>
      </c>
      <c r="AD703" s="45" t="s">
        <v>3666</v>
      </c>
      <c r="AE703" s="45" t="s">
        <v>3667</v>
      </c>
      <c r="AF703" s="45">
        <v>7.416914973E9</v>
      </c>
      <c r="AG703" s="45">
        <v>9.441202947E9</v>
      </c>
      <c r="AH703" s="45" t="s">
        <v>210</v>
      </c>
      <c r="AI703" s="45">
        <v>0.0</v>
      </c>
      <c r="AJ703" s="45"/>
      <c r="AK703" s="45" t="s">
        <v>3668</v>
      </c>
      <c r="AL703" s="45" t="s">
        <v>3669</v>
      </c>
      <c r="AM703" s="45">
        <v>8.67</v>
      </c>
      <c r="AN703" s="45">
        <v>8.46</v>
      </c>
      <c r="AO703" s="45">
        <v>8.14</v>
      </c>
      <c r="AP703" s="45">
        <v>0.0</v>
      </c>
      <c r="AQ703" s="45">
        <v>8.24</v>
      </c>
      <c r="AR703" s="45">
        <v>8.27</v>
      </c>
      <c r="AU703" s="45" t="s">
        <v>1011</v>
      </c>
      <c r="AX703" s="45" t="s">
        <v>1012</v>
      </c>
    </row>
    <row r="704">
      <c r="B704" s="45" t="s">
        <v>3670</v>
      </c>
      <c r="C704" s="45" t="s">
        <v>3671</v>
      </c>
      <c r="D704" s="45" t="s">
        <v>3672</v>
      </c>
      <c r="E704" s="45" t="s">
        <v>3673</v>
      </c>
      <c r="F704" s="45"/>
      <c r="G704" s="45">
        <v>0.0</v>
      </c>
      <c r="H704" s="125"/>
      <c r="I704" s="125"/>
      <c r="J704" s="119">
        <v>5.57374E11</v>
      </c>
      <c r="K704" s="45" t="s">
        <v>1003</v>
      </c>
      <c r="L704" s="45" t="s">
        <v>1003</v>
      </c>
      <c r="M704" s="45" t="s">
        <v>1003</v>
      </c>
      <c r="N704" s="45" t="s">
        <v>1003</v>
      </c>
      <c r="O704" s="45" t="s">
        <v>3674</v>
      </c>
      <c r="P704" s="45">
        <v>13265.0</v>
      </c>
      <c r="Q704" s="45">
        <v>0.0</v>
      </c>
      <c r="R704" s="121">
        <v>37814.0</v>
      </c>
      <c r="S704" s="45" t="s">
        <v>60</v>
      </c>
      <c r="T704" s="45" t="s">
        <v>3655</v>
      </c>
      <c r="U704" s="45">
        <v>98.0</v>
      </c>
      <c r="V704" s="45">
        <v>2019.0</v>
      </c>
      <c r="W704" s="45">
        <v>98.2</v>
      </c>
      <c r="X704" s="45">
        <v>2021.0</v>
      </c>
      <c r="Y704" s="45">
        <v>8.2</v>
      </c>
      <c r="Z704" s="45">
        <v>77.0</v>
      </c>
      <c r="AA704" s="45">
        <v>2025.0</v>
      </c>
      <c r="AB704" s="45">
        <v>0.0</v>
      </c>
      <c r="AC704" s="45">
        <v>0.0</v>
      </c>
      <c r="AD704" s="45" t="s">
        <v>3675</v>
      </c>
      <c r="AE704" s="45" t="s">
        <v>3676</v>
      </c>
      <c r="AF704" s="45">
        <v>6.309027651E9</v>
      </c>
      <c r="AG704" s="45">
        <v>9.49147848E9</v>
      </c>
      <c r="AH704" s="45" t="s">
        <v>3677</v>
      </c>
      <c r="AI704" s="45">
        <v>0.0</v>
      </c>
      <c r="AJ704" s="45"/>
      <c r="AK704" s="45" t="s">
        <v>3678</v>
      </c>
      <c r="AL704" s="45" t="s">
        <v>3679</v>
      </c>
      <c r="AM704" s="45">
        <v>8.08</v>
      </c>
      <c r="AN704" s="45">
        <v>8.66</v>
      </c>
      <c r="AO704" s="45">
        <v>7.64</v>
      </c>
      <c r="AP704" s="45">
        <v>0.0</v>
      </c>
      <c r="AQ704" s="45">
        <v>8.12</v>
      </c>
      <c r="AR704" s="45">
        <v>8.2</v>
      </c>
      <c r="AU704" s="45" t="s">
        <v>1011</v>
      </c>
      <c r="AX704" s="45" t="s">
        <v>1012</v>
      </c>
    </row>
    <row r="705">
      <c r="B705" s="45" t="s">
        <v>3680</v>
      </c>
      <c r="C705" s="45" t="s">
        <v>3681</v>
      </c>
      <c r="D705" s="45" t="s">
        <v>3682</v>
      </c>
      <c r="E705" s="45" t="s">
        <v>3683</v>
      </c>
      <c r="F705" s="45"/>
      <c r="G705" s="45">
        <v>0.0</v>
      </c>
      <c r="H705" s="125"/>
      <c r="I705" s="125"/>
      <c r="J705" s="119">
        <v>7.07513E11</v>
      </c>
      <c r="K705" s="45" t="s">
        <v>1003</v>
      </c>
      <c r="L705" s="45" t="s">
        <v>1003</v>
      </c>
      <c r="M705" s="45" t="s">
        <v>1003</v>
      </c>
      <c r="N705" s="45" t="s">
        <v>1003</v>
      </c>
      <c r="O705" s="45" t="s">
        <v>2236</v>
      </c>
      <c r="P705" s="45">
        <v>13951.0</v>
      </c>
      <c r="Q705" s="45">
        <v>0.0</v>
      </c>
      <c r="R705" s="45" t="s">
        <v>3684</v>
      </c>
      <c r="S705" s="45" t="s">
        <v>46</v>
      </c>
      <c r="T705" s="45" t="s">
        <v>3655</v>
      </c>
      <c r="U705" s="45">
        <v>88.6</v>
      </c>
      <c r="V705" s="45">
        <v>2019.0</v>
      </c>
      <c r="W705" s="45">
        <v>97.2</v>
      </c>
      <c r="X705" s="45">
        <v>2021.0</v>
      </c>
      <c r="Y705" s="45">
        <v>8.5</v>
      </c>
      <c r="Z705" s="45">
        <v>80.0</v>
      </c>
      <c r="AA705" s="45">
        <v>2025.0</v>
      </c>
      <c r="AB705" s="45">
        <v>0.0</v>
      </c>
      <c r="AC705" s="45">
        <v>0.0</v>
      </c>
      <c r="AD705" s="45" t="s">
        <v>3685</v>
      </c>
      <c r="AE705" s="45" t="s">
        <v>3686</v>
      </c>
      <c r="AF705" s="45">
        <v>9.573206475E9</v>
      </c>
      <c r="AG705" s="45">
        <v>9.703200353E9</v>
      </c>
      <c r="AH705" s="45" t="s">
        <v>3687</v>
      </c>
      <c r="AI705" s="45">
        <v>0.0</v>
      </c>
      <c r="AJ705" s="45"/>
      <c r="AK705" s="45" t="s">
        <v>3688</v>
      </c>
      <c r="AL705" s="45" t="s">
        <v>3689</v>
      </c>
      <c r="AM705" s="45">
        <v>8.17</v>
      </c>
      <c r="AN705" s="45">
        <v>7.95</v>
      </c>
      <c r="AO705" s="45">
        <v>8.3</v>
      </c>
      <c r="AP705" s="45">
        <v>0.0</v>
      </c>
      <c r="AQ705" s="45">
        <v>8.19</v>
      </c>
      <c r="AR705" s="45">
        <v>8.18</v>
      </c>
      <c r="AU705" s="45" t="s">
        <v>1011</v>
      </c>
      <c r="AX705" s="45" t="s">
        <v>1028</v>
      </c>
    </row>
    <row r="706">
      <c r="B706" s="45" t="s">
        <v>3690</v>
      </c>
      <c r="C706" s="45" t="s">
        <v>3691</v>
      </c>
      <c r="D706" s="45" t="s">
        <v>2293</v>
      </c>
      <c r="E706" s="45" t="s">
        <v>3692</v>
      </c>
      <c r="F706" s="45"/>
      <c r="G706" s="45">
        <v>0.0</v>
      </c>
      <c r="H706" s="125"/>
      <c r="I706" s="125"/>
      <c r="J706" s="119">
        <v>3.64108E11</v>
      </c>
      <c r="K706" s="45" t="s">
        <v>1003</v>
      </c>
      <c r="L706" s="45" t="s">
        <v>1003</v>
      </c>
      <c r="M706" s="45">
        <v>12702.0</v>
      </c>
      <c r="N706" s="45">
        <v>20621.0</v>
      </c>
      <c r="O706" s="45" t="s">
        <v>2550</v>
      </c>
      <c r="P706" s="45">
        <v>19672.0</v>
      </c>
      <c r="Q706" s="45">
        <v>0.0</v>
      </c>
      <c r="R706" s="121">
        <v>37895.0</v>
      </c>
      <c r="S706" s="45" t="s">
        <v>46</v>
      </c>
      <c r="T706" s="45" t="s">
        <v>3655</v>
      </c>
      <c r="U706" s="45">
        <v>97.0</v>
      </c>
      <c r="V706" s="45">
        <v>2019.0</v>
      </c>
      <c r="W706" s="45">
        <v>97.8</v>
      </c>
      <c r="X706" s="45">
        <v>2021.0</v>
      </c>
      <c r="Y706" s="45">
        <v>8.3</v>
      </c>
      <c r="Z706" s="45">
        <v>78.0</v>
      </c>
      <c r="AA706" s="45">
        <v>2025.0</v>
      </c>
      <c r="AB706" s="45">
        <v>0.0</v>
      </c>
      <c r="AC706" s="45">
        <v>0.0</v>
      </c>
      <c r="AD706" s="45" t="s">
        <v>3693</v>
      </c>
      <c r="AE706" s="45" t="s">
        <v>3694</v>
      </c>
      <c r="AF706" s="45">
        <v>9.39373572E9</v>
      </c>
      <c r="AG706" s="45">
        <v>9.44173572E9</v>
      </c>
      <c r="AH706" s="45" t="s">
        <v>712</v>
      </c>
      <c r="AI706" s="45">
        <v>0.0</v>
      </c>
      <c r="AJ706" s="45"/>
      <c r="AK706" s="45" t="s">
        <v>3695</v>
      </c>
      <c r="AL706" s="45" t="s">
        <v>3696</v>
      </c>
      <c r="AM706" s="45">
        <v>9.67</v>
      </c>
      <c r="AN706" s="45">
        <v>9.29</v>
      </c>
      <c r="AO706" s="45">
        <v>8.68</v>
      </c>
      <c r="AP706" s="45">
        <v>0.0</v>
      </c>
      <c r="AQ706" s="45">
        <v>9.14</v>
      </c>
      <c r="AR706" s="45">
        <v>9.12</v>
      </c>
      <c r="AU706" s="45" t="s">
        <v>1011</v>
      </c>
      <c r="AX706" s="45" t="s">
        <v>1028</v>
      </c>
    </row>
    <row r="707">
      <c r="B707" s="45" t="s">
        <v>3697</v>
      </c>
      <c r="C707" s="45" t="s">
        <v>1098</v>
      </c>
      <c r="D707" s="45" t="s">
        <v>3698</v>
      </c>
      <c r="E707" s="45" t="s">
        <v>3699</v>
      </c>
      <c r="F707" s="45"/>
      <c r="G707" s="45">
        <v>0.0</v>
      </c>
      <c r="H707" s="125"/>
      <c r="I707" s="125"/>
      <c r="J707" s="119">
        <v>7.05138E11</v>
      </c>
      <c r="K707" s="45" t="s">
        <v>1003</v>
      </c>
      <c r="L707" s="45" t="s">
        <v>1003</v>
      </c>
      <c r="M707" s="45" t="s">
        <v>1003</v>
      </c>
      <c r="N707" s="45" t="s">
        <v>1003</v>
      </c>
      <c r="O707" s="45" t="s">
        <v>3700</v>
      </c>
      <c r="P707" s="45">
        <v>43474.0</v>
      </c>
      <c r="Q707" s="45">
        <v>0.0</v>
      </c>
      <c r="R707" s="121">
        <v>37901.0</v>
      </c>
      <c r="S707" s="45" t="s">
        <v>60</v>
      </c>
      <c r="T707" s="45" t="s">
        <v>3655</v>
      </c>
      <c r="U707" s="45">
        <v>90.0</v>
      </c>
      <c r="V707" s="45">
        <v>2019.0</v>
      </c>
      <c r="W707" s="45">
        <v>93.0</v>
      </c>
      <c r="X707" s="45">
        <v>2021.0</v>
      </c>
      <c r="Y707" s="45">
        <v>8.3</v>
      </c>
      <c r="Z707" s="45">
        <v>78.0</v>
      </c>
      <c r="AA707" s="45">
        <v>2025.0</v>
      </c>
      <c r="AB707" s="45">
        <v>0.0</v>
      </c>
      <c r="AC707" s="45">
        <v>0.0</v>
      </c>
      <c r="AD707" s="45" t="s">
        <v>3701</v>
      </c>
      <c r="AE707" s="45" t="s">
        <v>3702</v>
      </c>
      <c r="AF707" s="45">
        <v>7.794907423E9</v>
      </c>
      <c r="AG707" s="45">
        <v>9.949675523E9</v>
      </c>
      <c r="AH707" s="45" t="s">
        <v>271</v>
      </c>
      <c r="AI707" s="45">
        <v>0.0</v>
      </c>
      <c r="AJ707" s="45"/>
      <c r="AK707" s="45" t="s">
        <v>3703</v>
      </c>
      <c r="AL707" s="45" t="s">
        <v>3704</v>
      </c>
      <c r="AM707" s="45">
        <v>6.83</v>
      </c>
      <c r="AN707" s="45">
        <v>6.98</v>
      </c>
      <c r="AO707" s="45">
        <v>7.3</v>
      </c>
      <c r="AP707" s="45">
        <v>0.0</v>
      </c>
      <c r="AQ707" s="45">
        <v>7.22</v>
      </c>
      <c r="AR707" s="45">
        <v>7.33</v>
      </c>
      <c r="AU707" s="45" t="s">
        <v>1011</v>
      </c>
      <c r="AX707" s="45" t="s">
        <v>1028</v>
      </c>
    </row>
    <row r="708">
      <c r="B708" s="45" t="s">
        <v>3705</v>
      </c>
      <c r="C708" s="45" t="s">
        <v>3706</v>
      </c>
      <c r="D708" s="45" t="s">
        <v>2285</v>
      </c>
      <c r="E708" s="45" t="s">
        <v>3707</v>
      </c>
      <c r="F708" s="45"/>
      <c r="G708" s="45">
        <v>0.0</v>
      </c>
      <c r="H708" s="125"/>
      <c r="I708" s="125"/>
      <c r="J708" s="119">
        <v>9.25527E11</v>
      </c>
      <c r="K708" s="45" t="s">
        <v>1003</v>
      </c>
      <c r="L708" s="45" t="s">
        <v>1003</v>
      </c>
      <c r="M708" s="45">
        <v>15555.0</v>
      </c>
      <c r="N708" s="45">
        <v>19694.0</v>
      </c>
      <c r="O708" s="45" t="s">
        <v>3708</v>
      </c>
      <c r="P708" s="45">
        <v>14359.0</v>
      </c>
      <c r="Q708" s="45">
        <v>0.0</v>
      </c>
      <c r="R708" s="121">
        <v>38140.0</v>
      </c>
      <c r="S708" s="45" t="s">
        <v>46</v>
      </c>
      <c r="T708" s="45" t="s">
        <v>3655</v>
      </c>
      <c r="U708" s="45">
        <v>95.0</v>
      </c>
      <c r="V708" s="45">
        <v>2019.0</v>
      </c>
      <c r="W708" s="45">
        <v>95.6</v>
      </c>
      <c r="X708" s="45">
        <v>2021.0</v>
      </c>
      <c r="Y708" s="45">
        <v>8.2</v>
      </c>
      <c r="Z708" s="45">
        <v>77.0</v>
      </c>
      <c r="AA708" s="45">
        <v>2025.0</v>
      </c>
      <c r="AB708" s="45">
        <v>0.0</v>
      </c>
      <c r="AC708" s="45">
        <v>0.0</v>
      </c>
      <c r="AD708" s="45" t="s">
        <v>3709</v>
      </c>
      <c r="AE708" s="45" t="s">
        <v>3710</v>
      </c>
      <c r="AF708" s="45">
        <v>9.398943307E9</v>
      </c>
      <c r="AG708" s="45">
        <v>9.490170701E9</v>
      </c>
      <c r="AH708" s="45" t="s">
        <v>3711</v>
      </c>
      <c r="AI708" s="45">
        <v>0.0</v>
      </c>
      <c r="AJ708" s="45"/>
      <c r="AK708" s="45" t="s">
        <v>3712</v>
      </c>
      <c r="AL708" s="45" t="s">
        <v>3713</v>
      </c>
      <c r="AM708" s="45">
        <v>6.75</v>
      </c>
      <c r="AN708" s="45">
        <v>7.34</v>
      </c>
      <c r="AO708" s="45">
        <v>7.52</v>
      </c>
      <c r="AP708" s="45">
        <v>0.0</v>
      </c>
      <c r="AQ708" s="45">
        <v>7.42</v>
      </c>
      <c r="AR708" s="45">
        <v>7.46</v>
      </c>
      <c r="AU708" s="45" t="s">
        <v>1011</v>
      </c>
      <c r="AX708" s="45" t="s">
        <v>1012</v>
      </c>
    </row>
    <row r="709">
      <c r="B709" s="45" t="s">
        <v>3714</v>
      </c>
      <c r="C709" s="45" t="s">
        <v>3715</v>
      </c>
      <c r="D709" s="45" t="s">
        <v>3716</v>
      </c>
      <c r="E709" s="45" t="s">
        <v>3717</v>
      </c>
      <c r="F709" s="45"/>
      <c r="G709" s="45">
        <v>0.0</v>
      </c>
      <c r="H709" s="125"/>
      <c r="I709" s="125"/>
      <c r="J709" s="119">
        <v>8.73577E11</v>
      </c>
      <c r="K709" s="45" t="s">
        <v>1003</v>
      </c>
      <c r="L709" s="45">
        <v>1328.0</v>
      </c>
      <c r="M709" s="45">
        <v>6982.0</v>
      </c>
      <c r="N709" s="45">
        <v>7151.0</v>
      </c>
      <c r="O709" s="45" t="s">
        <v>1031</v>
      </c>
      <c r="P709" s="45">
        <v>9333.0</v>
      </c>
      <c r="Q709" s="45">
        <v>0.0</v>
      </c>
      <c r="R709" s="45" t="s">
        <v>3718</v>
      </c>
      <c r="S709" s="45" t="s">
        <v>60</v>
      </c>
      <c r="T709" s="45" t="s">
        <v>3719</v>
      </c>
      <c r="U709" s="45">
        <v>98.0</v>
      </c>
      <c r="V709" s="45">
        <v>2019.0</v>
      </c>
      <c r="W709" s="45">
        <v>98.0</v>
      </c>
      <c r="X709" s="45">
        <v>2021.0</v>
      </c>
      <c r="Y709" s="45">
        <v>9.0</v>
      </c>
      <c r="Z709" s="45">
        <v>85.0</v>
      </c>
      <c r="AA709" s="45">
        <v>2025.0</v>
      </c>
      <c r="AB709" s="45">
        <v>0.0</v>
      </c>
      <c r="AC709" s="45">
        <v>0.0</v>
      </c>
      <c r="AD709" s="45" t="s">
        <v>3720</v>
      </c>
      <c r="AE709" s="45" t="s">
        <v>3721</v>
      </c>
      <c r="AF709" s="45">
        <v>9.542260918E9</v>
      </c>
      <c r="AG709" s="45">
        <v>8.885125499E9</v>
      </c>
      <c r="AH709" s="45" t="s">
        <v>421</v>
      </c>
      <c r="AI709" s="45" t="s">
        <v>306</v>
      </c>
      <c r="AJ709" s="45"/>
      <c r="AK709" s="45" t="s">
        <v>3722</v>
      </c>
      <c r="AL709" s="45" t="s">
        <v>3723</v>
      </c>
      <c r="AM709" s="45">
        <v>8.75</v>
      </c>
      <c r="AN709" s="45">
        <v>9.34</v>
      </c>
      <c r="AO709" s="45">
        <v>8.55</v>
      </c>
      <c r="AP709" s="45">
        <v>0.0</v>
      </c>
      <c r="AQ709" s="45">
        <v>8.75</v>
      </c>
      <c r="AR709" s="45">
        <v>8.73</v>
      </c>
      <c r="AU709" s="45" t="s">
        <v>1011</v>
      </c>
      <c r="AX709" s="45" t="s">
        <v>1012</v>
      </c>
    </row>
    <row r="710">
      <c r="B710" s="45" t="s">
        <v>3724</v>
      </c>
      <c r="C710" s="45" t="s">
        <v>3725</v>
      </c>
      <c r="D710" s="45" t="s">
        <v>3726</v>
      </c>
      <c r="E710" s="45" t="s">
        <v>3727</v>
      </c>
      <c r="F710" s="45"/>
      <c r="G710" s="45">
        <v>0.0</v>
      </c>
      <c r="H710" s="125"/>
      <c r="I710" s="125"/>
      <c r="J710" s="119">
        <v>5.28656E11</v>
      </c>
      <c r="K710" s="45" t="s">
        <v>1003</v>
      </c>
      <c r="L710" s="45">
        <v>1028.0</v>
      </c>
      <c r="M710" s="45" t="s">
        <v>1003</v>
      </c>
      <c r="N710" s="45" t="s">
        <v>1003</v>
      </c>
      <c r="O710" s="45" t="s">
        <v>1031</v>
      </c>
      <c r="P710" s="45">
        <v>32016.0</v>
      </c>
      <c r="Q710" s="45">
        <v>0.0</v>
      </c>
      <c r="R710" s="121">
        <v>37261.0</v>
      </c>
      <c r="S710" s="45" t="s">
        <v>46</v>
      </c>
      <c r="T710" s="45" t="s">
        <v>3719</v>
      </c>
      <c r="U710" s="45">
        <v>90.0</v>
      </c>
      <c r="V710" s="45">
        <v>2018.0</v>
      </c>
      <c r="W710" s="45">
        <v>80.0</v>
      </c>
      <c r="X710" s="45">
        <v>2021.0</v>
      </c>
      <c r="Y710" s="45">
        <v>7.6</v>
      </c>
      <c r="Z710" s="45">
        <v>71.0</v>
      </c>
      <c r="AA710" s="45">
        <v>2025.0</v>
      </c>
      <c r="AB710" s="45">
        <v>0.0</v>
      </c>
      <c r="AC710" s="45">
        <v>1.0</v>
      </c>
      <c r="AD710" s="45" t="s">
        <v>3728</v>
      </c>
      <c r="AE710" s="45" t="s">
        <v>3729</v>
      </c>
      <c r="AF710" s="45">
        <v>9.848493679E9</v>
      </c>
      <c r="AG710" s="45">
        <v>9.849443874E9</v>
      </c>
      <c r="AH710" s="45">
        <v>0.0</v>
      </c>
      <c r="AI710" s="45">
        <v>0.0</v>
      </c>
      <c r="AJ710" s="45"/>
      <c r="AK710" s="45" t="s">
        <v>3730</v>
      </c>
      <c r="AL710" s="45" t="s">
        <v>3731</v>
      </c>
      <c r="AM710" s="45">
        <v>8.75</v>
      </c>
      <c r="AN710" s="45">
        <v>8.93</v>
      </c>
      <c r="AO710" s="45">
        <v>7.86</v>
      </c>
      <c r="AP710" s="45">
        <v>0.0</v>
      </c>
      <c r="AQ710" s="45">
        <v>8.39</v>
      </c>
      <c r="AR710" s="45">
        <v>8.27</v>
      </c>
      <c r="AU710" s="45" t="s">
        <v>1011</v>
      </c>
      <c r="AX710" s="45" t="s">
        <v>1028</v>
      </c>
    </row>
    <row r="711">
      <c r="B711" s="45" t="s">
        <v>3732</v>
      </c>
      <c r="C711" s="45" t="s">
        <v>3733</v>
      </c>
      <c r="D711" s="45" t="s">
        <v>3734</v>
      </c>
      <c r="E711" s="45" t="s">
        <v>3735</v>
      </c>
      <c r="F711" s="45"/>
      <c r="G711" s="45">
        <v>0.0</v>
      </c>
      <c r="H711" s="125"/>
      <c r="I711" s="125"/>
      <c r="J711" s="119">
        <v>9.95172E11</v>
      </c>
      <c r="K711" s="45" t="s">
        <v>1003</v>
      </c>
      <c r="L711" s="45">
        <v>1331.0</v>
      </c>
      <c r="M711" s="45">
        <v>7338.0</v>
      </c>
      <c r="N711" s="45">
        <v>7398.0</v>
      </c>
      <c r="O711" s="45" t="s">
        <v>2372</v>
      </c>
      <c r="P711" s="45">
        <v>51566.0</v>
      </c>
      <c r="Q711" s="45">
        <v>0.0</v>
      </c>
      <c r="R711" s="120">
        <v>37937.0</v>
      </c>
      <c r="S711" s="45" t="s">
        <v>60</v>
      </c>
      <c r="T711" s="45" t="s">
        <v>3719</v>
      </c>
      <c r="U711" s="45">
        <v>95.0</v>
      </c>
      <c r="V711" s="45">
        <v>2019.0</v>
      </c>
      <c r="W711" s="45">
        <v>98.0</v>
      </c>
      <c r="X711" s="45">
        <v>2021.0</v>
      </c>
      <c r="Y711" s="45">
        <v>8.7</v>
      </c>
      <c r="Z711" s="45">
        <v>82.0</v>
      </c>
      <c r="AA711" s="45">
        <v>2025.0</v>
      </c>
      <c r="AB711" s="45">
        <v>0.0</v>
      </c>
      <c r="AC711" s="45">
        <v>0.0</v>
      </c>
      <c r="AD711" s="45" t="s">
        <v>3736</v>
      </c>
      <c r="AE711" s="45" t="s">
        <v>3737</v>
      </c>
      <c r="AF711" s="45">
        <v>9.963747873E9</v>
      </c>
      <c r="AG711" s="45">
        <v>9.963173874E9</v>
      </c>
      <c r="AH711" s="45" t="s">
        <v>52</v>
      </c>
      <c r="AI711" s="45">
        <v>0.0</v>
      </c>
      <c r="AJ711" s="45"/>
      <c r="AK711" s="45" t="s">
        <v>3738</v>
      </c>
      <c r="AL711" s="45" t="s">
        <v>3739</v>
      </c>
      <c r="AM711" s="45">
        <v>7.92</v>
      </c>
      <c r="AN711" s="45">
        <v>9.12</v>
      </c>
      <c r="AO711" s="45">
        <v>7.89</v>
      </c>
      <c r="AP711" s="45">
        <v>0.0</v>
      </c>
      <c r="AQ711" s="45">
        <v>8.16</v>
      </c>
      <c r="AR711" s="45">
        <v>8.15</v>
      </c>
      <c r="AU711" s="45" t="s">
        <v>1011</v>
      </c>
      <c r="AX711" s="45" t="s">
        <v>1028</v>
      </c>
    </row>
    <row r="712">
      <c r="B712" s="45" t="s">
        <v>3740</v>
      </c>
      <c r="C712" s="45" t="s">
        <v>3741</v>
      </c>
      <c r="D712" s="45" t="s">
        <v>3742</v>
      </c>
      <c r="E712" s="45" t="s">
        <v>3743</v>
      </c>
      <c r="F712" s="45"/>
      <c r="G712" s="45">
        <v>0.0</v>
      </c>
      <c r="H712" s="125"/>
      <c r="I712" s="125"/>
      <c r="J712" s="119">
        <v>2.39514E11</v>
      </c>
      <c r="K712" s="45" t="s">
        <v>1003</v>
      </c>
      <c r="L712" s="45" t="s">
        <v>1003</v>
      </c>
      <c r="M712" s="45" t="s">
        <v>1003</v>
      </c>
      <c r="N712" s="45" t="s">
        <v>1003</v>
      </c>
      <c r="O712" s="45" t="s">
        <v>2018</v>
      </c>
      <c r="P712" s="45">
        <v>6312.0</v>
      </c>
      <c r="Q712" s="45">
        <v>0.0</v>
      </c>
      <c r="R712" s="45" t="s">
        <v>2648</v>
      </c>
      <c r="S712" s="45" t="s">
        <v>46</v>
      </c>
      <c r="T712" s="45" t="s">
        <v>3719</v>
      </c>
      <c r="U712" s="45">
        <v>98.0</v>
      </c>
      <c r="V712" s="45">
        <v>2019.0</v>
      </c>
      <c r="W712" s="45">
        <v>95.0</v>
      </c>
      <c r="X712" s="45">
        <v>2021.0</v>
      </c>
      <c r="Y712" s="45">
        <v>8.1</v>
      </c>
      <c r="Z712" s="45">
        <v>76.0</v>
      </c>
      <c r="AA712" s="45">
        <v>2025.0</v>
      </c>
      <c r="AB712" s="45">
        <v>0.0</v>
      </c>
      <c r="AC712" s="45">
        <v>0.0</v>
      </c>
      <c r="AD712" s="45" t="s">
        <v>3744</v>
      </c>
      <c r="AE712" s="45" t="s">
        <v>3745</v>
      </c>
      <c r="AF712" s="45">
        <v>9.391743177E9</v>
      </c>
      <c r="AG712" s="45">
        <v>9.395184947E9</v>
      </c>
      <c r="AH712" s="45" t="s">
        <v>237</v>
      </c>
      <c r="AI712" s="45">
        <v>0.0</v>
      </c>
      <c r="AJ712" s="45"/>
      <c r="AK712" s="45" t="s">
        <v>3746</v>
      </c>
      <c r="AL712" s="45" t="s">
        <v>3747</v>
      </c>
      <c r="AM712" s="45">
        <v>7.75</v>
      </c>
      <c r="AN712" s="45">
        <v>8.68</v>
      </c>
      <c r="AO712" s="45">
        <v>7.86</v>
      </c>
      <c r="AP712" s="45">
        <v>0.0</v>
      </c>
      <c r="AQ712" s="45">
        <v>8.29</v>
      </c>
      <c r="AR712" s="45">
        <v>8.28</v>
      </c>
      <c r="AU712" s="45" t="s">
        <v>1011</v>
      </c>
      <c r="AX712" s="45" t="s">
        <v>1012</v>
      </c>
    </row>
    <row r="713">
      <c r="B713" s="45" t="s">
        <v>3748</v>
      </c>
      <c r="C713" s="45" t="s">
        <v>3749</v>
      </c>
      <c r="D713" s="45" t="s">
        <v>3750</v>
      </c>
      <c r="E713" s="45" t="s">
        <v>3751</v>
      </c>
      <c r="F713" s="45"/>
      <c r="G713" s="45">
        <v>0.0</v>
      </c>
      <c r="H713" s="125"/>
      <c r="I713" s="125"/>
      <c r="J713" s="119">
        <v>9.17275E11</v>
      </c>
      <c r="K713" s="45" t="s">
        <v>1003</v>
      </c>
      <c r="L713" s="45">
        <v>1676.0</v>
      </c>
      <c r="M713" s="45">
        <v>8034.0</v>
      </c>
      <c r="N713" s="45">
        <v>8635.0</v>
      </c>
      <c r="O713" s="45" t="s">
        <v>3752</v>
      </c>
      <c r="P713" s="45">
        <v>12485.0</v>
      </c>
      <c r="Q713" s="45">
        <v>0.0</v>
      </c>
      <c r="R713" s="45" t="s">
        <v>3753</v>
      </c>
      <c r="S713" s="45" t="s">
        <v>60</v>
      </c>
      <c r="T713" s="45" t="s">
        <v>3719</v>
      </c>
      <c r="U713" s="45">
        <v>98.0</v>
      </c>
      <c r="V713" s="45">
        <v>2019.0</v>
      </c>
      <c r="W713" s="45">
        <v>98.4</v>
      </c>
      <c r="X713" s="45">
        <v>2021.0</v>
      </c>
      <c r="Y713" s="45">
        <v>9.0</v>
      </c>
      <c r="Z713" s="45">
        <v>85.0</v>
      </c>
      <c r="AA713" s="45">
        <v>2025.0</v>
      </c>
      <c r="AB713" s="45">
        <v>0.0</v>
      </c>
      <c r="AC713" s="45">
        <v>0.0</v>
      </c>
      <c r="AD713" s="45" t="s">
        <v>3754</v>
      </c>
      <c r="AE713" s="45" t="s">
        <v>3755</v>
      </c>
      <c r="AF713" s="45">
        <v>8.374845244E9</v>
      </c>
      <c r="AG713" s="45">
        <v>9.50292756E9</v>
      </c>
      <c r="AH713" s="45" t="s">
        <v>3756</v>
      </c>
      <c r="AI713" s="45" t="s">
        <v>955</v>
      </c>
      <c r="AJ713" s="45"/>
      <c r="AK713" s="45" t="s">
        <v>3757</v>
      </c>
      <c r="AL713" s="45" t="s">
        <v>3758</v>
      </c>
      <c r="AM713" s="45">
        <v>7.5</v>
      </c>
      <c r="AN713" s="45">
        <v>7.63</v>
      </c>
      <c r="AO713" s="45">
        <v>8.02</v>
      </c>
      <c r="AP713" s="45">
        <v>0.0</v>
      </c>
      <c r="AQ713" s="45">
        <v>7.78</v>
      </c>
      <c r="AR713" s="45">
        <v>7.85</v>
      </c>
      <c r="AU713" s="45" t="s">
        <v>1011</v>
      </c>
      <c r="AX713" s="45" t="s">
        <v>1012</v>
      </c>
    </row>
    <row r="714">
      <c r="B714" s="45" t="s">
        <v>3759</v>
      </c>
      <c r="C714" s="45" t="s">
        <v>3760</v>
      </c>
      <c r="D714" s="45" t="s">
        <v>3761</v>
      </c>
      <c r="E714" s="45" t="s">
        <v>3762</v>
      </c>
      <c r="F714" s="45"/>
      <c r="G714" s="45">
        <v>0.0</v>
      </c>
      <c r="H714" s="125"/>
      <c r="I714" s="125"/>
      <c r="J714" s="119">
        <v>2.0983E11</v>
      </c>
      <c r="K714" s="45" t="s">
        <v>1003</v>
      </c>
      <c r="L714" s="45">
        <v>1562.0</v>
      </c>
      <c r="M714" s="45">
        <v>8240.0</v>
      </c>
      <c r="N714" s="45">
        <v>9046.0</v>
      </c>
      <c r="O714" s="45" t="s">
        <v>3763</v>
      </c>
      <c r="P714" s="45">
        <v>6968.0</v>
      </c>
      <c r="Q714" s="45">
        <v>0.0</v>
      </c>
      <c r="R714" s="45" t="s">
        <v>1486</v>
      </c>
      <c r="S714" s="45" t="s">
        <v>46</v>
      </c>
      <c r="T714" s="45" t="s">
        <v>3719</v>
      </c>
      <c r="U714" s="45">
        <v>97.0</v>
      </c>
      <c r="V714" s="45">
        <v>2019.0</v>
      </c>
      <c r="W714" s="45">
        <v>98.2</v>
      </c>
      <c r="X714" s="45">
        <v>2021.0</v>
      </c>
      <c r="Y714" s="45">
        <v>8.8</v>
      </c>
      <c r="Z714" s="45">
        <v>83.0</v>
      </c>
      <c r="AA714" s="45">
        <v>2025.0</v>
      </c>
      <c r="AB714" s="45">
        <v>0.0</v>
      </c>
      <c r="AC714" s="45">
        <v>0.0</v>
      </c>
      <c r="AD714" s="45" t="s">
        <v>3764</v>
      </c>
      <c r="AE714" s="45" t="s">
        <v>3765</v>
      </c>
      <c r="AF714" s="45">
        <v>7.207107238E9</v>
      </c>
      <c r="AG714" s="45">
        <v>9.848487238E9</v>
      </c>
      <c r="AH714" s="45" t="s">
        <v>48</v>
      </c>
      <c r="AI714" s="45">
        <v>0.0</v>
      </c>
      <c r="AJ714" s="45"/>
      <c r="AK714" s="45" t="s">
        <v>3766</v>
      </c>
      <c r="AL714" s="45" t="s">
        <v>3767</v>
      </c>
      <c r="AM714" s="45">
        <v>7.25</v>
      </c>
      <c r="AN714" s="45">
        <v>7.71</v>
      </c>
      <c r="AO714" s="45">
        <v>8.23</v>
      </c>
      <c r="AP714" s="45">
        <v>0.0</v>
      </c>
      <c r="AQ714" s="45">
        <v>7.92</v>
      </c>
      <c r="AR714" s="45">
        <v>8.01</v>
      </c>
      <c r="AU714" s="45" t="s">
        <v>1011</v>
      </c>
      <c r="AX714" s="45" t="s">
        <v>1012</v>
      </c>
    </row>
    <row r="715">
      <c r="B715" s="45" t="s">
        <v>3768</v>
      </c>
      <c r="C715" s="45" t="s">
        <v>3769</v>
      </c>
      <c r="D715" s="45" t="s">
        <v>2838</v>
      </c>
      <c r="E715" s="45" t="s">
        <v>3770</v>
      </c>
      <c r="F715" s="45"/>
      <c r="G715" s="45">
        <v>0.0</v>
      </c>
      <c r="H715" s="125"/>
      <c r="I715" s="125"/>
      <c r="J715" s="119">
        <v>6.42954E11</v>
      </c>
      <c r="K715" s="45" t="s">
        <v>1003</v>
      </c>
      <c r="L715" s="45">
        <v>989.0</v>
      </c>
      <c r="M715" s="45" t="s">
        <v>1003</v>
      </c>
      <c r="N715" s="45" t="s">
        <v>1003</v>
      </c>
      <c r="O715" s="45" t="s">
        <v>1106</v>
      </c>
      <c r="P715" s="45">
        <v>15445.0</v>
      </c>
      <c r="Q715" s="45">
        <v>0.0</v>
      </c>
      <c r="R715" s="45" t="s">
        <v>1458</v>
      </c>
      <c r="S715" s="45" t="s">
        <v>60</v>
      </c>
      <c r="T715" s="45" t="s">
        <v>3771</v>
      </c>
      <c r="U715" s="45">
        <v>97.0</v>
      </c>
      <c r="V715" s="45">
        <v>2019.0</v>
      </c>
      <c r="W715" s="45">
        <v>86.0</v>
      </c>
      <c r="X715" s="45">
        <v>2021.0</v>
      </c>
      <c r="Y715" s="45">
        <v>7.9</v>
      </c>
      <c r="Z715" s="45">
        <v>74.0</v>
      </c>
      <c r="AA715" s="45">
        <v>2025.0</v>
      </c>
      <c r="AB715" s="45">
        <v>0.0</v>
      </c>
      <c r="AC715" s="45">
        <v>0.0</v>
      </c>
      <c r="AD715" s="45" t="s">
        <v>3772</v>
      </c>
      <c r="AE715" s="45" t="s">
        <v>3773</v>
      </c>
      <c r="AF715" s="45">
        <v>7.842676112E9</v>
      </c>
      <c r="AG715" s="45">
        <v>9.440757928E9</v>
      </c>
      <c r="AH715" s="45">
        <v>0.0</v>
      </c>
      <c r="AI715" s="45">
        <v>0.0</v>
      </c>
      <c r="AJ715" s="45"/>
      <c r="AK715" s="45" t="s">
        <v>3774</v>
      </c>
      <c r="AL715" s="45" t="s">
        <v>3775</v>
      </c>
      <c r="AM715" s="45">
        <v>0.0</v>
      </c>
      <c r="AN715" s="45">
        <v>7.4</v>
      </c>
      <c r="AO715" s="45">
        <v>6.45</v>
      </c>
      <c r="AP715" s="45">
        <v>0.0</v>
      </c>
      <c r="AQ715" s="45">
        <v>6.47</v>
      </c>
      <c r="AR715" s="45">
        <v>0.0</v>
      </c>
      <c r="AU715" s="45" t="s">
        <v>1011</v>
      </c>
      <c r="AX715" s="45" t="s">
        <v>1012</v>
      </c>
    </row>
    <row r="716">
      <c r="B716" s="45" t="s">
        <v>3776</v>
      </c>
      <c r="C716" s="45" t="s">
        <v>3777</v>
      </c>
      <c r="D716" s="45" t="s">
        <v>3778</v>
      </c>
      <c r="E716" s="45" t="s">
        <v>3779</v>
      </c>
      <c r="F716" s="45"/>
      <c r="G716" s="45">
        <v>0.0</v>
      </c>
      <c r="H716" s="125"/>
      <c r="I716" s="125"/>
      <c r="J716" s="119">
        <v>4.457E11</v>
      </c>
      <c r="K716" s="45" t="s">
        <v>1003</v>
      </c>
      <c r="L716" s="45">
        <v>731.0</v>
      </c>
      <c r="M716" s="45" t="s">
        <v>1003</v>
      </c>
      <c r="N716" s="45" t="s">
        <v>1003</v>
      </c>
      <c r="O716" s="45" t="s">
        <v>1031</v>
      </c>
      <c r="P716" s="45">
        <v>9469.0</v>
      </c>
      <c r="Q716" s="45">
        <v>0.0</v>
      </c>
      <c r="R716" s="45" t="s">
        <v>1458</v>
      </c>
      <c r="S716" s="45" t="s">
        <v>46</v>
      </c>
      <c r="T716" s="45" t="s">
        <v>3771</v>
      </c>
      <c r="U716" s="45">
        <v>94.0</v>
      </c>
      <c r="V716" s="45">
        <v>2019.0</v>
      </c>
      <c r="W716" s="45">
        <v>98.2</v>
      </c>
      <c r="X716" s="45">
        <v>2021.0</v>
      </c>
      <c r="Y716" s="45">
        <v>9.0</v>
      </c>
      <c r="Z716" s="45">
        <v>85.0</v>
      </c>
      <c r="AA716" s="45">
        <v>2025.0</v>
      </c>
      <c r="AB716" s="45">
        <v>0.0</v>
      </c>
      <c r="AC716" s="45">
        <v>0.0</v>
      </c>
      <c r="AD716" s="45" t="s">
        <v>3780</v>
      </c>
      <c r="AE716" s="45" t="s">
        <v>3781</v>
      </c>
      <c r="AF716" s="45">
        <v>8.688459201E9</v>
      </c>
      <c r="AG716" s="45">
        <v>9.848436422E9</v>
      </c>
      <c r="AH716" s="45" t="s">
        <v>210</v>
      </c>
      <c r="AI716" s="45">
        <v>0.0</v>
      </c>
      <c r="AJ716" s="45"/>
      <c r="AK716" s="45" t="s">
        <v>3782</v>
      </c>
      <c r="AL716" s="45" t="s">
        <v>3783</v>
      </c>
      <c r="AM716" s="45">
        <v>7.2</v>
      </c>
      <c r="AN716" s="45">
        <v>8.65</v>
      </c>
      <c r="AO716" s="45">
        <v>8.32</v>
      </c>
      <c r="AP716" s="45">
        <v>0.0</v>
      </c>
      <c r="AQ716" s="45">
        <v>8.02</v>
      </c>
      <c r="AR716" s="45">
        <v>8.06</v>
      </c>
      <c r="AU716" s="45" t="s">
        <v>1011</v>
      </c>
      <c r="AX716" s="45" t="s">
        <v>1028</v>
      </c>
    </row>
    <row r="717">
      <c r="B717" s="45" t="s">
        <v>3784</v>
      </c>
      <c r="C717" s="45" t="s">
        <v>3785</v>
      </c>
      <c r="D717" s="45" t="s">
        <v>3786</v>
      </c>
      <c r="E717" s="45" t="s">
        <v>3787</v>
      </c>
      <c r="F717" s="45"/>
      <c r="G717" s="45">
        <v>0.0</v>
      </c>
      <c r="H717" s="125"/>
      <c r="I717" s="125"/>
      <c r="J717" s="119">
        <v>5.6123E11</v>
      </c>
      <c r="K717" s="45" t="s">
        <v>1003</v>
      </c>
      <c r="L717" s="45">
        <v>1256.0</v>
      </c>
      <c r="M717" s="45" t="s">
        <v>1003</v>
      </c>
      <c r="N717" s="45" t="s">
        <v>1003</v>
      </c>
      <c r="O717" s="45" t="s">
        <v>1123</v>
      </c>
      <c r="P717" s="45">
        <v>0.0</v>
      </c>
      <c r="Q717" s="45">
        <v>0.0</v>
      </c>
      <c r="R717" s="121">
        <v>37661.0</v>
      </c>
      <c r="S717" s="45" t="s">
        <v>46</v>
      </c>
      <c r="T717" s="45" t="s">
        <v>3771</v>
      </c>
      <c r="U717" s="45">
        <v>87.0</v>
      </c>
      <c r="V717" s="45">
        <v>2019.0</v>
      </c>
      <c r="W717" s="45">
        <v>83.0</v>
      </c>
      <c r="X717" s="45">
        <v>2021.0</v>
      </c>
      <c r="Y717" s="45">
        <v>7.4</v>
      </c>
      <c r="Z717" s="45">
        <v>69.0</v>
      </c>
      <c r="AA717" s="45">
        <v>2025.0</v>
      </c>
      <c r="AB717" s="45">
        <v>1.0</v>
      </c>
      <c r="AC717" s="45">
        <v>4.0</v>
      </c>
      <c r="AD717" s="45" t="s">
        <v>3788</v>
      </c>
      <c r="AE717" s="45" t="s">
        <v>3789</v>
      </c>
      <c r="AF717" s="45">
        <v>8.074529336E9</v>
      </c>
      <c r="AG717" s="45">
        <v>9.912348423E9</v>
      </c>
      <c r="AH717" s="45" t="s">
        <v>90</v>
      </c>
      <c r="AI717" s="45" t="s">
        <v>90</v>
      </c>
      <c r="AJ717" s="45"/>
      <c r="AK717" s="45" t="s">
        <v>3790</v>
      </c>
      <c r="AL717" s="45" t="s">
        <v>3791</v>
      </c>
      <c r="AM717" s="45">
        <v>7.5</v>
      </c>
      <c r="AN717" s="45">
        <v>8.6</v>
      </c>
      <c r="AO717" s="45">
        <v>8.0</v>
      </c>
      <c r="AP717" s="45">
        <v>0.0</v>
      </c>
      <c r="AQ717" s="45">
        <v>8.06</v>
      </c>
      <c r="AR717" s="45">
        <v>8.22</v>
      </c>
      <c r="AU717" s="45" t="s">
        <v>1011</v>
      </c>
      <c r="AX717" s="45" t="s">
        <v>1028</v>
      </c>
    </row>
    <row r="718">
      <c r="B718" s="45" t="s">
        <v>3792</v>
      </c>
      <c r="C718" s="45" t="s">
        <v>2038</v>
      </c>
      <c r="D718" s="45" t="s">
        <v>2098</v>
      </c>
      <c r="E718" s="45" t="s">
        <v>3793</v>
      </c>
      <c r="F718" s="45"/>
      <c r="G718" s="45">
        <v>0.0</v>
      </c>
      <c r="H718" s="125"/>
      <c r="I718" s="125"/>
      <c r="J718" s="119">
        <v>7.75582E11</v>
      </c>
      <c r="K718" s="45" t="s">
        <v>1003</v>
      </c>
      <c r="L718" s="45">
        <v>1055.0</v>
      </c>
      <c r="M718" s="45">
        <v>5323.0</v>
      </c>
      <c r="N718" s="45">
        <v>5085.0</v>
      </c>
      <c r="O718" s="45" t="s">
        <v>1404</v>
      </c>
      <c r="P718" s="45">
        <v>0.0</v>
      </c>
      <c r="Q718" s="45">
        <v>0.0</v>
      </c>
      <c r="R718" s="45" t="s">
        <v>2604</v>
      </c>
      <c r="S718" s="45" t="s">
        <v>60</v>
      </c>
      <c r="T718" s="45" t="s">
        <v>3771</v>
      </c>
      <c r="U718" s="45">
        <v>94.3</v>
      </c>
      <c r="V718" s="45">
        <v>2019.0</v>
      </c>
      <c r="W718" s="45">
        <v>96.2</v>
      </c>
      <c r="X718" s="45">
        <v>2022.0</v>
      </c>
      <c r="Y718" s="45">
        <v>8.6</v>
      </c>
      <c r="Z718" s="45">
        <v>81.0</v>
      </c>
      <c r="AA718" s="45">
        <v>2025.0</v>
      </c>
      <c r="AB718" s="45">
        <v>0.0</v>
      </c>
      <c r="AC718" s="45">
        <v>0.0</v>
      </c>
      <c r="AD718" s="45" t="s">
        <v>3794</v>
      </c>
      <c r="AE718" s="45" t="s">
        <v>3795</v>
      </c>
      <c r="AF718" s="45">
        <v>7.075829558E9</v>
      </c>
      <c r="AG718" s="45">
        <v>9.849629558E9</v>
      </c>
      <c r="AH718" s="45" t="s">
        <v>406</v>
      </c>
      <c r="AI718" s="45">
        <v>0.0</v>
      </c>
      <c r="AJ718" s="45"/>
      <c r="AK718" s="45" t="s">
        <v>3796</v>
      </c>
      <c r="AL718" s="45" t="s">
        <v>3797</v>
      </c>
      <c r="AM718" s="45">
        <v>8.1</v>
      </c>
      <c r="AN718" s="45">
        <v>8.45</v>
      </c>
      <c r="AO718" s="45">
        <v>8.41</v>
      </c>
      <c r="AP718" s="45">
        <v>0.0</v>
      </c>
      <c r="AQ718" s="45">
        <v>8.4</v>
      </c>
      <c r="AR718" s="45">
        <v>8.4</v>
      </c>
      <c r="AU718" s="45" t="s">
        <v>1011</v>
      </c>
      <c r="AX718" s="45" t="s">
        <v>1012</v>
      </c>
    </row>
    <row r="719">
      <c r="B719" s="45" t="s">
        <v>3798</v>
      </c>
      <c r="C719" s="45" t="s">
        <v>3799</v>
      </c>
      <c r="D719" s="45" t="s">
        <v>2257</v>
      </c>
      <c r="E719" s="45" t="s">
        <v>3800</v>
      </c>
      <c r="F719" s="45"/>
      <c r="G719" s="45">
        <v>0.0</v>
      </c>
      <c r="H719" s="125"/>
      <c r="I719" s="125"/>
      <c r="J719" s="119">
        <v>5.37865E11</v>
      </c>
      <c r="K719" s="45" t="s">
        <v>1003</v>
      </c>
      <c r="L719" s="45">
        <v>896.0</v>
      </c>
      <c r="M719" s="45" t="s">
        <v>1003</v>
      </c>
      <c r="N719" s="45" t="s">
        <v>1003</v>
      </c>
      <c r="O719" s="45" t="s">
        <v>3801</v>
      </c>
      <c r="P719" s="45">
        <v>0.0</v>
      </c>
      <c r="Q719" s="45">
        <v>0.0</v>
      </c>
      <c r="R719" s="45" t="s">
        <v>3802</v>
      </c>
      <c r="S719" s="45" t="s">
        <v>46</v>
      </c>
      <c r="T719" s="45" t="s">
        <v>3771</v>
      </c>
      <c r="U719" s="45">
        <v>87.0</v>
      </c>
      <c r="V719" s="45">
        <v>2019.0</v>
      </c>
      <c r="W719" s="45">
        <v>90.0</v>
      </c>
      <c r="X719" s="45">
        <v>2021.0</v>
      </c>
      <c r="Y719" s="45">
        <v>8.1</v>
      </c>
      <c r="Z719" s="45">
        <v>76.0</v>
      </c>
      <c r="AA719" s="45">
        <v>2025.0</v>
      </c>
      <c r="AB719" s="45">
        <v>0.0</v>
      </c>
      <c r="AC719" s="45">
        <v>1.0</v>
      </c>
      <c r="AD719" s="45" t="s">
        <v>3803</v>
      </c>
      <c r="AE719" s="45" t="s">
        <v>3804</v>
      </c>
      <c r="AF719" s="45">
        <v>9.959065561E9</v>
      </c>
      <c r="AG719" s="45">
        <v>9.133545556E9</v>
      </c>
      <c r="AH719" s="45" t="s">
        <v>52</v>
      </c>
      <c r="AI719" s="45">
        <v>0.0</v>
      </c>
      <c r="AJ719" s="45"/>
      <c r="AK719" s="45" t="s">
        <v>2375</v>
      </c>
      <c r="AL719" s="45" t="s">
        <v>3805</v>
      </c>
      <c r="AM719" s="45">
        <v>8.35</v>
      </c>
      <c r="AN719" s="45">
        <v>8.4</v>
      </c>
      <c r="AO719" s="45">
        <v>8.45</v>
      </c>
      <c r="AP719" s="45">
        <v>0.0</v>
      </c>
      <c r="AQ719" s="45">
        <v>8.34</v>
      </c>
      <c r="AR719" s="45">
        <v>8.32</v>
      </c>
      <c r="AU719" s="45" t="s">
        <v>1011</v>
      </c>
      <c r="AX719" s="45" t="s">
        <v>1012</v>
      </c>
    </row>
    <row r="720">
      <c r="B720" s="45" t="s">
        <v>3806</v>
      </c>
      <c r="C720" s="45" t="s">
        <v>3807</v>
      </c>
      <c r="D720" s="45" t="s">
        <v>3808</v>
      </c>
      <c r="E720" s="45" t="s">
        <v>3809</v>
      </c>
      <c r="F720" s="45"/>
      <c r="G720" s="45">
        <v>0.0</v>
      </c>
      <c r="H720" s="125"/>
      <c r="I720" s="125"/>
      <c r="J720" s="119">
        <v>8.34753E11</v>
      </c>
      <c r="K720" s="45" t="s">
        <v>1003</v>
      </c>
      <c r="L720" s="45">
        <v>795.0</v>
      </c>
      <c r="M720" s="45" t="s">
        <v>1003</v>
      </c>
      <c r="N720" s="45" t="s">
        <v>1003</v>
      </c>
      <c r="O720" s="45" t="s">
        <v>1760</v>
      </c>
      <c r="P720" s="45">
        <v>21216.0</v>
      </c>
      <c r="Q720" s="45">
        <v>0.0</v>
      </c>
      <c r="R720" s="45" t="s">
        <v>3810</v>
      </c>
      <c r="S720" s="45" t="s">
        <v>60</v>
      </c>
      <c r="T720" s="45" t="s">
        <v>3771</v>
      </c>
      <c r="U720" s="45">
        <v>92.0</v>
      </c>
      <c r="V720" s="45">
        <v>2019.0</v>
      </c>
      <c r="W720" s="45">
        <v>95.4</v>
      </c>
      <c r="X720" s="45">
        <v>2021.0</v>
      </c>
      <c r="Y720" s="45">
        <v>8.3</v>
      </c>
      <c r="Z720" s="45">
        <v>78.0</v>
      </c>
      <c r="AA720" s="45">
        <v>2025.0</v>
      </c>
      <c r="AB720" s="45">
        <v>0.0</v>
      </c>
      <c r="AC720" s="45">
        <v>0.0</v>
      </c>
      <c r="AD720" s="45" t="s">
        <v>3811</v>
      </c>
      <c r="AE720" s="45" t="s">
        <v>3812</v>
      </c>
      <c r="AF720" s="45">
        <v>9.603202573E9</v>
      </c>
      <c r="AG720" s="45">
        <v>7.989147433E9</v>
      </c>
      <c r="AH720" s="45">
        <v>0.0</v>
      </c>
      <c r="AI720" s="45">
        <v>0.0</v>
      </c>
      <c r="AJ720" s="45"/>
      <c r="AK720" s="45" t="s">
        <v>3813</v>
      </c>
      <c r="AL720" s="45" t="s">
        <v>3814</v>
      </c>
      <c r="AM720" s="45">
        <v>7.8</v>
      </c>
      <c r="AN720" s="45">
        <v>8.55</v>
      </c>
      <c r="AO720" s="45">
        <v>8.09</v>
      </c>
      <c r="AP720" s="45">
        <v>0.0</v>
      </c>
      <c r="AQ720" s="45">
        <v>8.23</v>
      </c>
      <c r="AR720" s="45">
        <v>8.23</v>
      </c>
      <c r="AU720" s="45" t="s">
        <v>1011</v>
      </c>
      <c r="AX720" s="45" t="s">
        <v>1012</v>
      </c>
    </row>
    <row r="721">
      <c r="B721" s="45" t="s">
        <v>3815</v>
      </c>
      <c r="C721" s="45" t="s">
        <v>3816</v>
      </c>
      <c r="D721" s="45" t="s">
        <v>3817</v>
      </c>
      <c r="E721" s="45" t="s">
        <v>3818</v>
      </c>
      <c r="F721" s="45"/>
      <c r="G721" s="45">
        <v>0.0</v>
      </c>
      <c r="H721" s="125"/>
      <c r="I721" s="125"/>
      <c r="J721" s="119">
        <v>3.93159E11</v>
      </c>
      <c r="K721" s="45" t="s">
        <v>1003</v>
      </c>
      <c r="L721" s="45">
        <v>12372.0</v>
      </c>
      <c r="M721" s="45">
        <v>14127.0</v>
      </c>
      <c r="N721" s="45">
        <v>20731.0</v>
      </c>
      <c r="O721" s="45" t="s">
        <v>2833</v>
      </c>
      <c r="P721" s="45">
        <v>14606.0</v>
      </c>
      <c r="Q721" s="45">
        <v>0.0</v>
      </c>
      <c r="R721" s="121">
        <v>37688.0</v>
      </c>
      <c r="S721" s="45" t="s">
        <v>60</v>
      </c>
      <c r="T721" s="45" t="s">
        <v>3819</v>
      </c>
      <c r="U721" s="45">
        <v>98.0</v>
      </c>
      <c r="V721" s="45">
        <v>2018.0</v>
      </c>
      <c r="W721" s="45">
        <v>95.7</v>
      </c>
      <c r="X721" s="45">
        <v>2020.0</v>
      </c>
      <c r="Y721" s="45">
        <v>8.7</v>
      </c>
      <c r="Z721" s="45">
        <v>82.0</v>
      </c>
      <c r="AA721" s="45">
        <v>2025.0</v>
      </c>
      <c r="AB721" s="45">
        <v>0.0</v>
      </c>
      <c r="AC721" s="45">
        <v>0.0</v>
      </c>
      <c r="AD721" s="45" t="s">
        <v>3820</v>
      </c>
      <c r="AE721" s="45" t="s">
        <v>3821</v>
      </c>
      <c r="AF721" s="45">
        <v>8.008263389E9</v>
      </c>
      <c r="AG721" s="45">
        <v>9.441907111E9</v>
      </c>
      <c r="AH721" s="45" t="s">
        <v>2186</v>
      </c>
      <c r="AI721" s="45">
        <v>0.0</v>
      </c>
      <c r="AJ721" s="45"/>
      <c r="AK721" s="45" t="s">
        <v>3822</v>
      </c>
      <c r="AL721" s="45" t="s">
        <v>3823</v>
      </c>
      <c r="AM721" s="45">
        <v>8.2</v>
      </c>
      <c r="AN721" s="45">
        <v>8.4</v>
      </c>
      <c r="AO721" s="45">
        <v>8.45</v>
      </c>
      <c r="AP721" s="45">
        <v>0.0</v>
      </c>
      <c r="AQ721" s="45">
        <v>8.28</v>
      </c>
      <c r="AR721" s="45">
        <v>8.23</v>
      </c>
      <c r="AU721" s="45" t="s">
        <v>1011</v>
      </c>
      <c r="AX721" s="45" t="s">
        <v>1028</v>
      </c>
    </row>
    <row r="722">
      <c r="B722" s="45" t="s">
        <v>3824</v>
      </c>
      <c r="C722" s="45" t="s">
        <v>3825</v>
      </c>
      <c r="D722" s="45" t="s">
        <v>3826</v>
      </c>
      <c r="E722" s="45" t="s">
        <v>3827</v>
      </c>
      <c r="F722" s="45"/>
      <c r="G722" s="45">
        <v>0.0</v>
      </c>
      <c r="H722" s="125"/>
      <c r="I722" s="125"/>
      <c r="J722" s="119">
        <v>5.75589E11</v>
      </c>
      <c r="K722" s="45" t="s">
        <v>1003</v>
      </c>
      <c r="L722" s="45">
        <v>1636.0</v>
      </c>
      <c r="M722" s="45" t="s">
        <v>1003</v>
      </c>
      <c r="N722" s="45" t="s">
        <v>1003</v>
      </c>
      <c r="O722" s="45" t="s">
        <v>1236</v>
      </c>
      <c r="P722" s="45">
        <v>11971.0</v>
      </c>
      <c r="Q722" s="45">
        <v>0.0</v>
      </c>
      <c r="R722" s="45" t="s">
        <v>3828</v>
      </c>
      <c r="S722" s="45" t="s">
        <v>46</v>
      </c>
      <c r="T722" s="45" t="s">
        <v>3819</v>
      </c>
      <c r="U722" s="45">
        <v>97.0</v>
      </c>
      <c r="V722" s="45">
        <v>2019.0</v>
      </c>
      <c r="W722" s="45">
        <v>94.0</v>
      </c>
      <c r="X722" s="45">
        <v>2021.0</v>
      </c>
      <c r="Y722" s="45">
        <v>8.1</v>
      </c>
      <c r="Z722" s="45">
        <v>76.0</v>
      </c>
      <c r="AA722" s="45">
        <v>2025.0</v>
      </c>
      <c r="AB722" s="45">
        <v>0.0</v>
      </c>
      <c r="AC722" s="45">
        <v>1.0</v>
      </c>
      <c r="AD722" s="45" t="s">
        <v>3829</v>
      </c>
      <c r="AE722" s="45" t="s">
        <v>3830</v>
      </c>
      <c r="AF722" s="45">
        <v>7.680962952E9</v>
      </c>
      <c r="AG722" s="45">
        <v>9.553604604E9</v>
      </c>
      <c r="AH722" s="45">
        <v>0.0</v>
      </c>
      <c r="AI722" s="45">
        <v>0.0</v>
      </c>
      <c r="AJ722" s="45"/>
      <c r="AK722" s="45" t="s">
        <v>3831</v>
      </c>
      <c r="AL722" s="45" t="s">
        <v>3832</v>
      </c>
      <c r="AM722" s="45">
        <v>9.58</v>
      </c>
      <c r="AN722" s="45">
        <v>9.15</v>
      </c>
      <c r="AO722" s="45">
        <v>9.0</v>
      </c>
      <c r="AP722" s="45">
        <v>0.0</v>
      </c>
      <c r="AQ722" s="45">
        <v>9.1</v>
      </c>
      <c r="AR722" s="45">
        <v>9.07</v>
      </c>
      <c r="AU722" s="45" t="s">
        <v>1011</v>
      </c>
      <c r="AX722" s="45" t="s">
        <v>1028</v>
      </c>
    </row>
    <row r="723">
      <c r="B723" s="45" t="s">
        <v>3833</v>
      </c>
      <c r="C723" s="45" t="s">
        <v>3834</v>
      </c>
      <c r="D723" s="45" t="s">
        <v>3835</v>
      </c>
      <c r="E723" s="45" t="s">
        <v>3836</v>
      </c>
      <c r="F723" s="45"/>
      <c r="G723" s="45">
        <v>0.0</v>
      </c>
      <c r="H723" s="125"/>
      <c r="I723" s="125"/>
      <c r="J723" s="119">
        <v>7.43105E11</v>
      </c>
      <c r="K723" s="45" t="s">
        <v>1003</v>
      </c>
      <c r="L723" s="45">
        <v>3127.0</v>
      </c>
      <c r="M723" s="45" t="s">
        <v>1003</v>
      </c>
      <c r="N723" s="45" t="s">
        <v>1003</v>
      </c>
      <c r="O723" s="45" t="s">
        <v>1341</v>
      </c>
      <c r="P723" s="45">
        <v>17144.0</v>
      </c>
      <c r="Q723" s="45">
        <v>0.0</v>
      </c>
      <c r="R723" s="45" t="s">
        <v>1807</v>
      </c>
      <c r="S723" s="45" t="s">
        <v>60</v>
      </c>
      <c r="T723" s="45" t="s">
        <v>3819</v>
      </c>
      <c r="U723" s="45">
        <v>95.0</v>
      </c>
      <c r="V723" s="45">
        <v>2019.0</v>
      </c>
      <c r="W723" s="45">
        <v>96.4</v>
      </c>
      <c r="X723" s="45">
        <v>2022.0</v>
      </c>
      <c r="Y723" s="45">
        <v>8.7</v>
      </c>
      <c r="Z723" s="45">
        <v>82.0</v>
      </c>
      <c r="AA723" s="45">
        <v>2025.0</v>
      </c>
      <c r="AB723" s="45">
        <v>0.0</v>
      </c>
      <c r="AC723" s="45">
        <v>0.0</v>
      </c>
      <c r="AD723" s="45" t="s">
        <v>3837</v>
      </c>
      <c r="AE723" s="45" t="s">
        <v>3838</v>
      </c>
      <c r="AF723" s="45">
        <v>9.063318964E9</v>
      </c>
      <c r="AG723" s="45">
        <v>9.866191524E9</v>
      </c>
      <c r="AH723" s="45" t="s">
        <v>237</v>
      </c>
      <c r="AI723" s="45">
        <v>0.0</v>
      </c>
      <c r="AJ723" s="45"/>
      <c r="AK723" s="45" t="s">
        <v>3839</v>
      </c>
      <c r="AL723" s="45" t="s">
        <v>3840</v>
      </c>
      <c r="AM723" s="45">
        <v>7.5</v>
      </c>
      <c r="AN723" s="45">
        <v>7.17</v>
      </c>
      <c r="AO723" s="45">
        <v>7.05</v>
      </c>
      <c r="AP723" s="45">
        <v>0.0</v>
      </c>
      <c r="AQ723" s="45">
        <v>7.48</v>
      </c>
      <c r="AR723" s="45">
        <v>7.49</v>
      </c>
      <c r="AU723" s="45" t="s">
        <v>1011</v>
      </c>
      <c r="AX723" s="45" t="s">
        <v>1028</v>
      </c>
    </row>
    <row r="724">
      <c r="B724" s="45" t="s">
        <v>3841</v>
      </c>
      <c r="C724" s="45" t="s">
        <v>2517</v>
      </c>
      <c r="D724" s="45" t="s">
        <v>3842</v>
      </c>
      <c r="E724" s="45" t="s">
        <v>3843</v>
      </c>
      <c r="F724" s="45"/>
      <c r="G724" s="45">
        <v>0.0</v>
      </c>
      <c r="H724" s="125"/>
      <c r="I724" s="125"/>
      <c r="J724" s="119">
        <v>9.51352E11</v>
      </c>
      <c r="K724" s="45" t="s">
        <v>1003</v>
      </c>
      <c r="L724" s="45">
        <v>11412.0</v>
      </c>
      <c r="M724" s="45">
        <v>14234.0</v>
      </c>
      <c r="N724" s="45">
        <v>20494.0</v>
      </c>
      <c r="O724" s="45" t="s">
        <v>1123</v>
      </c>
      <c r="P724" s="45">
        <v>10817.0</v>
      </c>
      <c r="Q724" s="45">
        <v>0.0</v>
      </c>
      <c r="R724" s="45" t="s">
        <v>3844</v>
      </c>
      <c r="S724" s="45" t="s">
        <v>46</v>
      </c>
      <c r="T724" s="45" t="s">
        <v>3819</v>
      </c>
      <c r="U724" s="45">
        <v>98.0</v>
      </c>
      <c r="V724" s="45">
        <v>2019.0</v>
      </c>
      <c r="W724" s="45">
        <v>96.6</v>
      </c>
      <c r="X724" s="45">
        <v>2021.0</v>
      </c>
      <c r="Y724" s="45">
        <v>8.7</v>
      </c>
      <c r="Z724" s="45">
        <v>82.0</v>
      </c>
      <c r="AA724" s="45">
        <v>2025.0</v>
      </c>
      <c r="AB724" s="45">
        <v>0.0</v>
      </c>
      <c r="AC724" s="45">
        <v>0.0</v>
      </c>
      <c r="AD724" s="45" t="s">
        <v>3845</v>
      </c>
      <c r="AE724" s="45" t="s">
        <v>3846</v>
      </c>
      <c r="AF724" s="45">
        <v>8.309490753E9</v>
      </c>
      <c r="AG724" s="45">
        <v>9.849994396E9</v>
      </c>
      <c r="AH724" s="45" t="s">
        <v>3847</v>
      </c>
      <c r="AI724" s="45">
        <v>0.0</v>
      </c>
      <c r="AJ724" s="45"/>
      <c r="AK724" s="45" t="s">
        <v>3848</v>
      </c>
      <c r="AL724" s="45" t="s">
        <v>3849</v>
      </c>
      <c r="AM724" s="45">
        <v>8.25</v>
      </c>
      <c r="AN724" s="45">
        <v>8.1</v>
      </c>
      <c r="AO724" s="45">
        <v>8.25</v>
      </c>
      <c r="AP724" s="45">
        <v>0.0</v>
      </c>
      <c r="AQ724" s="45">
        <v>8.59</v>
      </c>
      <c r="AR724" s="45">
        <v>8.64</v>
      </c>
      <c r="AU724" s="45" t="s">
        <v>1011</v>
      </c>
      <c r="AX724" s="45" t="s">
        <v>1028</v>
      </c>
    </row>
    <row r="725">
      <c r="B725" s="45" t="s">
        <v>3850</v>
      </c>
      <c r="C725" s="45" t="s">
        <v>1250</v>
      </c>
      <c r="D725" s="45" t="s">
        <v>3851</v>
      </c>
      <c r="E725" s="45" t="s">
        <v>3852</v>
      </c>
      <c r="F725" s="45"/>
      <c r="G725" s="45">
        <v>0.0</v>
      </c>
      <c r="H725" s="125"/>
      <c r="I725" s="125"/>
      <c r="J725" s="119">
        <v>7.78526E11</v>
      </c>
      <c r="K725" s="45" t="s">
        <v>1003</v>
      </c>
      <c r="L725" s="45">
        <v>7690.0</v>
      </c>
      <c r="M725" s="45">
        <v>5283.0</v>
      </c>
      <c r="N725" s="45" t="s">
        <v>1003</v>
      </c>
      <c r="O725" s="45" t="s">
        <v>3853</v>
      </c>
      <c r="P725" s="45">
        <v>0.0</v>
      </c>
      <c r="Q725" s="45">
        <v>0.0</v>
      </c>
      <c r="R725" s="121">
        <v>37692.0</v>
      </c>
      <c r="S725" s="45" t="s">
        <v>46</v>
      </c>
      <c r="T725" s="45" t="s">
        <v>3819</v>
      </c>
      <c r="U725" s="45">
        <v>94.0</v>
      </c>
      <c r="V725" s="45">
        <v>2019.0</v>
      </c>
      <c r="W725" s="45">
        <v>92.0</v>
      </c>
      <c r="X725" s="45">
        <v>2021.0</v>
      </c>
      <c r="Y725" s="45">
        <v>8.7</v>
      </c>
      <c r="Z725" s="45">
        <v>82.0</v>
      </c>
      <c r="AA725" s="45">
        <v>2025.0</v>
      </c>
      <c r="AB725" s="45">
        <v>0.0</v>
      </c>
      <c r="AC725" s="45">
        <v>0.0</v>
      </c>
      <c r="AD725" s="45" t="s">
        <v>3854</v>
      </c>
      <c r="AE725" s="45" t="s">
        <v>3855</v>
      </c>
      <c r="AF725" s="45">
        <v>7.997540394E9</v>
      </c>
      <c r="AG725" s="45">
        <v>8.008001592E9</v>
      </c>
      <c r="AH725" s="45" t="s">
        <v>210</v>
      </c>
      <c r="AI725" s="45">
        <v>0.0</v>
      </c>
      <c r="AJ725" s="45"/>
      <c r="AK725" s="45" t="s">
        <v>3856</v>
      </c>
      <c r="AL725" s="45" t="s">
        <v>3857</v>
      </c>
      <c r="AM725" s="45">
        <v>8.75</v>
      </c>
      <c r="AN725" s="45">
        <v>7.93</v>
      </c>
      <c r="AO725" s="45">
        <v>7.3</v>
      </c>
      <c r="AP725" s="45">
        <v>0.0</v>
      </c>
      <c r="AQ725" s="45">
        <v>8.04</v>
      </c>
      <c r="AR725" s="45">
        <v>8.11</v>
      </c>
      <c r="AU725" s="45" t="s">
        <v>1011</v>
      </c>
      <c r="AX725" s="45" t="s">
        <v>1012</v>
      </c>
    </row>
    <row r="726">
      <c r="B726" s="45" t="s">
        <v>3858</v>
      </c>
      <c r="C726" s="45" t="s">
        <v>3859</v>
      </c>
      <c r="D726" s="45" t="s">
        <v>3860</v>
      </c>
      <c r="E726" s="45" t="s">
        <v>3861</v>
      </c>
      <c r="F726" s="45"/>
      <c r="G726" s="45">
        <v>0.0</v>
      </c>
      <c r="H726" s="125"/>
      <c r="I726" s="125"/>
      <c r="J726" s="119">
        <v>4.49206E11</v>
      </c>
      <c r="K726" s="45" t="s">
        <v>1003</v>
      </c>
      <c r="L726" s="45" t="s">
        <v>1003</v>
      </c>
      <c r="M726" s="45" t="s">
        <v>1003</v>
      </c>
      <c r="N726" s="45" t="s">
        <v>1003</v>
      </c>
      <c r="O726" s="45" t="s">
        <v>3862</v>
      </c>
      <c r="P726" s="45">
        <v>0.0</v>
      </c>
      <c r="Q726" s="45">
        <v>0.0</v>
      </c>
      <c r="R726" s="45" t="s">
        <v>3863</v>
      </c>
      <c r="S726" s="45" t="s">
        <v>46</v>
      </c>
      <c r="T726" s="45" t="s">
        <v>3819</v>
      </c>
      <c r="U726" s="45">
        <v>93.0</v>
      </c>
      <c r="V726" s="45">
        <v>2019.0</v>
      </c>
      <c r="W726" s="45">
        <v>81.0</v>
      </c>
      <c r="X726" s="45">
        <v>2021.0</v>
      </c>
      <c r="Y726" s="45">
        <v>7.8</v>
      </c>
      <c r="Z726" s="45">
        <v>73.0</v>
      </c>
      <c r="AA726" s="45">
        <v>2025.0</v>
      </c>
      <c r="AB726" s="45">
        <v>0.0</v>
      </c>
      <c r="AC726" s="45">
        <v>0.0</v>
      </c>
      <c r="AD726" s="45" t="s">
        <v>3864</v>
      </c>
      <c r="AE726" s="45" t="s">
        <v>3865</v>
      </c>
      <c r="AF726" s="45">
        <v>9.346783131E9</v>
      </c>
      <c r="AG726" s="45">
        <v>8.919304578E9</v>
      </c>
      <c r="AH726" s="45">
        <v>0.0</v>
      </c>
      <c r="AI726" s="45">
        <v>0.0</v>
      </c>
      <c r="AJ726" s="45"/>
      <c r="AK726" s="45" t="s">
        <v>3866</v>
      </c>
      <c r="AL726" s="45" t="s">
        <v>3867</v>
      </c>
      <c r="AM726" s="45">
        <v>9.5</v>
      </c>
      <c r="AN726" s="45">
        <v>9.2</v>
      </c>
      <c r="AO726" s="45">
        <v>8.18</v>
      </c>
      <c r="AP726" s="45">
        <v>0.0</v>
      </c>
      <c r="AQ726" s="45">
        <v>8.95</v>
      </c>
      <c r="AR726" s="45">
        <v>8.96</v>
      </c>
      <c r="AU726" s="45" t="s">
        <v>1011</v>
      </c>
      <c r="AX726" s="45" t="s">
        <v>1028</v>
      </c>
    </row>
    <row r="727">
      <c r="B727" s="45" t="s">
        <v>3868</v>
      </c>
      <c r="C727" s="45" t="s">
        <v>3869</v>
      </c>
      <c r="D727" s="45" t="s">
        <v>3870</v>
      </c>
      <c r="E727" s="45" t="s">
        <v>3871</v>
      </c>
      <c r="F727" s="45"/>
      <c r="G727" s="45">
        <v>0.0</v>
      </c>
      <c r="H727" s="125"/>
      <c r="I727" s="125"/>
      <c r="J727" s="119">
        <v>5.61823E11</v>
      </c>
      <c r="K727" s="45" t="s">
        <v>1003</v>
      </c>
      <c r="L727" s="45">
        <v>7227.0</v>
      </c>
      <c r="M727" s="45">
        <v>10199.0</v>
      </c>
      <c r="N727" s="45">
        <v>13439.0</v>
      </c>
      <c r="O727" s="45" t="s">
        <v>3872</v>
      </c>
      <c r="P727" s="45">
        <v>4652.0</v>
      </c>
      <c r="Q727" s="45">
        <v>0.0</v>
      </c>
      <c r="R727" s="45" t="s">
        <v>2783</v>
      </c>
      <c r="S727" s="45" t="s">
        <v>46</v>
      </c>
      <c r="T727" s="45" t="s">
        <v>3819</v>
      </c>
      <c r="U727" s="45">
        <v>100.0</v>
      </c>
      <c r="V727" s="45">
        <v>2019.0</v>
      </c>
      <c r="W727" s="45">
        <v>97.2</v>
      </c>
      <c r="X727" s="45">
        <v>2021.0</v>
      </c>
      <c r="Y727" s="45">
        <v>8.9</v>
      </c>
      <c r="Z727" s="45">
        <v>84.0</v>
      </c>
      <c r="AA727" s="45">
        <v>2025.0</v>
      </c>
      <c r="AB727" s="45">
        <v>0.0</v>
      </c>
      <c r="AC727" s="45">
        <v>0.0</v>
      </c>
      <c r="AD727" s="45" t="s">
        <v>3873</v>
      </c>
      <c r="AE727" s="45" t="s">
        <v>3874</v>
      </c>
      <c r="AF727" s="45">
        <v>9.346265553E9</v>
      </c>
      <c r="AG727" s="45">
        <v>9.949389074E9</v>
      </c>
      <c r="AH727" s="45" t="s">
        <v>622</v>
      </c>
      <c r="AI727" s="45">
        <v>0.0</v>
      </c>
      <c r="AJ727" s="45"/>
      <c r="AK727" s="45" t="s">
        <v>3875</v>
      </c>
      <c r="AL727" s="45" t="s">
        <v>3876</v>
      </c>
      <c r="AM727" s="45">
        <v>9.33</v>
      </c>
      <c r="AN727" s="45">
        <v>9.24</v>
      </c>
      <c r="AO727" s="45">
        <v>8.55</v>
      </c>
      <c r="AP727" s="45">
        <v>0.0</v>
      </c>
      <c r="AQ727" s="45">
        <v>8.83</v>
      </c>
      <c r="AR727" s="45">
        <v>8.8</v>
      </c>
      <c r="AU727" s="45" t="s">
        <v>1011</v>
      </c>
      <c r="AX727" s="45" t="s">
        <v>1028</v>
      </c>
    </row>
    <row r="728">
      <c r="B728" s="45" t="s">
        <v>3877</v>
      </c>
      <c r="C728" s="45" t="s">
        <v>3878</v>
      </c>
      <c r="D728" s="45" t="s">
        <v>3879</v>
      </c>
      <c r="E728" s="45" t="s">
        <v>3880</v>
      </c>
      <c r="F728" s="45"/>
      <c r="G728" s="45">
        <v>0.0</v>
      </c>
      <c r="H728" s="125"/>
      <c r="I728" s="125"/>
      <c r="J728" s="119">
        <v>4.26006E11</v>
      </c>
      <c r="K728" s="45" t="s">
        <v>1003</v>
      </c>
      <c r="L728" s="45">
        <v>8727.0</v>
      </c>
      <c r="M728" s="45">
        <v>11968.0</v>
      </c>
      <c r="N728" s="45" t="s">
        <v>1003</v>
      </c>
      <c r="O728" s="45" t="s">
        <v>2833</v>
      </c>
      <c r="P728" s="45">
        <v>10034.0</v>
      </c>
      <c r="Q728" s="45">
        <v>0.0</v>
      </c>
      <c r="R728" s="121">
        <v>37989.0</v>
      </c>
      <c r="S728" s="45" t="s">
        <v>46</v>
      </c>
      <c r="T728" s="45" t="s">
        <v>3819</v>
      </c>
      <c r="U728" s="45">
        <v>85.0</v>
      </c>
      <c r="V728" s="45">
        <v>2019.0</v>
      </c>
      <c r="W728" s="45">
        <v>96.5</v>
      </c>
      <c r="X728" s="45">
        <v>2021.0</v>
      </c>
      <c r="Y728" s="45">
        <v>8.5</v>
      </c>
      <c r="Z728" s="45">
        <v>80.0</v>
      </c>
      <c r="AA728" s="45">
        <v>2025.0</v>
      </c>
      <c r="AB728" s="45">
        <v>0.0</v>
      </c>
      <c r="AC728" s="45">
        <v>0.0</v>
      </c>
      <c r="AD728" s="45" t="s">
        <v>3881</v>
      </c>
      <c r="AE728" s="45" t="s">
        <v>3882</v>
      </c>
      <c r="AF728" s="45">
        <v>9.10005118E9</v>
      </c>
      <c r="AG728" s="45">
        <v>9.291523159E9</v>
      </c>
      <c r="AH728" s="45" t="s">
        <v>3883</v>
      </c>
      <c r="AI728" s="45">
        <v>0.0</v>
      </c>
      <c r="AJ728" s="45"/>
      <c r="AK728" s="45" t="s">
        <v>3884</v>
      </c>
      <c r="AL728" s="45" t="s">
        <v>3885</v>
      </c>
      <c r="AM728" s="45">
        <v>7.0</v>
      </c>
      <c r="AN728" s="45">
        <v>7.44</v>
      </c>
      <c r="AO728" s="45">
        <v>7.73</v>
      </c>
      <c r="AP728" s="45">
        <v>0.0</v>
      </c>
      <c r="AQ728" s="45">
        <v>7.71</v>
      </c>
      <c r="AR728" s="45">
        <v>7.78</v>
      </c>
      <c r="AU728" s="45" t="s">
        <v>1011</v>
      </c>
      <c r="AX728" s="45" t="s">
        <v>1028</v>
      </c>
    </row>
    <row r="729">
      <c r="B729" s="45" t="s">
        <v>3886</v>
      </c>
      <c r="C729" s="45" t="s">
        <v>3036</v>
      </c>
      <c r="D729" s="45" t="s">
        <v>3887</v>
      </c>
      <c r="E729" s="45" t="s">
        <v>3888</v>
      </c>
      <c r="F729" s="45"/>
      <c r="G729" s="45">
        <v>0.0</v>
      </c>
      <c r="H729" s="125"/>
      <c r="I729" s="125"/>
      <c r="J729" s="119">
        <v>6.5061E11</v>
      </c>
      <c r="K729" s="45" t="s">
        <v>1003</v>
      </c>
      <c r="L729" s="45">
        <v>2766.0</v>
      </c>
      <c r="M729" s="45" t="s">
        <v>1003</v>
      </c>
      <c r="N729" s="45" t="s">
        <v>1003</v>
      </c>
      <c r="O729" s="45" t="s">
        <v>3889</v>
      </c>
      <c r="P729" s="45">
        <v>0.0</v>
      </c>
      <c r="Q729" s="45">
        <v>0.0</v>
      </c>
      <c r="R729" s="45" t="s">
        <v>3890</v>
      </c>
      <c r="S729" s="45" t="s">
        <v>46</v>
      </c>
      <c r="T729" s="45" t="s">
        <v>3819</v>
      </c>
      <c r="U729" s="45">
        <v>95.0</v>
      </c>
      <c r="V729" s="45">
        <v>2019.0</v>
      </c>
      <c r="W729" s="45">
        <v>84.9</v>
      </c>
      <c r="X729" s="45">
        <v>2021.0</v>
      </c>
      <c r="Y729" s="45">
        <v>8.4</v>
      </c>
      <c r="Z729" s="45">
        <v>79.0</v>
      </c>
      <c r="AA729" s="45">
        <v>2025.0</v>
      </c>
      <c r="AB729" s="45">
        <v>0.0</v>
      </c>
      <c r="AC729" s="45">
        <v>0.0</v>
      </c>
      <c r="AD729" s="45" t="s">
        <v>3891</v>
      </c>
      <c r="AE729" s="45" t="s">
        <v>3892</v>
      </c>
      <c r="AF729" s="45">
        <v>9.347222913E9</v>
      </c>
      <c r="AG729" s="45">
        <v>9.949755102E9</v>
      </c>
      <c r="AH729" s="45" t="s">
        <v>406</v>
      </c>
      <c r="AI729" s="45">
        <v>0.0</v>
      </c>
      <c r="AJ729" s="45"/>
      <c r="AK729" s="45" t="s">
        <v>3893</v>
      </c>
      <c r="AL729" s="45" t="s">
        <v>3894</v>
      </c>
      <c r="AM729" s="45">
        <v>8.75</v>
      </c>
      <c r="AN729" s="45">
        <v>9.56</v>
      </c>
      <c r="AO729" s="45">
        <v>8.68</v>
      </c>
      <c r="AP729" s="45">
        <v>0.0</v>
      </c>
      <c r="AQ729" s="45">
        <v>8.91</v>
      </c>
      <c r="AR729" s="45">
        <v>8.92</v>
      </c>
      <c r="AU729" s="45" t="s">
        <v>1011</v>
      </c>
      <c r="AX729" s="45" t="s">
        <v>1012</v>
      </c>
    </row>
    <row r="730">
      <c r="B730" s="45" t="s">
        <v>3895</v>
      </c>
      <c r="C730" s="45" t="s">
        <v>3896</v>
      </c>
      <c r="D730" s="45" t="s">
        <v>3897</v>
      </c>
      <c r="E730" s="45" t="s">
        <v>3898</v>
      </c>
      <c r="F730" s="45"/>
      <c r="G730" s="45">
        <v>0.0</v>
      </c>
      <c r="H730" s="125"/>
      <c r="I730" s="125"/>
      <c r="J730" s="119">
        <v>6.78097E11</v>
      </c>
      <c r="K730" s="45" t="s">
        <v>1003</v>
      </c>
      <c r="L730" s="45">
        <v>4663.0</v>
      </c>
      <c r="M730" s="45" t="s">
        <v>1003</v>
      </c>
      <c r="N730" s="45" t="s">
        <v>1003</v>
      </c>
      <c r="O730" s="45" t="s">
        <v>1620</v>
      </c>
      <c r="P730" s="45">
        <v>20670.0</v>
      </c>
      <c r="Q730" s="45">
        <v>0.0</v>
      </c>
      <c r="R730" s="121">
        <v>37691.0</v>
      </c>
      <c r="S730" s="45" t="s">
        <v>46</v>
      </c>
      <c r="T730" s="45" t="s">
        <v>3819</v>
      </c>
      <c r="U730" s="45">
        <v>97.0</v>
      </c>
      <c r="V730" s="45">
        <v>2018.0</v>
      </c>
      <c r="W730" s="45">
        <v>86.7</v>
      </c>
      <c r="X730" s="45">
        <v>2020.0</v>
      </c>
      <c r="Y730" s="45">
        <v>8.4</v>
      </c>
      <c r="Z730" s="45">
        <v>79.0</v>
      </c>
      <c r="AA730" s="45">
        <v>2025.0</v>
      </c>
      <c r="AB730" s="45">
        <v>0.0</v>
      </c>
      <c r="AC730" s="45">
        <v>0.0</v>
      </c>
      <c r="AD730" s="45" t="s">
        <v>3899</v>
      </c>
      <c r="AE730" s="45" t="s">
        <v>3900</v>
      </c>
      <c r="AF730" s="45">
        <v>6.30965531E9</v>
      </c>
      <c r="AG730" s="45">
        <v>9.848835057E9</v>
      </c>
      <c r="AH730" s="45" t="s">
        <v>255</v>
      </c>
      <c r="AI730" s="45">
        <v>0.0</v>
      </c>
      <c r="AJ730" s="45"/>
      <c r="AK730" s="45" t="s">
        <v>3901</v>
      </c>
      <c r="AL730" s="45" t="s">
        <v>3902</v>
      </c>
      <c r="AM730" s="45">
        <v>6.92</v>
      </c>
      <c r="AN730" s="45">
        <v>7.41</v>
      </c>
      <c r="AO730" s="45">
        <v>0.0</v>
      </c>
      <c r="AP730" s="45">
        <v>0.0</v>
      </c>
      <c r="AQ730" s="45">
        <v>6.66</v>
      </c>
      <c r="AR730" s="45">
        <v>0.0</v>
      </c>
      <c r="AU730" s="45" t="s">
        <v>1011</v>
      </c>
      <c r="AX730" s="45" t="s">
        <v>1012</v>
      </c>
    </row>
    <row r="731">
      <c r="B731" s="45" t="s">
        <v>417</v>
      </c>
      <c r="C731" s="45" t="s">
        <v>2016</v>
      </c>
      <c r="D731" s="45" t="s">
        <v>2017</v>
      </c>
      <c r="E731" s="45" t="s">
        <v>418</v>
      </c>
      <c r="F731" s="45"/>
      <c r="G731" s="45">
        <v>0.0</v>
      </c>
      <c r="H731" s="125"/>
      <c r="I731" s="125"/>
      <c r="J731" s="119">
        <v>3.19661E11</v>
      </c>
      <c r="K731" s="45" t="s">
        <v>1003</v>
      </c>
      <c r="L731" s="45" t="s">
        <v>1003</v>
      </c>
      <c r="M731" s="45" t="s">
        <v>1003</v>
      </c>
      <c r="N731" s="45" t="s">
        <v>1003</v>
      </c>
      <c r="O731" s="45" t="s">
        <v>2018</v>
      </c>
      <c r="P731" s="45">
        <v>0.0</v>
      </c>
      <c r="Q731" s="45">
        <v>774.0</v>
      </c>
      <c r="R731" s="121">
        <v>37626.0</v>
      </c>
      <c r="S731" s="45" t="s">
        <v>60</v>
      </c>
      <c r="T731" s="45" t="s">
        <v>1006</v>
      </c>
      <c r="U731" s="45">
        <v>88.0</v>
      </c>
      <c r="V731" s="45">
        <v>2019.0</v>
      </c>
      <c r="W731" s="45">
        <v>91.0</v>
      </c>
      <c r="X731" s="45">
        <v>2022.0</v>
      </c>
      <c r="Y731" s="45">
        <v>8.9</v>
      </c>
      <c r="Z731" s="45">
        <v>84.0</v>
      </c>
      <c r="AA731" s="45">
        <v>2025.0</v>
      </c>
      <c r="AB731" s="45">
        <v>0.0</v>
      </c>
      <c r="AC731" s="45">
        <v>0.0</v>
      </c>
      <c r="AD731" s="45" t="s">
        <v>2019</v>
      </c>
      <c r="AE731" s="45" t="s">
        <v>2020</v>
      </c>
      <c r="AF731" s="45">
        <v>8.977437191E9</v>
      </c>
      <c r="AG731" s="45">
        <v>9.618837191E9</v>
      </c>
      <c r="AH731" s="45">
        <v>0.0</v>
      </c>
      <c r="AI731" s="45">
        <v>0.0</v>
      </c>
      <c r="AJ731" s="45"/>
      <c r="AK731" s="45" t="s">
        <v>3903</v>
      </c>
      <c r="AL731" s="45" t="s">
        <v>3904</v>
      </c>
      <c r="AM731" s="45">
        <v>8.92</v>
      </c>
      <c r="AN731" s="45">
        <v>8.83</v>
      </c>
      <c r="AO731" s="45">
        <v>8.0</v>
      </c>
      <c r="AP731" s="45">
        <v>0.0</v>
      </c>
      <c r="AQ731" s="45">
        <v>8.42</v>
      </c>
      <c r="AR731" s="45">
        <v>8.42</v>
      </c>
      <c r="AU731" s="45" t="s">
        <v>1011</v>
      </c>
      <c r="AX731" s="45" t="s">
        <v>1012</v>
      </c>
    </row>
    <row r="732">
      <c r="B732" s="45" t="s">
        <v>3905</v>
      </c>
      <c r="C732" s="45" t="s">
        <v>2044</v>
      </c>
      <c r="D732" s="45" t="s">
        <v>2045</v>
      </c>
      <c r="E732" s="45" t="s">
        <v>427</v>
      </c>
      <c r="F732" s="45"/>
      <c r="G732" s="45">
        <v>0.0</v>
      </c>
      <c r="H732" s="125"/>
      <c r="I732" s="125"/>
      <c r="J732" s="119">
        <v>7.89071E11</v>
      </c>
      <c r="K732" s="45" t="s">
        <v>1003</v>
      </c>
      <c r="L732" s="45" t="s">
        <v>1003</v>
      </c>
      <c r="M732" s="45" t="s">
        <v>1003</v>
      </c>
      <c r="N732" s="45" t="s">
        <v>1003</v>
      </c>
      <c r="O732" s="45" t="s">
        <v>1031</v>
      </c>
      <c r="P732" s="45">
        <v>0.0</v>
      </c>
      <c r="Q732" s="45">
        <v>557.0</v>
      </c>
      <c r="R732" s="45" t="s">
        <v>2046</v>
      </c>
      <c r="S732" s="45" t="s">
        <v>60</v>
      </c>
      <c r="T732" s="45" t="s">
        <v>1006</v>
      </c>
      <c r="U732" s="45">
        <v>93.0</v>
      </c>
      <c r="V732" s="45">
        <v>2019.0</v>
      </c>
      <c r="W732" s="45">
        <v>91.0</v>
      </c>
      <c r="X732" s="45">
        <v>2022.0</v>
      </c>
      <c r="Y732" s="45">
        <v>8.7</v>
      </c>
      <c r="Z732" s="45">
        <v>82.0</v>
      </c>
      <c r="AA732" s="45">
        <v>2025.0</v>
      </c>
      <c r="AB732" s="45">
        <v>0.0</v>
      </c>
      <c r="AC732" s="45">
        <v>0.0</v>
      </c>
      <c r="AD732" s="45" t="s">
        <v>2047</v>
      </c>
      <c r="AE732" s="45" t="s">
        <v>2048</v>
      </c>
      <c r="AF732" s="45">
        <v>6.302536782E9</v>
      </c>
      <c r="AG732" s="45">
        <v>8.91939632E9</v>
      </c>
      <c r="AH732" s="45">
        <v>0.0</v>
      </c>
      <c r="AI732" s="45">
        <v>0.0</v>
      </c>
      <c r="AJ732" s="45"/>
      <c r="AK732" s="45" t="s">
        <v>3906</v>
      </c>
      <c r="AL732" s="45" t="s">
        <v>3907</v>
      </c>
      <c r="AM732" s="45">
        <v>8.0</v>
      </c>
      <c r="AN732" s="45">
        <v>8.0</v>
      </c>
      <c r="AO732" s="45">
        <v>7.95</v>
      </c>
      <c r="AP732" s="45">
        <v>0.0</v>
      </c>
      <c r="AQ732" s="45">
        <v>7.99</v>
      </c>
      <c r="AR732" s="45">
        <v>7.96</v>
      </c>
      <c r="AU732" s="45" t="s">
        <v>1011</v>
      </c>
      <c r="AX732" s="45" t="s">
        <v>1012</v>
      </c>
    </row>
    <row r="733">
      <c r="B733" s="45" t="s">
        <v>3908</v>
      </c>
      <c r="C733" s="45" t="s">
        <v>2517</v>
      </c>
      <c r="D733" s="45" t="s">
        <v>2518</v>
      </c>
      <c r="E733" s="45" t="s">
        <v>591</v>
      </c>
      <c r="F733" s="45"/>
      <c r="G733" s="45">
        <v>0.0</v>
      </c>
      <c r="H733" s="125"/>
      <c r="I733" s="125"/>
      <c r="J733" s="119">
        <v>4.18173E11</v>
      </c>
      <c r="K733" s="45" t="s">
        <v>1003</v>
      </c>
      <c r="L733" s="45">
        <v>3930.0</v>
      </c>
      <c r="M733" s="45" t="s">
        <v>1003</v>
      </c>
      <c r="N733" s="45" t="s">
        <v>1003</v>
      </c>
      <c r="O733" s="45" t="s">
        <v>2519</v>
      </c>
      <c r="P733" s="45">
        <v>0.0</v>
      </c>
      <c r="Q733" s="45">
        <v>488.0</v>
      </c>
      <c r="R733" s="45" t="s">
        <v>2520</v>
      </c>
      <c r="S733" s="45" t="s">
        <v>60</v>
      </c>
      <c r="T733" s="45" t="s">
        <v>1006</v>
      </c>
      <c r="U733" s="45">
        <v>98.0</v>
      </c>
      <c r="V733" s="45">
        <v>2019.0</v>
      </c>
      <c r="W733" s="45">
        <v>93.0</v>
      </c>
      <c r="X733" s="45">
        <v>2022.0</v>
      </c>
      <c r="Y733" s="45">
        <v>8.8</v>
      </c>
      <c r="Z733" s="45">
        <v>83.0</v>
      </c>
      <c r="AA733" s="45">
        <v>2025.0</v>
      </c>
      <c r="AB733" s="45">
        <v>0.0</v>
      </c>
      <c r="AC733" s="45">
        <v>0.0</v>
      </c>
      <c r="AD733" s="45" t="s">
        <v>2521</v>
      </c>
      <c r="AE733" s="45" t="s">
        <v>2522</v>
      </c>
      <c r="AF733" s="45">
        <v>9.121436266E9</v>
      </c>
      <c r="AG733" s="45">
        <v>9.100519331E9</v>
      </c>
      <c r="AH733" s="45" t="s">
        <v>210</v>
      </c>
      <c r="AI733" s="45">
        <v>0.0</v>
      </c>
      <c r="AJ733" s="45"/>
      <c r="AK733" s="45" t="s">
        <v>3909</v>
      </c>
      <c r="AL733" s="45" t="s">
        <v>3910</v>
      </c>
      <c r="AM733" s="45">
        <v>8.17</v>
      </c>
      <c r="AN733" s="45">
        <v>8.29</v>
      </c>
      <c r="AO733" s="45">
        <v>7.95</v>
      </c>
      <c r="AP733" s="45">
        <v>0.0</v>
      </c>
      <c r="AQ733" s="45">
        <v>8.15</v>
      </c>
      <c r="AR733" s="45">
        <v>8.19</v>
      </c>
      <c r="AU733" s="45" t="s">
        <v>1011</v>
      </c>
      <c r="AX733" s="45" t="s">
        <v>1012</v>
      </c>
    </row>
    <row r="734">
      <c r="B734" s="45" t="s">
        <v>3911</v>
      </c>
      <c r="C734" s="45" t="s">
        <v>3448</v>
      </c>
      <c r="D734" s="45" t="s">
        <v>1389</v>
      </c>
      <c r="E734" s="45" t="s">
        <v>931</v>
      </c>
      <c r="F734" s="45"/>
      <c r="G734" s="45">
        <v>0.0</v>
      </c>
      <c r="H734" s="125"/>
      <c r="I734" s="125"/>
      <c r="J734" s="119">
        <v>5.36761E11</v>
      </c>
      <c r="K734" s="45" t="s">
        <v>1003</v>
      </c>
      <c r="L734" s="45" t="s">
        <v>1003</v>
      </c>
      <c r="M734" s="45" t="s">
        <v>1003</v>
      </c>
      <c r="N734" s="45" t="s">
        <v>1003</v>
      </c>
      <c r="O734" s="45" t="s">
        <v>2718</v>
      </c>
      <c r="P734" s="45">
        <v>0.0</v>
      </c>
      <c r="Q734" s="45">
        <v>399.0</v>
      </c>
      <c r="R734" s="45" t="s">
        <v>3449</v>
      </c>
      <c r="S734" s="45" t="s">
        <v>60</v>
      </c>
      <c r="T734" s="45" t="s">
        <v>1006</v>
      </c>
      <c r="U734" s="45">
        <v>92.0</v>
      </c>
      <c r="V734" s="45">
        <v>2019.0</v>
      </c>
      <c r="W734" s="45">
        <v>96.7</v>
      </c>
      <c r="X734" s="45">
        <v>2022.0</v>
      </c>
      <c r="Y734" s="45">
        <v>8.5</v>
      </c>
      <c r="Z734" s="45">
        <v>80.0</v>
      </c>
      <c r="AA734" s="45">
        <v>2025.0</v>
      </c>
      <c r="AB734" s="45">
        <v>0.0</v>
      </c>
      <c r="AC734" s="45">
        <v>0.0</v>
      </c>
      <c r="AD734" s="45" t="s">
        <v>3450</v>
      </c>
      <c r="AE734" s="45" t="s">
        <v>3451</v>
      </c>
      <c r="AF734" s="45">
        <v>9.640087139E9</v>
      </c>
      <c r="AG734" s="45">
        <v>9.603679079E9</v>
      </c>
      <c r="AH734" s="45">
        <v>0.0</v>
      </c>
      <c r="AI734" s="45">
        <v>0.0</v>
      </c>
      <c r="AJ734" s="45"/>
      <c r="AK734" s="45" t="s">
        <v>3912</v>
      </c>
      <c r="AL734" s="45" t="s">
        <v>3913</v>
      </c>
      <c r="AM734" s="45">
        <v>9.11</v>
      </c>
      <c r="AN734" s="45">
        <v>7.8</v>
      </c>
      <c r="AO734" s="45">
        <v>8.59</v>
      </c>
      <c r="AP734" s="45">
        <v>0.0</v>
      </c>
      <c r="AQ734" s="45">
        <v>8.67</v>
      </c>
      <c r="AR734" s="45">
        <v>8.69</v>
      </c>
      <c r="AU734" s="45" t="s">
        <v>1011</v>
      </c>
      <c r="AX734" s="45" t="s">
        <v>1012</v>
      </c>
    </row>
    <row r="735">
      <c r="B735" s="45" t="s">
        <v>3914</v>
      </c>
      <c r="C735" s="45" t="s">
        <v>3454</v>
      </c>
      <c r="D735" s="45" t="s">
        <v>3455</v>
      </c>
      <c r="E735" s="45" t="s">
        <v>933</v>
      </c>
      <c r="F735" s="45"/>
      <c r="G735" s="45">
        <v>0.0</v>
      </c>
      <c r="H735" s="125"/>
      <c r="I735" s="125"/>
      <c r="J735" s="119">
        <v>4.93515E11</v>
      </c>
      <c r="K735" s="45" t="s">
        <v>1003</v>
      </c>
      <c r="L735" s="45">
        <v>5196.0</v>
      </c>
      <c r="M735" s="45">
        <v>9228.0</v>
      </c>
      <c r="N735" s="45">
        <v>11399.0</v>
      </c>
      <c r="O735" s="45" t="s">
        <v>2443</v>
      </c>
      <c r="P735" s="45">
        <v>0.0</v>
      </c>
      <c r="Q735" s="45">
        <v>113.0</v>
      </c>
      <c r="R735" s="45" t="s">
        <v>3456</v>
      </c>
      <c r="S735" s="45" t="s">
        <v>46</v>
      </c>
      <c r="T735" s="45" t="s">
        <v>1006</v>
      </c>
      <c r="U735" s="45">
        <v>88.0</v>
      </c>
      <c r="V735" s="45">
        <v>2018.0</v>
      </c>
      <c r="W735" s="45">
        <v>85.0</v>
      </c>
      <c r="X735" s="45">
        <v>2021.0</v>
      </c>
      <c r="Y735" s="45">
        <v>8.3</v>
      </c>
      <c r="Z735" s="45">
        <v>78.0</v>
      </c>
      <c r="AA735" s="45">
        <v>2025.0</v>
      </c>
      <c r="AB735" s="45">
        <v>0.0</v>
      </c>
      <c r="AC735" s="45">
        <v>0.0</v>
      </c>
      <c r="AD735" s="45" t="s">
        <v>3457</v>
      </c>
      <c r="AE735" s="45" t="s">
        <v>3458</v>
      </c>
      <c r="AF735" s="45">
        <v>9.346488704E9</v>
      </c>
      <c r="AG735" s="45">
        <v>9.502041649E9</v>
      </c>
      <c r="AH735" s="45" t="s">
        <v>125</v>
      </c>
      <c r="AI735" s="45">
        <v>0.0</v>
      </c>
      <c r="AJ735" s="45"/>
      <c r="AK735" s="45" t="s">
        <v>3915</v>
      </c>
      <c r="AL735" s="45" t="s">
        <v>3916</v>
      </c>
      <c r="AM735" s="45">
        <v>8.05</v>
      </c>
      <c r="AN735" s="45">
        <v>0.0</v>
      </c>
      <c r="AO735" s="45">
        <v>7.66</v>
      </c>
      <c r="AP735" s="45">
        <v>7.82</v>
      </c>
      <c r="AQ735" s="45">
        <v>7.33</v>
      </c>
      <c r="AR735" s="45">
        <v>8.1</v>
      </c>
      <c r="AU735" s="45" t="s">
        <v>1011</v>
      </c>
      <c r="AX735" s="45" t="s">
        <v>1012</v>
      </c>
    </row>
    <row r="736">
      <c r="B736" s="45" t="s">
        <v>3917</v>
      </c>
      <c r="C736" s="45" t="s">
        <v>3918</v>
      </c>
      <c r="D736" s="45" t="s">
        <v>3919</v>
      </c>
      <c r="E736" s="45" t="s">
        <v>3920</v>
      </c>
      <c r="F736" s="45"/>
      <c r="G736" s="45">
        <v>0.0</v>
      </c>
      <c r="H736" s="125"/>
      <c r="I736" s="125"/>
      <c r="J736" s="119">
        <v>7.69012E11</v>
      </c>
      <c r="K736" s="45" t="s">
        <v>1003</v>
      </c>
      <c r="L736" s="45" t="s">
        <v>1003</v>
      </c>
      <c r="M736" s="45" t="s">
        <v>1003</v>
      </c>
      <c r="N736" s="45" t="s">
        <v>1003</v>
      </c>
      <c r="O736" s="45" t="s">
        <v>1783</v>
      </c>
      <c r="P736" s="45">
        <v>239.0</v>
      </c>
      <c r="Q736" s="45">
        <v>0.0</v>
      </c>
      <c r="R736" s="45" t="s">
        <v>3921</v>
      </c>
      <c r="S736" s="45" t="s">
        <v>60</v>
      </c>
      <c r="T736" s="45" t="s">
        <v>3514</v>
      </c>
      <c r="U736" s="45">
        <v>95.0</v>
      </c>
      <c r="V736" s="45">
        <v>2018.0</v>
      </c>
      <c r="W736" s="45">
        <v>83.0</v>
      </c>
      <c r="X736" s="45">
        <v>2022.0</v>
      </c>
      <c r="Y736" s="45">
        <v>8.5</v>
      </c>
      <c r="Z736" s="45">
        <v>80.0</v>
      </c>
      <c r="AA736" s="45">
        <v>2025.0</v>
      </c>
      <c r="AB736" s="45">
        <v>0.0</v>
      </c>
      <c r="AC736" s="45">
        <v>0.0</v>
      </c>
      <c r="AD736" s="45" t="s">
        <v>3922</v>
      </c>
      <c r="AE736" s="45" t="s">
        <v>3923</v>
      </c>
      <c r="AF736" s="45">
        <v>9.550636471E9</v>
      </c>
      <c r="AG736" s="45">
        <v>9.347881798E9</v>
      </c>
      <c r="AH736" s="45">
        <v>0.0</v>
      </c>
      <c r="AI736" s="45">
        <v>0.0</v>
      </c>
      <c r="AJ736" s="45"/>
      <c r="AK736" s="45" t="s">
        <v>3924</v>
      </c>
      <c r="AL736" s="45" t="s">
        <v>3925</v>
      </c>
      <c r="AM736" s="45">
        <v>8.97</v>
      </c>
      <c r="AN736" s="45">
        <v>8.29</v>
      </c>
      <c r="AO736" s="45">
        <v>8.18</v>
      </c>
      <c r="AP736" s="45">
        <v>0.0</v>
      </c>
      <c r="AQ736" s="45">
        <v>8.6</v>
      </c>
      <c r="AR736" s="45">
        <v>8.65</v>
      </c>
      <c r="AU736" s="45" t="s">
        <v>1011</v>
      </c>
      <c r="AX736" s="45" t="s">
        <v>1012</v>
      </c>
    </row>
    <row r="737">
      <c r="B737" s="45" t="s">
        <v>3926</v>
      </c>
      <c r="C737" s="45" t="s">
        <v>3927</v>
      </c>
      <c r="D737" s="45" t="s">
        <v>3928</v>
      </c>
      <c r="E737" s="45" t="s">
        <v>3929</v>
      </c>
      <c r="F737" s="45"/>
      <c r="G737" s="45">
        <v>0.0</v>
      </c>
      <c r="H737" s="125"/>
      <c r="I737" s="125"/>
      <c r="J737" s="119">
        <v>5.63496E11</v>
      </c>
      <c r="K737" s="45" t="s">
        <v>1003</v>
      </c>
      <c r="L737" s="45" t="s">
        <v>1003</v>
      </c>
      <c r="M737" s="45" t="s">
        <v>1003</v>
      </c>
      <c r="N737" s="45" t="s">
        <v>1003</v>
      </c>
      <c r="O737" s="45" t="s">
        <v>3930</v>
      </c>
      <c r="P737" s="45">
        <v>12000.0</v>
      </c>
      <c r="Q737" s="45">
        <v>1500.0</v>
      </c>
      <c r="R737" s="121">
        <v>37198.0</v>
      </c>
      <c r="S737" s="45" t="s">
        <v>46</v>
      </c>
      <c r="T737" s="45" t="s">
        <v>3514</v>
      </c>
      <c r="U737" s="45">
        <v>85.0</v>
      </c>
      <c r="V737" s="45">
        <v>2019.0</v>
      </c>
      <c r="W737" s="45">
        <v>68.0</v>
      </c>
      <c r="X737" s="45">
        <v>2022.0</v>
      </c>
      <c r="Y737" s="45">
        <v>7.6</v>
      </c>
      <c r="Z737" s="45">
        <v>71.0</v>
      </c>
      <c r="AA737" s="45">
        <v>2025.0</v>
      </c>
      <c r="AB737" s="45">
        <v>0.0</v>
      </c>
      <c r="AC737" s="45">
        <v>0.0</v>
      </c>
      <c r="AD737" s="45" t="s">
        <v>3931</v>
      </c>
      <c r="AE737" s="45" t="s">
        <v>3932</v>
      </c>
      <c r="AF737" s="45">
        <v>9.440262476E9</v>
      </c>
      <c r="AG737" s="45">
        <v>9.440262476E9</v>
      </c>
      <c r="AH737" s="45">
        <v>0.0</v>
      </c>
      <c r="AI737" s="45" t="s">
        <v>3525</v>
      </c>
      <c r="AJ737" s="45"/>
      <c r="AK737" s="45" t="s">
        <v>1715</v>
      </c>
      <c r="AL737" s="45" t="s">
        <v>3933</v>
      </c>
      <c r="AM737" s="45">
        <v>8.86</v>
      </c>
      <c r="AN737" s="45">
        <v>8.83</v>
      </c>
      <c r="AO737" s="45">
        <v>8.52</v>
      </c>
      <c r="AP737" s="45">
        <v>0.0</v>
      </c>
      <c r="AQ737" s="45">
        <v>8.81</v>
      </c>
      <c r="AR737" s="45">
        <v>8.68</v>
      </c>
      <c r="AU737" s="45" t="s">
        <v>1011</v>
      </c>
      <c r="AX737" s="45" t="s">
        <v>1028</v>
      </c>
    </row>
    <row r="738">
      <c r="B738" s="45" t="s">
        <v>3934</v>
      </c>
      <c r="C738" s="45" t="s">
        <v>3935</v>
      </c>
      <c r="D738" s="45" t="s">
        <v>3936</v>
      </c>
      <c r="E738" s="45" t="s">
        <v>3937</v>
      </c>
      <c r="F738" s="45"/>
      <c r="G738" s="45">
        <v>0.0</v>
      </c>
      <c r="H738" s="125"/>
      <c r="I738" s="125"/>
      <c r="J738" s="119">
        <v>8.24672E11</v>
      </c>
      <c r="K738" s="45" t="s">
        <v>1003</v>
      </c>
      <c r="L738" s="45" t="s">
        <v>1003</v>
      </c>
      <c r="M738" s="45" t="s">
        <v>1003</v>
      </c>
      <c r="N738" s="45" t="s">
        <v>1003</v>
      </c>
      <c r="O738" s="45" t="s">
        <v>3938</v>
      </c>
      <c r="P738" s="45">
        <v>0.0</v>
      </c>
      <c r="Q738" s="45">
        <v>0.0</v>
      </c>
      <c r="R738" s="121">
        <v>38087.0</v>
      </c>
      <c r="S738" s="45" t="s">
        <v>46</v>
      </c>
      <c r="T738" s="45" t="s">
        <v>3514</v>
      </c>
      <c r="U738" s="45">
        <v>95.0</v>
      </c>
      <c r="V738" s="45">
        <v>2019.0</v>
      </c>
      <c r="W738" s="45">
        <v>92.6</v>
      </c>
      <c r="X738" s="45">
        <v>2022.0</v>
      </c>
      <c r="Y738" s="45">
        <v>8.5</v>
      </c>
      <c r="Z738" s="45">
        <v>80.0</v>
      </c>
      <c r="AA738" s="45">
        <v>2025.0</v>
      </c>
      <c r="AB738" s="45">
        <v>0.0</v>
      </c>
      <c r="AC738" s="45">
        <v>0.0</v>
      </c>
      <c r="AD738" s="45" t="s">
        <v>3939</v>
      </c>
      <c r="AE738" s="45" t="s">
        <v>3940</v>
      </c>
      <c r="AF738" s="45">
        <v>6.302261799E9</v>
      </c>
      <c r="AG738" s="45">
        <v>7.095663513E9</v>
      </c>
      <c r="AH738" s="45" t="s">
        <v>237</v>
      </c>
      <c r="AI738" s="45">
        <v>0.0</v>
      </c>
      <c r="AJ738" s="45"/>
      <c r="AK738" s="45" t="s">
        <v>3941</v>
      </c>
      <c r="AL738" s="45" t="s">
        <v>3942</v>
      </c>
      <c r="AM738" s="45">
        <v>8.95</v>
      </c>
      <c r="AN738" s="45">
        <v>9.07</v>
      </c>
      <c r="AO738" s="45">
        <v>8.73</v>
      </c>
      <c r="AP738" s="45">
        <v>0.0</v>
      </c>
      <c r="AQ738" s="45">
        <v>8.8</v>
      </c>
      <c r="AR738" s="45">
        <v>8.74</v>
      </c>
      <c r="AU738" s="45" t="s">
        <v>1011</v>
      </c>
      <c r="AX738" s="45" t="s">
        <v>1012</v>
      </c>
    </row>
    <row r="739">
      <c r="B739" s="45" t="s">
        <v>3943</v>
      </c>
      <c r="C739" s="45" t="s">
        <v>3944</v>
      </c>
      <c r="D739" s="45" t="s">
        <v>3945</v>
      </c>
      <c r="E739" s="45" t="s">
        <v>3946</v>
      </c>
      <c r="F739" s="45"/>
      <c r="G739" s="45">
        <v>0.0</v>
      </c>
      <c r="H739" s="125"/>
      <c r="I739" s="125"/>
      <c r="J739" s="119">
        <v>9.22861E11</v>
      </c>
      <c r="K739" s="45" t="s">
        <v>1003</v>
      </c>
      <c r="L739" s="45" t="s">
        <v>1003</v>
      </c>
      <c r="M739" s="45">
        <v>26463.0</v>
      </c>
      <c r="N739" s="45">
        <v>33241.0</v>
      </c>
      <c r="O739" s="45" t="s">
        <v>3947</v>
      </c>
      <c r="P739" s="45">
        <v>0.0</v>
      </c>
      <c r="Q739" s="45">
        <v>0.0</v>
      </c>
      <c r="R739" s="45" t="s">
        <v>3948</v>
      </c>
      <c r="S739" s="45" t="s">
        <v>46</v>
      </c>
      <c r="T739" s="45" t="s">
        <v>3514</v>
      </c>
      <c r="U739" s="45">
        <v>93.0</v>
      </c>
      <c r="V739" s="45">
        <v>2019.0</v>
      </c>
      <c r="W739" s="45">
        <v>93.1</v>
      </c>
      <c r="X739" s="45">
        <v>2022.0</v>
      </c>
      <c r="Y739" s="45">
        <v>8.2</v>
      </c>
      <c r="Z739" s="45">
        <v>77.0</v>
      </c>
      <c r="AA739" s="45">
        <v>2025.0</v>
      </c>
      <c r="AB739" s="45">
        <v>0.0</v>
      </c>
      <c r="AC739" s="45">
        <v>0.0</v>
      </c>
      <c r="AD739" s="45" t="s">
        <v>3949</v>
      </c>
      <c r="AE739" s="45" t="s">
        <v>3950</v>
      </c>
      <c r="AF739" s="45">
        <v>8.185939403E9</v>
      </c>
      <c r="AG739" s="45">
        <v>9.908292635E9</v>
      </c>
      <c r="AH739" s="45">
        <v>0.0</v>
      </c>
      <c r="AI739" s="45" t="s">
        <v>3951</v>
      </c>
      <c r="AJ739" s="45"/>
      <c r="AK739" s="45" t="s">
        <v>3952</v>
      </c>
      <c r="AL739" s="45" t="s">
        <v>3953</v>
      </c>
      <c r="AM739" s="45">
        <v>7.43</v>
      </c>
      <c r="AN739" s="45">
        <v>7.56</v>
      </c>
      <c r="AO739" s="45">
        <v>7.55</v>
      </c>
      <c r="AP739" s="45">
        <v>0.0</v>
      </c>
      <c r="AQ739" s="45">
        <v>7.64</v>
      </c>
      <c r="AR739" s="45">
        <v>7.77</v>
      </c>
      <c r="AU739" s="45" t="s">
        <v>1011</v>
      </c>
      <c r="AX739" s="45" t="s">
        <v>1028</v>
      </c>
    </row>
    <row r="740">
      <c r="B740" s="45" t="s">
        <v>3954</v>
      </c>
      <c r="C740" s="45" t="s">
        <v>3955</v>
      </c>
      <c r="D740" s="45" t="s">
        <v>3956</v>
      </c>
      <c r="E740" s="45" t="s">
        <v>3957</v>
      </c>
      <c r="F740" s="45"/>
      <c r="G740" s="45">
        <v>0.0</v>
      </c>
      <c r="H740" s="125"/>
      <c r="I740" s="125"/>
      <c r="J740" s="119">
        <v>3.39067E11</v>
      </c>
      <c r="K740" s="45" t="s">
        <v>1003</v>
      </c>
      <c r="L740" s="45">
        <v>1218.0</v>
      </c>
      <c r="M740" s="45">
        <v>5144.0</v>
      </c>
      <c r="N740" s="45">
        <v>5399.0</v>
      </c>
      <c r="O740" s="45" t="s">
        <v>3958</v>
      </c>
      <c r="P740" s="45">
        <v>9266.0</v>
      </c>
      <c r="Q740" s="45">
        <v>1206.0</v>
      </c>
      <c r="R740" s="45" t="s">
        <v>3959</v>
      </c>
      <c r="S740" s="45" t="s">
        <v>60</v>
      </c>
      <c r="T740" s="45" t="s">
        <v>3719</v>
      </c>
      <c r="U740" s="45">
        <v>90.0</v>
      </c>
      <c r="V740" s="45">
        <v>2019.0</v>
      </c>
      <c r="W740" s="45">
        <v>85.0</v>
      </c>
      <c r="X740" s="45">
        <v>2022.0</v>
      </c>
      <c r="Y740" s="45">
        <v>8.1</v>
      </c>
      <c r="Z740" s="45">
        <v>76.0</v>
      </c>
      <c r="AA740" s="45">
        <v>2025.0</v>
      </c>
      <c r="AB740" s="45">
        <v>0.0</v>
      </c>
      <c r="AC740" s="45">
        <v>0.0</v>
      </c>
      <c r="AD740" s="45" t="s">
        <v>3960</v>
      </c>
      <c r="AE740" s="45" t="s">
        <v>3961</v>
      </c>
      <c r="AF740" s="45">
        <v>8.24721134E9</v>
      </c>
      <c r="AG740" s="45">
        <v>9.032604478E9</v>
      </c>
      <c r="AH740" s="45">
        <v>0.0</v>
      </c>
      <c r="AI740" s="45">
        <v>0.0</v>
      </c>
      <c r="AJ740" s="45"/>
      <c r="AK740" s="45" t="s">
        <v>3962</v>
      </c>
      <c r="AL740" s="45" t="s">
        <v>3963</v>
      </c>
      <c r="AM740" s="45">
        <v>9.35</v>
      </c>
      <c r="AN740" s="45">
        <v>9.12</v>
      </c>
      <c r="AO740" s="45">
        <v>8.77</v>
      </c>
      <c r="AP740" s="45">
        <v>0.0</v>
      </c>
      <c r="AQ740" s="45">
        <v>9.03</v>
      </c>
      <c r="AR740" s="45">
        <v>9.0</v>
      </c>
      <c r="AU740" s="45" t="s">
        <v>1011</v>
      </c>
      <c r="AX740" s="45" t="s">
        <v>1012</v>
      </c>
    </row>
    <row r="741">
      <c r="B741" s="45" t="s">
        <v>3964</v>
      </c>
      <c r="C741" s="45" t="s">
        <v>3965</v>
      </c>
      <c r="D741" s="45" t="s">
        <v>3966</v>
      </c>
      <c r="E741" s="45" t="s">
        <v>3967</v>
      </c>
      <c r="F741" s="45"/>
      <c r="G741" s="45">
        <v>0.0</v>
      </c>
      <c r="H741" s="125"/>
      <c r="I741" s="125"/>
      <c r="J741" s="119">
        <v>8.62654E11</v>
      </c>
      <c r="K741" s="45" t="s">
        <v>1003</v>
      </c>
      <c r="L741" s="45">
        <v>1233.0</v>
      </c>
      <c r="M741" s="45">
        <v>6603.0</v>
      </c>
      <c r="N741" s="45">
        <v>6725.0</v>
      </c>
      <c r="O741" s="45" t="s">
        <v>3044</v>
      </c>
      <c r="P741" s="45">
        <v>0.0</v>
      </c>
      <c r="Q741" s="45">
        <v>291.0</v>
      </c>
      <c r="R741" s="45" t="s">
        <v>3968</v>
      </c>
      <c r="S741" s="45" t="s">
        <v>60</v>
      </c>
      <c r="T741" s="45" t="s">
        <v>3719</v>
      </c>
      <c r="U741" s="45">
        <v>98.0</v>
      </c>
      <c r="V741" s="45">
        <v>2019.0</v>
      </c>
      <c r="W741" s="45">
        <v>94.0</v>
      </c>
      <c r="X741" s="45">
        <v>2022.0</v>
      </c>
      <c r="Y741" s="45">
        <v>8.4</v>
      </c>
      <c r="Z741" s="45">
        <v>79.0</v>
      </c>
      <c r="AA741" s="45">
        <v>2025.0</v>
      </c>
      <c r="AB741" s="45">
        <v>0.0</v>
      </c>
      <c r="AC741" s="45">
        <v>0.0</v>
      </c>
      <c r="AD741" s="45" t="s">
        <v>3969</v>
      </c>
      <c r="AE741" s="45" t="s">
        <v>3970</v>
      </c>
      <c r="AF741" s="45">
        <v>9.959438546E9</v>
      </c>
      <c r="AG741" s="45">
        <v>7.702318108E9</v>
      </c>
      <c r="AH741" s="45" t="s">
        <v>48</v>
      </c>
      <c r="AI741" s="45">
        <v>0.0</v>
      </c>
      <c r="AJ741" s="45"/>
      <c r="AK741" s="45" t="s">
        <v>3971</v>
      </c>
      <c r="AL741" s="45" t="s">
        <v>3972</v>
      </c>
      <c r="AM741" s="45">
        <v>8.92</v>
      </c>
      <c r="AN741" s="45">
        <v>8.73</v>
      </c>
      <c r="AO741" s="45">
        <v>8.59</v>
      </c>
      <c r="AP741" s="45">
        <v>0.0</v>
      </c>
      <c r="AQ741" s="45">
        <v>8.56</v>
      </c>
      <c r="AR741" s="45">
        <v>8.52</v>
      </c>
      <c r="AU741" s="45" t="s">
        <v>1011</v>
      </c>
      <c r="AX741" s="45" t="s">
        <v>1012</v>
      </c>
    </row>
    <row r="742">
      <c r="B742" s="45" t="s">
        <v>3973</v>
      </c>
      <c r="C742" s="45" t="s">
        <v>3974</v>
      </c>
      <c r="D742" s="45" t="s">
        <v>3975</v>
      </c>
      <c r="E742" s="45" t="s">
        <v>3976</v>
      </c>
      <c r="F742" s="45"/>
      <c r="G742" s="45">
        <v>0.0</v>
      </c>
      <c r="H742" s="125"/>
      <c r="I742" s="125"/>
      <c r="J742" s="119">
        <v>8.09315E11</v>
      </c>
      <c r="K742" s="45" t="s">
        <v>1003</v>
      </c>
      <c r="L742" s="45">
        <v>1058.0</v>
      </c>
      <c r="M742" s="45" t="s">
        <v>1003</v>
      </c>
      <c r="N742" s="45" t="s">
        <v>1003</v>
      </c>
      <c r="O742" s="45" t="s">
        <v>3977</v>
      </c>
      <c r="P742" s="45">
        <v>0.0</v>
      </c>
      <c r="Q742" s="45">
        <v>1619.0</v>
      </c>
      <c r="R742" s="45" t="s">
        <v>3978</v>
      </c>
      <c r="S742" s="45" t="s">
        <v>60</v>
      </c>
      <c r="T742" s="45" t="s">
        <v>3771</v>
      </c>
      <c r="U742" s="45">
        <v>92.0</v>
      </c>
      <c r="V742" s="45">
        <v>2019.0</v>
      </c>
      <c r="W742" s="45">
        <v>86.0</v>
      </c>
      <c r="X742" s="45">
        <v>2022.0</v>
      </c>
      <c r="Y742" s="45">
        <v>8.1</v>
      </c>
      <c r="Z742" s="45">
        <v>76.0</v>
      </c>
      <c r="AA742" s="45">
        <v>2025.0</v>
      </c>
      <c r="AB742" s="45">
        <v>0.0</v>
      </c>
      <c r="AC742" s="45">
        <v>0.0</v>
      </c>
      <c r="AD742" s="45" t="s">
        <v>3979</v>
      </c>
      <c r="AE742" s="45" t="s">
        <v>3980</v>
      </c>
      <c r="AF742" s="45">
        <v>8.790684471E9</v>
      </c>
      <c r="AG742" s="45">
        <v>9.492307503E9</v>
      </c>
      <c r="AH742" s="45" t="s">
        <v>440</v>
      </c>
      <c r="AI742" s="45" t="s">
        <v>440</v>
      </c>
      <c r="AJ742" s="45"/>
      <c r="AK742" s="45" t="s">
        <v>3981</v>
      </c>
      <c r="AL742" s="45" t="s">
        <v>3982</v>
      </c>
      <c r="AM742" s="45">
        <v>8.59</v>
      </c>
      <c r="AN742" s="45">
        <v>7.66</v>
      </c>
      <c r="AO742" s="45">
        <v>8.27</v>
      </c>
      <c r="AP742" s="45">
        <v>0.0</v>
      </c>
      <c r="AQ742" s="45">
        <v>8.36</v>
      </c>
      <c r="AR742" s="45">
        <v>8.38</v>
      </c>
      <c r="AU742" s="45" t="s">
        <v>1011</v>
      </c>
      <c r="AX742" s="45" t="s">
        <v>1028</v>
      </c>
    </row>
    <row r="743">
      <c r="B743" s="45" t="s">
        <v>3983</v>
      </c>
      <c r="C743" s="45" t="s">
        <v>3984</v>
      </c>
      <c r="D743" s="45" t="s">
        <v>3985</v>
      </c>
      <c r="E743" s="45" t="s">
        <v>3986</v>
      </c>
      <c r="F743" s="45"/>
      <c r="G743" s="45">
        <v>0.0</v>
      </c>
      <c r="H743" s="125"/>
      <c r="I743" s="125"/>
      <c r="J743" s="119">
        <v>2.1206E11</v>
      </c>
      <c r="K743" s="45" t="s">
        <v>1003</v>
      </c>
      <c r="L743" s="45">
        <v>1103.0</v>
      </c>
      <c r="M743" s="45" t="s">
        <v>1003</v>
      </c>
      <c r="N743" s="45" t="s">
        <v>1003</v>
      </c>
      <c r="O743" s="45" t="s">
        <v>3987</v>
      </c>
      <c r="P743" s="45">
        <v>0.0</v>
      </c>
      <c r="Q743" s="45">
        <v>1357.0</v>
      </c>
      <c r="R743" s="45" t="s">
        <v>3978</v>
      </c>
      <c r="S743" s="45" t="s">
        <v>46</v>
      </c>
      <c r="T743" s="45" t="s">
        <v>3771</v>
      </c>
      <c r="U743" s="45">
        <v>95.0</v>
      </c>
      <c r="V743" s="45">
        <v>2019.0</v>
      </c>
      <c r="W743" s="45">
        <v>82.0</v>
      </c>
      <c r="X743" s="45">
        <v>2022.0</v>
      </c>
      <c r="Y743" s="45">
        <v>7.9</v>
      </c>
      <c r="Z743" s="45">
        <v>74.0</v>
      </c>
      <c r="AA743" s="45">
        <v>2025.0</v>
      </c>
      <c r="AB743" s="45">
        <v>0.0</v>
      </c>
      <c r="AC743" s="45">
        <v>0.0</v>
      </c>
      <c r="AD743" s="45" t="s">
        <v>3988</v>
      </c>
      <c r="AE743" s="45" t="s">
        <v>3989</v>
      </c>
      <c r="AF743" s="45">
        <v>9.573768623E9</v>
      </c>
      <c r="AG743" s="45">
        <v>9.985584321E9</v>
      </c>
      <c r="AH743" s="45" t="s">
        <v>440</v>
      </c>
      <c r="AI743" s="45" t="s">
        <v>440</v>
      </c>
      <c r="AJ743" s="45"/>
      <c r="AK743" s="45" t="s">
        <v>3990</v>
      </c>
      <c r="AL743" s="45" t="s">
        <v>3991</v>
      </c>
      <c r="AM743" s="45">
        <v>8.7</v>
      </c>
      <c r="AN743" s="45">
        <v>8.71</v>
      </c>
      <c r="AO743" s="45">
        <v>8.2</v>
      </c>
      <c r="AP743" s="45">
        <v>0.0</v>
      </c>
      <c r="AQ743" s="45">
        <v>8.61</v>
      </c>
      <c r="AR743" s="45">
        <v>0.0</v>
      </c>
      <c r="AU743" s="45" t="s">
        <v>1011</v>
      </c>
      <c r="AX743" s="45" t="s">
        <v>1028</v>
      </c>
    </row>
    <row r="744">
      <c r="B744" s="45" t="s">
        <v>3992</v>
      </c>
      <c r="C744" s="45" t="s">
        <v>3090</v>
      </c>
      <c r="D744" s="45" t="s">
        <v>3993</v>
      </c>
      <c r="E744" s="45" t="s">
        <v>3994</v>
      </c>
      <c r="F744" s="45"/>
      <c r="G744" s="45">
        <v>0.0</v>
      </c>
      <c r="H744" s="125"/>
      <c r="I744" s="125"/>
      <c r="J744" s="119">
        <v>6.1661E11</v>
      </c>
      <c r="K744" s="45" t="s">
        <v>1003</v>
      </c>
      <c r="L744" s="45">
        <v>1016.0</v>
      </c>
      <c r="M744" s="45" t="s">
        <v>1003</v>
      </c>
      <c r="N744" s="45" t="s">
        <v>1003</v>
      </c>
      <c r="O744" s="45" t="s">
        <v>3995</v>
      </c>
      <c r="P744" s="45">
        <v>0.0</v>
      </c>
      <c r="Q744" s="45">
        <v>237.0</v>
      </c>
      <c r="R744" s="45" t="s">
        <v>3844</v>
      </c>
      <c r="S744" s="45" t="s">
        <v>46</v>
      </c>
      <c r="T744" s="45" t="s">
        <v>3819</v>
      </c>
      <c r="U744" s="45">
        <v>98.0</v>
      </c>
      <c r="V744" s="45">
        <v>2019.0</v>
      </c>
      <c r="W744" s="45">
        <v>83.5</v>
      </c>
      <c r="X744" s="45">
        <v>2022.0</v>
      </c>
      <c r="Y744" s="45">
        <v>0.0</v>
      </c>
      <c r="Z744" s="45">
        <v>-5.0</v>
      </c>
      <c r="AA744" s="45">
        <v>2025.0</v>
      </c>
      <c r="AB744" s="45">
        <v>1.0</v>
      </c>
      <c r="AC744" s="45">
        <v>1.0</v>
      </c>
      <c r="AD744" s="45" t="s">
        <v>3996</v>
      </c>
      <c r="AE744" s="45" t="s">
        <v>3997</v>
      </c>
      <c r="AF744" s="45">
        <v>7.995309025E9</v>
      </c>
      <c r="AG744" s="45">
        <v>9.573810652E9</v>
      </c>
      <c r="AH744" s="45">
        <v>0.0</v>
      </c>
      <c r="AI744" s="45">
        <v>0.0</v>
      </c>
      <c r="AJ744" s="45"/>
      <c r="AK744" s="45" t="s">
        <v>2021</v>
      </c>
      <c r="AL744" s="45" t="s">
        <v>2022</v>
      </c>
      <c r="AM744" s="45">
        <v>0.0</v>
      </c>
      <c r="AN744" s="45">
        <v>0.0</v>
      </c>
      <c r="AO744" s="45">
        <v>8.75</v>
      </c>
      <c r="AP744" s="45">
        <v>0.0</v>
      </c>
      <c r="AQ744" s="45">
        <v>8.98</v>
      </c>
      <c r="AR744" s="45">
        <v>8.94</v>
      </c>
      <c r="AU744" s="45" t="s">
        <v>1011</v>
      </c>
      <c r="AX744" s="45" t="s">
        <v>1028</v>
      </c>
    </row>
    <row r="745">
      <c r="H745" s="127"/>
      <c r="I745" s="127"/>
      <c r="AK745" s="45" t="s">
        <v>2049</v>
      </c>
      <c r="AL745" s="45" t="s">
        <v>2050</v>
      </c>
      <c r="AM745" s="45">
        <v>0.0</v>
      </c>
      <c r="AN745" s="45">
        <v>0.0</v>
      </c>
      <c r="AO745" s="45">
        <v>8.32</v>
      </c>
      <c r="AP745" s="45">
        <v>0.0</v>
      </c>
      <c r="AQ745" s="45">
        <v>8.54</v>
      </c>
      <c r="AR745" s="45">
        <v>8.67</v>
      </c>
      <c r="AU745" s="45" t="s">
        <v>1011</v>
      </c>
      <c r="AX745" s="45" t="s">
        <v>1028</v>
      </c>
    </row>
    <row r="746">
      <c r="H746" s="127"/>
      <c r="I746" s="127"/>
      <c r="AK746" s="45" t="s">
        <v>2523</v>
      </c>
      <c r="AL746" s="45" t="s">
        <v>2524</v>
      </c>
      <c r="AM746" s="45">
        <v>0.0</v>
      </c>
      <c r="AN746" s="45">
        <v>0.0</v>
      </c>
      <c r="AO746" s="45">
        <v>8.14</v>
      </c>
      <c r="AP746" s="45">
        <v>0.0</v>
      </c>
      <c r="AQ746" s="45">
        <v>8.66</v>
      </c>
      <c r="AR746" s="45">
        <v>8.74</v>
      </c>
      <c r="AU746" s="45" t="s">
        <v>1011</v>
      </c>
      <c r="AX746" s="45" t="s">
        <v>1028</v>
      </c>
    </row>
    <row r="747">
      <c r="H747" s="127"/>
      <c r="I747" s="127"/>
      <c r="AK747" s="45" t="s">
        <v>3452</v>
      </c>
      <c r="AL747" s="45" t="s">
        <v>3453</v>
      </c>
      <c r="AM747" s="45">
        <v>0.0</v>
      </c>
      <c r="AN747" s="45">
        <v>0.0</v>
      </c>
      <c r="AO747" s="45">
        <v>8.39</v>
      </c>
      <c r="AP747" s="45">
        <v>0.0</v>
      </c>
      <c r="AQ747" s="45">
        <v>8.41</v>
      </c>
      <c r="AR747" s="45">
        <v>8.49</v>
      </c>
      <c r="AU747" s="45" t="s">
        <v>1011</v>
      </c>
      <c r="AX747" s="45" t="s">
        <v>1012</v>
      </c>
    </row>
    <row r="748">
      <c r="H748" s="127"/>
      <c r="I748" s="127"/>
      <c r="AK748" s="45" t="s">
        <v>3459</v>
      </c>
      <c r="AL748" s="45" t="s">
        <v>3460</v>
      </c>
      <c r="AM748" s="45">
        <v>0.0</v>
      </c>
      <c r="AN748" s="45">
        <v>0.0</v>
      </c>
      <c r="AO748" s="45">
        <v>8.18</v>
      </c>
      <c r="AP748" s="45">
        <v>0.0</v>
      </c>
      <c r="AQ748" s="45">
        <v>7.98</v>
      </c>
      <c r="AR748" s="45">
        <v>8.11</v>
      </c>
      <c r="AU748" s="45" t="s">
        <v>1011</v>
      </c>
      <c r="AX748" s="45" t="s">
        <v>1012</v>
      </c>
    </row>
    <row r="749">
      <c r="H749" s="127"/>
      <c r="I749" s="127"/>
      <c r="AK749" s="45" t="s">
        <v>3998</v>
      </c>
      <c r="AL749" s="45" t="s">
        <v>3999</v>
      </c>
      <c r="AM749" s="45">
        <v>0.0</v>
      </c>
      <c r="AN749" s="45">
        <v>0.0</v>
      </c>
      <c r="AO749" s="45">
        <v>7.61</v>
      </c>
      <c r="AP749" s="45">
        <v>0.0</v>
      </c>
      <c r="AQ749" s="45">
        <v>8.17</v>
      </c>
      <c r="AR749" s="45">
        <v>8.28</v>
      </c>
      <c r="AU749" s="45" t="s">
        <v>1011</v>
      </c>
      <c r="AX749" s="45" t="s">
        <v>1012</v>
      </c>
    </row>
    <row r="750">
      <c r="H750" s="127"/>
      <c r="I750" s="127"/>
      <c r="AK750" s="45" t="s">
        <v>4000</v>
      </c>
      <c r="AL750" s="45" t="s">
        <v>4001</v>
      </c>
      <c r="AM750" s="45">
        <v>0.0</v>
      </c>
      <c r="AN750" s="45">
        <v>0.0</v>
      </c>
      <c r="AO750" s="45">
        <v>0.0</v>
      </c>
      <c r="AP750" s="45">
        <v>0.0</v>
      </c>
      <c r="AQ750" s="45">
        <v>7.38</v>
      </c>
      <c r="AR750" s="45">
        <v>7.43</v>
      </c>
      <c r="AU750" s="45" t="s">
        <v>1011</v>
      </c>
      <c r="AX750" s="45" t="s">
        <v>1012</v>
      </c>
    </row>
    <row r="751">
      <c r="H751" s="127"/>
      <c r="I751" s="127"/>
      <c r="AK751" s="45" t="s">
        <v>4002</v>
      </c>
      <c r="AL751" s="45" t="s">
        <v>4003</v>
      </c>
      <c r="AM751" s="45">
        <v>0.0</v>
      </c>
      <c r="AN751" s="45">
        <v>0.0</v>
      </c>
      <c r="AO751" s="45">
        <v>8.25</v>
      </c>
      <c r="AP751" s="45">
        <v>0.0</v>
      </c>
      <c r="AQ751" s="45">
        <v>8.34</v>
      </c>
      <c r="AR751" s="45">
        <v>8.39</v>
      </c>
      <c r="AU751" s="45" t="s">
        <v>1011</v>
      </c>
      <c r="AX751" s="45" t="s">
        <v>1012</v>
      </c>
    </row>
    <row r="752">
      <c r="H752" s="127"/>
      <c r="I752" s="127"/>
      <c r="AK752" s="45" t="s">
        <v>4004</v>
      </c>
      <c r="AL752" s="45" t="s">
        <v>4005</v>
      </c>
      <c r="AM752" s="45">
        <v>0.0</v>
      </c>
      <c r="AN752" s="45">
        <v>0.0</v>
      </c>
      <c r="AO752" s="45">
        <v>7.68</v>
      </c>
      <c r="AP752" s="45">
        <v>0.0</v>
      </c>
      <c r="AQ752" s="45">
        <v>8.04</v>
      </c>
      <c r="AR752" s="45">
        <v>8.04</v>
      </c>
      <c r="AU752" s="45" t="s">
        <v>1011</v>
      </c>
      <c r="AX752" s="45" t="s">
        <v>1028</v>
      </c>
    </row>
    <row r="753">
      <c r="H753" s="127"/>
      <c r="I753" s="127"/>
      <c r="AK753" s="45" t="s">
        <v>4006</v>
      </c>
      <c r="AL753" s="45" t="s">
        <v>4007</v>
      </c>
      <c r="AM753" s="45">
        <v>0.0</v>
      </c>
      <c r="AN753" s="45">
        <v>0.0</v>
      </c>
      <c r="AO753" s="45">
        <v>7.77</v>
      </c>
      <c r="AP753" s="45">
        <v>0.0</v>
      </c>
      <c r="AQ753" s="45">
        <v>7.89</v>
      </c>
      <c r="AR753" s="45">
        <v>7.96</v>
      </c>
      <c r="AU753" s="45" t="s">
        <v>1011</v>
      </c>
      <c r="AX753" s="45" t="s">
        <v>1012</v>
      </c>
    </row>
    <row r="754">
      <c r="H754" s="127"/>
      <c r="I754" s="127"/>
      <c r="AK754" s="45" t="s">
        <v>4008</v>
      </c>
      <c r="AL754" s="45" t="s">
        <v>4009</v>
      </c>
      <c r="AM754" s="45">
        <v>0.0</v>
      </c>
      <c r="AN754" s="45">
        <v>0.0</v>
      </c>
      <c r="AO754" s="45">
        <v>7.86</v>
      </c>
      <c r="AP754" s="45">
        <v>0.0</v>
      </c>
      <c r="AQ754" s="45">
        <v>8.26</v>
      </c>
      <c r="AR754" s="45">
        <v>8.3</v>
      </c>
      <c r="AU754" s="45" t="s">
        <v>1011</v>
      </c>
      <c r="AX754" s="45" t="s">
        <v>1012</v>
      </c>
    </row>
    <row r="755">
      <c r="H755" s="127"/>
      <c r="I755" s="127"/>
      <c r="AK755" s="45" t="s">
        <v>4010</v>
      </c>
      <c r="AL755" s="45" t="s">
        <v>4011</v>
      </c>
      <c r="AM755" s="45">
        <v>0.0</v>
      </c>
      <c r="AN755" s="45">
        <v>0.0</v>
      </c>
      <c r="AO755" s="45">
        <v>7.34</v>
      </c>
      <c r="AP755" s="45">
        <v>0.0</v>
      </c>
      <c r="AQ755" s="45">
        <v>7.82</v>
      </c>
      <c r="AR755" s="45">
        <v>8.04</v>
      </c>
      <c r="AU755" s="45" t="s">
        <v>1011</v>
      </c>
      <c r="AX755" s="45" t="s">
        <v>1012</v>
      </c>
    </row>
    <row r="756">
      <c r="H756" s="127"/>
      <c r="I756" s="127"/>
      <c r="AK756" s="45" t="s">
        <v>4012</v>
      </c>
      <c r="AL756" s="45" t="s">
        <v>4013</v>
      </c>
      <c r="AM756" s="45">
        <v>0.0</v>
      </c>
      <c r="AN756" s="45">
        <v>0.0</v>
      </c>
      <c r="AO756" s="45">
        <v>7.86</v>
      </c>
      <c r="AP756" s="45">
        <v>0.0</v>
      </c>
      <c r="AQ756" s="45">
        <v>7.85</v>
      </c>
      <c r="AR756" s="45">
        <v>7.87</v>
      </c>
      <c r="AU756" s="45" t="s">
        <v>1011</v>
      </c>
      <c r="AX756" s="45" t="s">
        <v>1012</v>
      </c>
    </row>
    <row r="757">
      <c r="H757" s="127"/>
      <c r="I757" s="127"/>
      <c r="AK757" s="45" t="s">
        <v>4014</v>
      </c>
      <c r="AL757" s="45" t="s">
        <v>4015</v>
      </c>
      <c r="AM757" s="45">
        <v>0.0</v>
      </c>
      <c r="AN757" s="45">
        <v>0.0</v>
      </c>
      <c r="AO757" s="45">
        <v>7.75</v>
      </c>
      <c r="AP757" s="45">
        <v>0.0</v>
      </c>
      <c r="AQ757" s="45">
        <v>7.3</v>
      </c>
      <c r="AR757" s="45">
        <v>0.0</v>
      </c>
      <c r="AU757" s="45" t="s">
        <v>1011</v>
      </c>
      <c r="AX757" s="45" t="s">
        <v>1012</v>
      </c>
    </row>
    <row r="758">
      <c r="H758" s="127"/>
      <c r="I758" s="127"/>
      <c r="AU758" s="45" t="s">
        <v>1011</v>
      </c>
    </row>
    <row r="759">
      <c r="H759" s="127"/>
      <c r="I759" s="127"/>
      <c r="AU759" s="45" t="s">
        <v>1011</v>
      </c>
    </row>
    <row r="760">
      <c r="H760" s="127"/>
      <c r="I760" s="127"/>
      <c r="AU760" s="45" t="s">
        <v>1011</v>
      </c>
    </row>
    <row r="761">
      <c r="H761" s="127"/>
      <c r="I761" s="127"/>
      <c r="AU761" s="45" t="s">
        <v>1011</v>
      </c>
    </row>
    <row r="762">
      <c r="H762" s="127"/>
      <c r="I762" s="127"/>
      <c r="AU762" s="45" t="s">
        <v>1011</v>
      </c>
    </row>
    <row r="763">
      <c r="H763" s="127"/>
      <c r="I763" s="127"/>
      <c r="AU763" s="45" t="s">
        <v>1011</v>
      </c>
    </row>
    <row r="764">
      <c r="H764" s="127"/>
      <c r="I764" s="127"/>
      <c r="AU764" s="45" t="s">
        <v>1011</v>
      </c>
    </row>
    <row r="765">
      <c r="H765" s="127"/>
      <c r="I765" s="127"/>
      <c r="AU765" s="45" t="s">
        <v>1011</v>
      </c>
    </row>
    <row r="766">
      <c r="H766" s="127"/>
      <c r="I766" s="127"/>
      <c r="AU766" s="45" t="s">
        <v>1011</v>
      </c>
    </row>
    <row r="767">
      <c r="H767" s="127"/>
      <c r="I767" s="127"/>
      <c r="AU767" s="45" t="s">
        <v>1011</v>
      </c>
    </row>
    <row r="768">
      <c r="H768" s="127"/>
      <c r="I768" s="127"/>
      <c r="AU768" s="45" t="s">
        <v>1011</v>
      </c>
    </row>
    <row r="769">
      <c r="H769" s="127"/>
      <c r="I769" s="127"/>
      <c r="AU769" s="45" t="s">
        <v>1011</v>
      </c>
    </row>
    <row r="770">
      <c r="H770" s="127"/>
      <c r="I770" s="127"/>
      <c r="AU770" s="45" t="s">
        <v>1011</v>
      </c>
    </row>
    <row r="771">
      <c r="H771" s="127"/>
      <c r="I771" s="127"/>
      <c r="AU771" s="45" t="s">
        <v>1011</v>
      </c>
    </row>
    <row r="772">
      <c r="H772" s="127"/>
      <c r="I772" s="127"/>
      <c r="AU772" s="45" t="s">
        <v>1011</v>
      </c>
    </row>
    <row r="773">
      <c r="H773" s="127"/>
      <c r="I773" s="127"/>
      <c r="AU773" s="45" t="s">
        <v>1011</v>
      </c>
    </row>
    <row r="774">
      <c r="H774" s="127"/>
      <c r="I774" s="127"/>
      <c r="AU774" s="45" t="s">
        <v>1011</v>
      </c>
    </row>
    <row r="775">
      <c r="H775" s="127"/>
      <c r="I775" s="127"/>
      <c r="AU775" s="45" t="s">
        <v>1011</v>
      </c>
    </row>
    <row r="776">
      <c r="H776" s="127"/>
      <c r="I776" s="127"/>
      <c r="AU776" s="45" t="s">
        <v>1011</v>
      </c>
    </row>
    <row r="777">
      <c r="H777" s="127"/>
      <c r="I777" s="127"/>
      <c r="AU777" s="45" t="s">
        <v>1011</v>
      </c>
    </row>
    <row r="778">
      <c r="H778" s="127"/>
      <c r="I778" s="127"/>
      <c r="AU778" s="45" t="s">
        <v>1011</v>
      </c>
    </row>
    <row r="779">
      <c r="H779" s="127"/>
      <c r="I779" s="127"/>
      <c r="AU779" s="45" t="s">
        <v>1011</v>
      </c>
    </row>
    <row r="780">
      <c r="H780" s="127"/>
      <c r="I780" s="127"/>
      <c r="AU780" s="45" t="s">
        <v>1011</v>
      </c>
    </row>
    <row r="781">
      <c r="H781" s="127"/>
      <c r="I781" s="127"/>
      <c r="AU781" s="45" t="s">
        <v>1011</v>
      </c>
    </row>
    <row r="782">
      <c r="H782" s="127"/>
      <c r="I782" s="127"/>
      <c r="AU782" s="45" t="s">
        <v>1011</v>
      </c>
    </row>
    <row r="783">
      <c r="H783" s="127"/>
      <c r="I783" s="127"/>
      <c r="AU783" s="45" t="s">
        <v>1011</v>
      </c>
    </row>
    <row r="784">
      <c r="H784" s="127"/>
      <c r="I784" s="127"/>
      <c r="AU784" s="45" t="s">
        <v>1011</v>
      </c>
    </row>
    <row r="785">
      <c r="H785" s="127"/>
      <c r="I785" s="127"/>
      <c r="AU785" s="45" t="s">
        <v>1011</v>
      </c>
    </row>
    <row r="786">
      <c r="H786" s="127"/>
      <c r="I786" s="127"/>
      <c r="AU786" s="45" t="s">
        <v>1011</v>
      </c>
    </row>
    <row r="787">
      <c r="H787" s="127"/>
      <c r="I787" s="127"/>
      <c r="AU787" s="45" t="s">
        <v>1011</v>
      </c>
    </row>
    <row r="788">
      <c r="H788" s="127"/>
      <c r="I788" s="127"/>
      <c r="AU788" s="45" t="s">
        <v>1011</v>
      </c>
    </row>
    <row r="789">
      <c r="H789" s="127"/>
      <c r="I789" s="127"/>
      <c r="AU789" s="45" t="s">
        <v>1011</v>
      </c>
    </row>
    <row r="790">
      <c r="H790" s="127"/>
      <c r="I790" s="127"/>
      <c r="AU790" s="45" t="s">
        <v>1011</v>
      </c>
    </row>
    <row r="791">
      <c r="H791" s="127"/>
      <c r="I791" s="127"/>
      <c r="AU791" s="45" t="s">
        <v>1011</v>
      </c>
    </row>
    <row r="792">
      <c r="H792" s="127"/>
      <c r="I792" s="127"/>
      <c r="AU792" s="45" t="s">
        <v>1011</v>
      </c>
    </row>
    <row r="793">
      <c r="H793" s="127"/>
      <c r="I793" s="127"/>
      <c r="AU793" s="45" t="s">
        <v>1011</v>
      </c>
    </row>
    <row r="794">
      <c r="H794" s="127"/>
      <c r="I794" s="127"/>
      <c r="AU794" s="45" t="s">
        <v>1011</v>
      </c>
    </row>
    <row r="795">
      <c r="H795" s="127"/>
      <c r="I795" s="127"/>
      <c r="AU795" s="45" t="s">
        <v>1011</v>
      </c>
    </row>
    <row r="796">
      <c r="H796" s="127"/>
      <c r="I796" s="127"/>
      <c r="AU796" s="45" t="s">
        <v>1011</v>
      </c>
    </row>
    <row r="797">
      <c r="H797" s="127"/>
      <c r="I797" s="127"/>
      <c r="AU797" s="45" t="s">
        <v>1011</v>
      </c>
    </row>
    <row r="798">
      <c r="H798" s="127"/>
      <c r="I798" s="127"/>
      <c r="AU798" s="45" t="s">
        <v>1011</v>
      </c>
    </row>
    <row r="799">
      <c r="H799" s="127"/>
      <c r="I799" s="127"/>
      <c r="AU799" s="45" t="s">
        <v>1011</v>
      </c>
    </row>
    <row r="800">
      <c r="H800" s="127"/>
      <c r="I800" s="127"/>
      <c r="AU800" s="45" t="s">
        <v>1011</v>
      </c>
    </row>
    <row r="801">
      <c r="H801" s="127"/>
      <c r="I801" s="127"/>
      <c r="AU801" s="45" t="s">
        <v>1011</v>
      </c>
    </row>
    <row r="802">
      <c r="H802" s="127"/>
      <c r="I802" s="127"/>
      <c r="AU802" s="45" t="s">
        <v>1011</v>
      </c>
    </row>
    <row r="803">
      <c r="H803" s="127"/>
      <c r="I803" s="127"/>
      <c r="AU803" s="45" t="s">
        <v>1011</v>
      </c>
    </row>
    <row r="804">
      <c r="H804" s="127"/>
      <c r="I804" s="127"/>
      <c r="AU804" s="45" t="s">
        <v>1011</v>
      </c>
    </row>
    <row r="805">
      <c r="H805" s="127"/>
      <c r="I805" s="127"/>
      <c r="AU805" s="45" t="s">
        <v>1011</v>
      </c>
    </row>
    <row r="806">
      <c r="H806" s="127"/>
      <c r="I806" s="127"/>
      <c r="AU806" s="45" t="s">
        <v>1011</v>
      </c>
    </row>
    <row r="807">
      <c r="H807" s="127"/>
      <c r="I807" s="127"/>
      <c r="AU807" s="45" t="s">
        <v>1011</v>
      </c>
    </row>
    <row r="808">
      <c r="H808" s="127"/>
      <c r="I808" s="127"/>
      <c r="AU808" s="45" t="s">
        <v>1011</v>
      </c>
    </row>
    <row r="809">
      <c r="H809" s="127"/>
      <c r="I809" s="127"/>
      <c r="AU809" s="45" t="s">
        <v>1011</v>
      </c>
    </row>
    <row r="810">
      <c r="H810" s="127"/>
      <c r="I810" s="127"/>
      <c r="AU810" s="45" t="s">
        <v>1011</v>
      </c>
    </row>
    <row r="811">
      <c r="H811" s="127"/>
      <c r="I811" s="127"/>
      <c r="AU811" s="45" t="s">
        <v>1011</v>
      </c>
    </row>
    <row r="812">
      <c r="H812" s="127"/>
      <c r="I812" s="127"/>
      <c r="AU812" s="45" t="s">
        <v>1011</v>
      </c>
    </row>
    <row r="813">
      <c r="H813" s="127"/>
      <c r="I813" s="127"/>
      <c r="AU813" s="45" t="s">
        <v>1011</v>
      </c>
    </row>
    <row r="814">
      <c r="H814" s="127"/>
      <c r="I814" s="127"/>
      <c r="AU814" s="45" t="s">
        <v>1011</v>
      </c>
    </row>
    <row r="815">
      <c r="H815" s="127"/>
      <c r="I815" s="127"/>
      <c r="AU815" s="45" t="s">
        <v>1011</v>
      </c>
    </row>
    <row r="816">
      <c r="H816" s="127"/>
      <c r="I816" s="127"/>
      <c r="AU816" s="45" t="s">
        <v>1011</v>
      </c>
    </row>
    <row r="817">
      <c r="H817" s="127"/>
      <c r="I817" s="127"/>
      <c r="AU817" s="45" t="s">
        <v>1011</v>
      </c>
    </row>
    <row r="818">
      <c r="H818" s="127"/>
      <c r="I818" s="127"/>
      <c r="AU818" s="45" t="s">
        <v>1011</v>
      </c>
    </row>
    <row r="819">
      <c r="H819" s="127"/>
      <c r="I819" s="127"/>
      <c r="AU819" s="45" t="s">
        <v>1011</v>
      </c>
    </row>
    <row r="820">
      <c r="H820" s="127"/>
      <c r="I820" s="127"/>
      <c r="AU820" s="45" t="s">
        <v>1011</v>
      </c>
    </row>
    <row r="821">
      <c r="H821" s="127"/>
      <c r="I821" s="127"/>
      <c r="AU821" s="45" t="s">
        <v>1011</v>
      </c>
    </row>
    <row r="822">
      <c r="H822" s="127"/>
      <c r="I822" s="127"/>
      <c r="AU822" s="45" t="s">
        <v>1011</v>
      </c>
    </row>
    <row r="823">
      <c r="H823" s="127"/>
      <c r="I823" s="127"/>
      <c r="AU823" s="45" t="s">
        <v>1011</v>
      </c>
    </row>
    <row r="824">
      <c r="H824" s="127"/>
      <c r="I824" s="127"/>
      <c r="AU824" s="45" t="s">
        <v>1011</v>
      </c>
    </row>
    <row r="825">
      <c r="H825" s="127"/>
      <c r="I825" s="127"/>
      <c r="AU825" s="45" t="s">
        <v>1011</v>
      </c>
    </row>
    <row r="826">
      <c r="H826" s="127"/>
      <c r="I826" s="127"/>
      <c r="AU826" s="45" t="s">
        <v>1011</v>
      </c>
    </row>
    <row r="827">
      <c r="H827" s="127"/>
      <c r="I827" s="127"/>
      <c r="AU827" s="45" t="s">
        <v>1011</v>
      </c>
    </row>
    <row r="828">
      <c r="H828" s="127"/>
      <c r="I828" s="127"/>
      <c r="AU828" s="45" t="s">
        <v>1011</v>
      </c>
    </row>
    <row r="829">
      <c r="H829" s="127"/>
      <c r="I829" s="127"/>
      <c r="AU829" s="45" t="s">
        <v>1011</v>
      </c>
    </row>
    <row r="830">
      <c r="H830" s="127"/>
      <c r="I830" s="127"/>
      <c r="AU830" s="45" t="s">
        <v>1011</v>
      </c>
    </row>
    <row r="831">
      <c r="H831" s="127"/>
      <c r="I831" s="127"/>
      <c r="AU831" s="45" t="s">
        <v>1011</v>
      </c>
    </row>
    <row r="832">
      <c r="H832" s="127"/>
      <c r="I832" s="127"/>
      <c r="AU832" s="45" t="s">
        <v>1011</v>
      </c>
    </row>
    <row r="833">
      <c r="H833" s="127"/>
      <c r="I833" s="127"/>
      <c r="AU833" s="45" t="s">
        <v>1011</v>
      </c>
    </row>
    <row r="834">
      <c r="H834" s="127"/>
      <c r="I834" s="127"/>
      <c r="AU834" s="45" t="s">
        <v>1011</v>
      </c>
    </row>
    <row r="835">
      <c r="H835" s="127"/>
      <c r="I835" s="127"/>
      <c r="AU835" s="45" t="s">
        <v>1011</v>
      </c>
    </row>
    <row r="836">
      <c r="H836" s="127"/>
      <c r="I836" s="127"/>
      <c r="AU836" s="45" t="s">
        <v>1011</v>
      </c>
    </row>
    <row r="837">
      <c r="H837" s="127"/>
      <c r="I837" s="127"/>
      <c r="AU837" s="45" t="s">
        <v>1011</v>
      </c>
    </row>
    <row r="838">
      <c r="H838" s="127"/>
      <c r="I838" s="127"/>
      <c r="AU838" s="45" t="s">
        <v>1011</v>
      </c>
    </row>
    <row r="839">
      <c r="H839" s="127"/>
      <c r="I839" s="127"/>
      <c r="AU839" s="45" t="s">
        <v>1011</v>
      </c>
    </row>
    <row r="840">
      <c r="H840" s="127"/>
      <c r="I840" s="127"/>
      <c r="AU840" s="45" t="s">
        <v>1011</v>
      </c>
    </row>
    <row r="841">
      <c r="H841" s="127"/>
      <c r="I841" s="127"/>
      <c r="AU841" s="45" t="s">
        <v>1011</v>
      </c>
    </row>
    <row r="842">
      <c r="H842" s="127"/>
      <c r="I842" s="127"/>
      <c r="AU842" s="45" t="s">
        <v>1011</v>
      </c>
    </row>
    <row r="843">
      <c r="H843" s="127"/>
      <c r="I843" s="127"/>
      <c r="AU843" s="45" t="s">
        <v>1011</v>
      </c>
    </row>
    <row r="844">
      <c r="H844" s="127"/>
      <c r="I844" s="127"/>
      <c r="AU844" s="45" t="s">
        <v>1011</v>
      </c>
    </row>
    <row r="845">
      <c r="H845" s="127"/>
      <c r="I845" s="127"/>
      <c r="AU845" s="45" t="s">
        <v>1011</v>
      </c>
    </row>
    <row r="846">
      <c r="H846" s="127"/>
      <c r="I846" s="127"/>
      <c r="AU846" s="45" t="s">
        <v>1011</v>
      </c>
    </row>
    <row r="847">
      <c r="H847" s="127"/>
      <c r="I847" s="127"/>
      <c r="AU847" s="45" t="s">
        <v>1011</v>
      </c>
    </row>
    <row r="848">
      <c r="H848" s="127"/>
      <c r="I848" s="127"/>
      <c r="AU848" s="45" t="s">
        <v>1011</v>
      </c>
    </row>
    <row r="849">
      <c r="H849" s="127"/>
      <c r="I849" s="127"/>
      <c r="AU849" s="45" t="s">
        <v>1011</v>
      </c>
    </row>
    <row r="850">
      <c r="H850" s="127"/>
      <c r="I850" s="127"/>
      <c r="AU850" s="45" t="s">
        <v>1011</v>
      </c>
    </row>
    <row r="851">
      <c r="H851" s="127"/>
      <c r="I851" s="127"/>
      <c r="AU851" s="45" t="s">
        <v>1011</v>
      </c>
    </row>
    <row r="852">
      <c r="H852" s="127"/>
      <c r="I852" s="127"/>
      <c r="AU852" s="45" t="s">
        <v>1011</v>
      </c>
    </row>
    <row r="853">
      <c r="H853" s="127"/>
      <c r="I853" s="127"/>
      <c r="AU853" s="45" t="s">
        <v>1011</v>
      </c>
    </row>
    <row r="854">
      <c r="H854" s="127"/>
      <c r="I854" s="127"/>
      <c r="AU854" s="45" t="s">
        <v>1011</v>
      </c>
    </row>
    <row r="855">
      <c r="H855" s="127"/>
      <c r="I855" s="127"/>
      <c r="AU855" s="45" t="s">
        <v>1011</v>
      </c>
    </row>
    <row r="856">
      <c r="H856" s="127"/>
      <c r="I856" s="127"/>
      <c r="AU856" s="45" t="s">
        <v>1011</v>
      </c>
    </row>
    <row r="857">
      <c r="H857" s="127"/>
      <c r="I857" s="127"/>
      <c r="AU857" s="45" t="s">
        <v>1011</v>
      </c>
    </row>
    <row r="858">
      <c r="H858" s="127"/>
      <c r="I858" s="127"/>
      <c r="AU858" s="45" t="s">
        <v>1011</v>
      </c>
    </row>
    <row r="859">
      <c r="H859" s="127"/>
      <c r="I859" s="127"/>
      <c r="AU859" s="45" t="s">
        <v>1011</v>
      </c>
    </row>
    <row r="860">
      <c r="H860" s="127"/>
      <c r="I860" s="127"/>
      <c r="AU860" s="45" t="s">
        <v>1011</v>
      </c>
    </row>
    <row r="861">
      <c r="H861" s="127"/>
      <c r="I861" s="127"/>
      <c r="AU861" s="45" t="s">
        <v>1011</v>
      </c>
    </row>
    <row r="862">
      <c r="H862" s="127"/>
      <c r="I862" s="127"/>
      <c r="AU862" s="45" t="s">
        <v>1011</v>
      </c>
    </row>
    <row r="863">
      <c r="H863" s="127"/>
      <c r="I863" s="127"/>
      <c r="AU863" s="45" t="s">
        <v>1011</v>
      </c>
    </row>
    <row r="864">
      <c r="H864" s="127"/>
      <c r="I864" s="127"/>
      <c r="AU864" s="45" t="s">
        <v>1011</v>
      </c>
    </row>
    <row r="865">
      <c r="H865" s="127"/>
      <c r="I865" s="127"/>
      <c r="AU865" s="45" t="s">
        <v>1011</v>
      </c>
    </row>
    <row r="866">
      <c r="H866" s="127"/>
      <c r="I866" s="127"/>
      <c r="AU866" s="45" t="s">
        <v>1011</v>
      </c>
    </row>
    <row r="867">
      <c r="H867" s="127"/>
      <c r="I867" s="127"/>
      <c r="AU867" s="45" t="s">
        <v>1011</v>
      </c>
    </row>
    <row r="868">
      <c r="H868" s="127"/>
      <c r="I868" s="127"/>
      <c r="AU868" s="45" t="s">
        <v>1011</v>
      </c>
    </row>
    <row r="869">
      <c r="H869" s="127"/>
      <c r="I869" s="127"/>
      <c r="AU869" s="45" t="s">
        <v>1011</v>
      </c>
    </row>
    <row r="870">
      <c r="H870" s="127"/>
      <c r="I870" s="127"/>
      <c r="AU870" s="45" t="s">
        <v>1011</v>
      </c>
    </row>
    <row r="871">
      <c r="H871" s="127"/>
      <c r="I871" s="127"/>
      <c r="AU871" s="45" t="s">
        <v>1011</v>
      </c>
    </row>
    <row r="872">
      <c r="H872" s="127"/>
      <c r="I872" s="127"/>
      <c r="AU872" s="45" t="s">
        <v>1011</v>
      </c>
    </row>
    <row r="873">
      <c r="H873" s="127"/>
      <c r="I873" s="127"/>
      <c r="AU873" s="45" t="s">
        <v>1011</v>
      </c>
    </row>
    <row r="874">
      <c r="H874" s="127"/>
      <c r="I874" s="127"/>
      <c r="AU874" s="45" t="s">
        <v>1011</v>
      </c>
    </row>
    <row r="875">
      <c r="H875" s="127"/>
      <c r="I875" s="127"/>
      <c r="AU875" s="45" t="s">
        <v>1011</v>
      </c>
    </row>
    <row r="876">
      <c r="H876" s="127"/>
      <c r="I876" s="127"/>
      <c r="AU876" s="45" t="s">
        <v>1011</v>
      </c>
    </row>
    <row r="877">
      <c r="H877" s="127"/>
      <c r="I877" s="127"/>
      <c r="AU877" s="45" t="s">
        <v>1011</v>
      </c>
    </row>
    <row r="878">
      <c r="H878" s="127"/>
      <c r="I878" s="127"/>
      <c r="AU878" s="45" t="s">
        <v>1011</v>
      </c>
    </row>
    <row r="879">
      <c r="H879" s="127"/>
      <c r="I879" s="127"/>
      <c r="AU879" s="45" t="s">
        <v>1011</v>
      </c>
    </row>
    <row r="880">
      <c r="H880" s="127"/>
      <c r="I880" s="127"/>
      <c r="AU880" s="45" t="s">
        <v>1011</v>
      </c>
    </row>
    <row r="881">
      <c r="H881" s="127"/>
      <c r="I881" s="127"/>
      <c r="AU881" s="45" t="s">
        <v>1011</v>
      </c>
    </row>
    <row r="882">
      <c r="H882" s="127"/>
      <c r="I882" s="127"/>
      <c r="AU882" s="45" t="s">
        <v>1011</v>
      </c>
    </row>
    <row r="883">
      <c r="H883" s="127"/>
      <c r="I883" s="127"/>
      <c r="AU883" s="45" t="s">
        <v>1011</v>
      </c>
    </row>
    <row r="884">
      <c r="H884" s="127"/>
      <c r="I884" s="127"/>
      <c r="AU884" s="45" t="s">
        <v>1011</v>
      </c>
    </row>
    <row r="885">
      <c r="H885" s="127"/>
      <c r="I885" s="127"/>
      <c r="AU885" s="45" t="s">
        <v>1011</v>
      </c>
    </row>
    <row r="886">
      <c r="H886" s="127"/>
      <c r="I886" s="127"/>
      <c r="AU886" s="45" t="s">
        <v>1011</v>
      </c>
    </row>
    <row r="887">
      <c r="H887" s="127"/>
      <c r="I887" s="127"/>
      <c r="AU887" s="45" t="s">
        <v>1011</v>
      </c>
    </row>
    <row r="888">
      <c r="H888" s="127"/>
      <c r="I888" s="127"/>
      <c r="AU888" s="45" t="s">
        <v>1011</v>
      </c>
    </row>
    <row r="889">
      <c r="H889" s="127"/>
      <c r="I889" s="127"/>
      <c r="AU889" s="45" t="s">
        <v>1011</v>
      </c>
    </row>
    <row r="890">
      <c r="H890" s="127"/>
      <c r="I890" s="127"/>
      <c r="AU890" s="45" t="s">
        <v>1011</v>
      </c>
    </row>
    <row r="891">
      <c r="H891" s="127"/>
      <c r="I891" s="127"/>
      <c r="AU891" s="45" t="s">
        <v>1011</v>
      </c>
    </row>
    <row r="892">
      <c r="H892" s="127"/>
      <c r="I892" s="127"/>
      <c r="AU892" s="45" t="s">
        <v>1011</v>
      </c>
    </row>
    <row r="893">
      <c r="H893" s="127"/>
      <c r="I893" s="127"/>
      <c r="AU893" s="45" t="s">
        <v>1011</v>
      </c>
    </row>
    <row r="894">
      <c r="H894" s="127"/>
      <c r="I894" s="127"/>
      <c r="AU894" s="45" t="s">
        <v>1011</v>
      </c>
    </row>
    <row r="895">
      <c r="H895" s="127"/>
      <c r="I895" s="127"/>
      <c r="AU895" s="45" t="s">
        <v>1011</v>
      </c>
    </row>
    <row r="896">
      <c r="H896" s="127"/>
      <c r="I896" s="127"/>
      <c r="AU896" s="45" t="s">
        <v>1011</v>
      </c>
    </row>
    <row r="897">
      <c r="H897" s="127"/>
      <c r="I897" s="127"/>
      <c r="AU897" s="45" t="s">
        <v>1011</v>
      </c>
    </row>
    <row r="898">
      <c r="H898" s="127"/>
      <c r="I898" s="127"/>
      <c r="AU898" s="45" t="s">
        <v>1011</v>
      </c>
    </row>
    <row r="899">
      <c r="H899" s="127"/>
      <c r="I899" s="127"/>
      <c r="AU899" s="45" t="s">
        <v>1011</v>
      </c>
    </row>
    <row r="900">
      <c r="H900" s="127"/>
      <c r="I900" s="127"/>
      <c r="AU900" s="45" t="s">
        <v>1011</v>
      </c>
    </row>
    <row r="901">
      <c r="H901" s="127"/>
      <c r="I901" s="127"/>
      <c r="AU901" s="45" t="s">
        <v>1011</v>
      </c>
    </row>
    <row r="902">
      <c r="H902" s="127"/>
      <c r="I902" s="127"/>
      <c r="AU902" s="45" t="s">
        <v>1011</v>
      </c>
    </row>
    <row r="903">
      <c r="H903" s="127"/>
      <c r="I903" s="127"/>
      <c r="AU903" s="45" t="s">
        <v>1011</v>
      </c>
    </row>
    <row r="904">
      <c r="H904" s="127"/>
      <c r="I904" s="127"/>
      <c r="AU904" s="45" t="s">
        <v>1011</v>
      </c>
    </row>
    <row r="905">
      <c r="H905" s="127"/>
      <c r="I905" s="127"/>
      <c r="AU905" s="45" t="s">
        <v>1011</v>
      </c>
    </row>
    <row r="906">
      <c r="H906" s="127"/>
      <c r="I906" s="127"/>
      <c r="AU906" s="45" t="s">
        <v>1011</v>
      </c>
    </row>
    <row r="907">
      <c r="H907" s="127"/>
      <c r="I907" s="127"/>
      <c r="AU907" s="45" t="s">
        <v>1011</v>
      </c>
    </row>
    <row r="908">
      <c r="H908" s="127"/>
      <c r="I908" s="127"/>
      <c r="AU908" s="45" t="s">
        <v>1011</v>
      </c>
    </row>
    <row r="909">
      <c r="H909" s="127"/>
      <c r="I909" s="127"/>
      <c r="AU909" s="45" t="s">
        <v>1011</v>
      </c>
    </row>
    <row r="910">
      <c r="H910" s="127"/>
      <c r="I910" s="127"/>
      <c r="AU910" s="45" t="s">
        <v>1011</v>
      </c>
    </row>
    <row r="911">
      <c r="H911" s="127"/>
      <c r="I911" s="127"/>
      <c r="AU911" s="45" t="s">
        <v>1011</v>
      </c>
    </row>
    <row r="912">
      <c r="H912" s="127"/>
      <c r="I912" s="127"/>
      <c r="AU912" s="45" t="s">
        <v>1011</v>
      </c>
    </row>
    <row r="913">
      <c r="H913" s="127"/>
      <c r="I913" s="127"/>
      <c r="AU913" s="45" t="s">
        <v>1011</v>
      </c>
    </row>
    <row r="914">
      <c r="H914" s="127"/>
      <c r="I914" s="127"/>
      <c r="AU914" s="45" t="s">
        <v>1011</v>
      </c>
    </row>
    <row r="915">
      <c r="H915" s="127"/>
      <c r="I915" s="127"/>
      <c r="AU915" s="45" t="s">
        <v>1011</v>
      </c>
    </row>
    <row r="916">
      <c r="H916" s="127"/>
      <c r="I916" s="127"/>
      <c r="AU916" s="45" t="s">
        <v>1011</v>
      </c>
    </row>
    <row r="917">
      <c r="H917" s="127"/>
      <c r="I917" s="127"/>
      <c r="AU917" s="45" t="s">
        <v>1011</v>
      </c>
    </row>
    <row r="918">
      <c r="H918" s="127"/>
      <c r="I918" s="127"/>
      <c r="AU918" s="45" t="s">
        <v>1011</v>
      </c>
    </row>
    <row r="919">
      <c r="H919" s="127"/>
      <c r="I919" s="127"/>
      <c r="AU919" s="45" t="s">
        <v>1011</v>
      </c>
    </row>
    <row r="920">
      <c r="H920" s="127"/>
      <c r="I920" s="127"/>
      <c r="AU920" s="45" t="s">
        <v>1011</v>
      </c>
    </row>
    <row r="921">
      <c r="H921" s="127"/>
      <c r="I921" s="127"/>
      <c r="AU921" s="45" t="s">
        <v>1011</v>
      </c>
    </row>
    <row r="922">
      <c r="H922" s="127"/>
      <c r="I922" s="127"/>
      <c r="AU922" s="45" t="s">
        <v>1011</v>
      </c>
    </row>
    <row r="923">
      <c r="H923" s="127"/>
      <c r="I923" s="127"/>
      <c r="AU923" s="45" t="s">
        <v>1011</v>
      </c>
    </row>
    <row r="924">
      <c r="H924" s="127"/>
      <c r="I924" s="127"/>
      <c r="AU924" s="45" t="s">
        <v>1011</v>
      </c>
    </row>
    <row r="925">
      <c r="H925" s="127"/>
      <c r="I925" s="127"/>
      <c r="AU925" s="45" t="s">
        <v>1011</v>
      </c>
    </row>
    <row r="926">
      <c r="H926" s="127"/>
      <c r="I926" s="127"/>
      <c r="AU926" s="45" t="s">
        <v>1011</v>
      </c>
    </row>
    <row r="927">
      <c r="H927" s="127"/>
      <c r="I927" s="127"/>
      <c r="AU927" s="45" t="s">
        <v>1011</v>
      </c>
    </row>
    <row r="928">
      <c r="H928" s="127"/>
      <c r="I928" s="127"/>
      <c r="AU928" s="45" t="s">
        <v>1011</v>
      </c>
    </row>
    <row r="929">
      <c r="H929" s="127"/>
      <c r="I929" s="127"/>
      <c r="AU929" s="45" t="s">
        <v>1011</v>
      </c>
    </row>
    <row r="930">
      <c r="H930" s="127"/>
      <c r="I930" s="127"/>
      <c r="AU930" s="45" t="s">
        <v>1011</v>
      </c>
    </row>
    <row r="931">
      <c r="H931" s="127"/>
      <c r="I931" s="127"/>
      <c r="AU931" s="45" t="s">
        <v>1011</v>
      </c>
    </row>
    <row r="932">
      <c r="H932" s="127"/>
      <c r="I932" s="127"/>
      <c r="AU932" s="45" t="s">
        <v>1011</v>
      </c>
    </row>
    <row r="933">
      <c r="H933" s="127"/>
      <c r="I933" s="127"/>
      <c r="AU933" s="45" t="s">
        <v>1011</v>
      </c>
    </row>
    <row r="934">
      <c r="H934" s="127"/>
      <c r="I934" s="127"/>
      <c r="AU934" s="45" t="s">
        <v>1011</v>
      </c>
    </row>
    <row r="935">
      <c r="H935" s="127"/>
      <c r="I935" s="127"/>
      <c r="AU935" s="45" t="s">
        <v>1011</v>
      </c>
    </row>
    <row r="936">
      <c r="H936" s="127"/>
      <c r="I936" s="127"/>
      <c r="AU936" s="45" t="s">
        <v>1011</v>
      </c>
    </row>
    <row r="937">
      <c r="H937" s="127"/>
      <c r="I937" s="127"/>
      <c r="AU937" s="45" t="s">
        <v>1011</v>
      </c>
    </row>
    <row r="938">
      <c r="H938" s="127"/>
      <c r="I938" s="127"/>
      <c r="AU938" s="45" t="s">
        <v>1011</v>
      </c>
    </row>
    <row r="939">
      <c r="H939" s="127"/>
      <c r="I939" s="127"/>
      <c r="AU939" s="45" t="s">
        <v>1011</v>
      </c>
    </row>
    <row r="940">
      <c r="H940" s="127"/>
      <c r="I940" s="127"/>
      <c r="AU940" s="45" t="s">
        <v>1011</v>
      </c>
    </row>
    <row r="941">
      <c r="H941" s="127"/>
      <c r="I941" s="127"/>
      <c r="AU941" s="45" t="s">
        <v>1011</v>
      </c>
    </row>
    <row r="942">
      <c r="H942" s="127"/>
      <c r="I942" s="127"/>
      <c r="AU942" s="45" t="s">
        <v>1011</v>
      </c>
    </row>
    <row r="943">
      <c r="H943" s="127"/>
      <c r="I943" s="127"/>
      <c r="AU943" s="45" t="s">
        <v>1011</v>
      </c>
    </row>
    <row r="944">
      <c r="H944" s="127"/>
      <c r="I944" s="127"/>
      <c r="AU944" s="45" t="s">
        <v>1011</v>
      </c>
    </row>
    <row r="945">
      <c r="H945" s="127"/>
      <c r="I945" s="127"/>
      <c r="AU945" s="45" t="s">
        <v>1011</v>
      </c>
    </row>
    <row r="946">
      <c r="H946" s="127"/>
      <c r="I946" s="127"/>
      <c r="AU946" s="45" t="s">
        <v>1011</v>
      </c>
    </row>
    <row r="947">
      <c r="H947" s="127"/>
      <c r="I947" s="127"/>
      <c r="AU947" s="45" t="s">
        <v>1011</v>
      </c>
    </row>
    <row r="948">
      <c r="H948" s="127"/>
      <c r="I948" s="127"/>
      <c r="AU948" s="45" t="s">
        <v>1011</v>
      </c>
    </row>
    <row r="949">
      <c r="H949" s="127"/>
      <c r="I949" s="127"/>
      <c r="AU949" s="45" t="s">
        <v>1011</v>
      </c>
    </row>
    <row r="950">
      <c r="H950" s="127"/>
      <c r="I950" s="127"/>
      <c r="AU950" s="45" t="s">
        <v>1011</v>
      </c>
    </row>
    <row r="951">
      <c r="H951" s="127"/>
      <c r="I951" s="127"/>
      <c r="AU951" s="45" t="s">
        <v>1011</v>
      </c>
    </row>
    <row r="952">
      <c r="H952" s="127"/>
      <c r="I952" s="127"/>
      <c r="AU952" s="45" t="s">
        <v>1011</v>
      </c>
    </row>
    <row r="953">
      <c r="H953" s="127"/>
      <c r="I953" s="127"/>
      <c r="AU953" s="45" t="s">
        <v>1011</v>
      </c>
    </row>
    <row r="954">
      <c r="H954" s="127"/>
      <c r="I954" s="127"/>
      <c r="AU954" s="45" t="s">
        <v>1011</v>
      </c>
    </row>
    <row r="955">
      <c r="H955" s="127"/>
      <c r="I955" s="127"/>
      <c r="AU955" s="45" t="s">
        <v>1011</v>
      </c>
    </row>
    <row r="956">
      <c r="H956" s="127"/>
      <c r="I956" s="127"/>
      <c r="AU956" s="45" t="s">
        <v>1011</v>
      </c>
    </row>
    <row r="957">
      <c r="H957" s="127"/>
      <c r="I957" s="127"/>
      <c r="AU957" s="45" t="s">
        <v>1011</v>
      </c>
    </row>
    <row r="958">
      <c r="H958" s="127"/>
      <c r="I958" s="127"/>
      <c r="AU958" s="45" t="s">
        <v>1011</v>
      </c>
    </row>
    <row r="959">
      <c r="H959" s="127"/>
      <c r="I959" s="127"/>
      <c r="AU959" s="45" t="s">
        <v>1011</v>
      </c>
    </row>
    <row r="960">
      <c r="H960" s="127"/>
      <c r="I960" s="127"/>
      <c r="AU960" s="45" t="s">
        <v>1011</v>
      </c>
    </row>
    <row r="961">
      <c r="H961" s="127"/>
      <c r="I961" s="127"/>
      <c r="AU961" s="45" t="s">
        <v>1011</v>
      </c>
    </row>
    <row r="962">
      <c r="H962" s="127"/>
      <c r="I962" s="127"/>
      <c r="AU962" s="45" t="s">
        <v>1011</v>
      </c>
    </row>
    <row r="963">
      <c r="H963" s="127"/>
      <c r="I963" s="127"/>
      <c r="AU963" s="45" t="s">
        <v>1011</v>
      </c>
    </row>
    <row r="964">
      <c r="H964" s="127"/>
      <c r="I964" s="127"/>
      <c r="AU964" s="45" t="s">
        <v>1011</v>
      </c>
    </row>
    <row r="965">
      <c r="H965" s="127"/>
      <c r="I965" s="127"/>
      <c r="AU965" s="45" t="s">
        <v>1011</v>
      </c>
    </row>
    <row r="966">
      <c r="H966" s="127"/>
      <c r="I966" s="127"/>
      <c r="AU966" s="45" t="s">
        <v>1011</v>
      </c>
    </row>
    <row r="967">
      <c r="H967" s="127"/>
      <c r="I967" s="127"/>
      <c r="AU967" s="45" t="s">
        <v>1011</v>
      </c>
    </row>
    <row r="968">
      <c r="H968" s="127"/>
      <c r="I968" s="127"/>
      <c r="AU968" s="45" t="s">
        <v>1011</v>
      </c>
    </row>
    <row r="969">
      <c r="H969" s="127"/>
      <c r="I969" s="127"/>
      <c r="AU969" s="45" t="s">
        <v>1011</v>
      </c>
    </row>
    <row r="970">
      <c r="H970" s="127"/>
      <c r="I970" s="127"/>
      <c r="AU970" s="45" t="s">
        <v>1011</v>
      </c>
    </row>
    <row r="971">
      <c r="H971" s="127"/>
      <c r="I971" s="127"/>
      <c r="AU971" s="45" t="s">
        <v>1011</v>
      </c>
    </row>
    <row r="972">
      <c r="H972" s="127"/>
      <c r="I972" s="127"/>
      <c r="AU972" s="45" t="s">
        <v>1011</v>
      </c>
    </row>
    <row r="973">
      <c r="H973" s="127"/>
      <c r="I973" s="127"/>
      <c r="AU973" s="45" t="s">
        <v>1011</v>
      </c>
    </row>
    <row r="974">
      <c r="H974" s="127"/>
      <c r="I974" s="127"/>
      <c r="AU974" s="45" t="s">
        <v>1011</v>
      </c>
    </row>
    <row r="975">
      <c r="H975" s="127"/>
      <c r="I975" s="127"/>
      <c r="AU975" s="45" t="s">
        <v>1011</v>
      </c>
    </row>
    <row r="976">
      <c r="H976" s="127"/>
      <c r="I976" s="127"/>
      <c r="AU976" s="45" t="s">
        <v>1011</v>
      </c>
    </row>
    <row r="977">
      <c r="H977" s="127"/>
      <c r="I977" s="127"/>
      <c r="AU977" s="45" t="s">
        <v>1011</v>
      </c>
    </row>
    <row r="978">
      <c r="H978" s="127"/>
      <c r="I978" s="127"/>
      <c r="AU978" s="45" t="s">
        <v>1011</v>
      </c>
    </row>
    <row r="979">
      <c r="H979" s="127"/>
      <c r="I979" s="127"/>
      <c r="AU979" s="45" t="s">
        <v>1011</v>
      </c>
    </row>
    <row r="980">
      <c r="H980" s="127"/>
      <c r="I980" s="127"/>
      <c r="AU980" s="45" t="s">
        <v>1011</v>
      </c>
    </row>
    <row r="981">
      <c r="H981" s="127"/>
      <c r="I981" s="127"/>
      <c r="AU981" s="45" t="s">
        <v>1011</v>
      </c>
    </row>
    <row r="982">
      <c r="H982" s="127"/>
      <c r="I982" s="127"/>
      <c r="AU982" s="45" t="s">
        <v>1011</v>
      </c>
    </row>
    <row r="983">
      <c r="H983" s="127"/>
      <c r="I983" s="127"/>
      <c r="AU983" s="45" t="s">
        <v>1011</v>
      </c>
    </row>
    <row r="984">
      <c r="H984" s="127"/>
      <c r="I984" s="127"/>
      <c r="AU984" s="45" t="s">
        <v>1011</v>
      </c>
    </row>
    <row r="985">
      <c r="H985" s="127"/>
      <c r="I985" s="127"/>
      <c r="AU985" s="45" t="s">
        <v>1011</v>
      </c>
    </row>
    <row r="986">
      <c r="H986" s="127"/>
      <c r="I986" s="127"/>
      <c r="AU986" s="45" t="s">
        <v>1011</v>
      </c>
    </row>
    <row r="987">
      <c r="H987" s="127"/>
      <c r="I987" s="127"/>
      <c r="AU987" s="45" t="s">
        <v>1011</v>
      </c>
    </row>
    <row r="988">
      <c r="H988" s="127"/>
      <c r="I988" s="127"/>
      <c r="AU988" s="45" t="s">
        <v>1011</v>
      </c>
    </row>
    <row r="989">
      <c r="H989" s="127"/>
      <c r="I989" s="127"/>
      <c r="AU989" s="45" t="s">
        <v>1011</v>
      </c>
    </row>
    <row r="990">
      <c r="H990" s="127"/>
      <c r="I990" s="127"/>
      <c r="AU990" s="45" t="s">
        <v>1011</v>
      </c>
    </row>
    <row r="991">
      <c r="H991" s="127"/>
      <c r="I991" s="127"/>
      <c r="AU991" s="45" t="s">
        <v>1011</v>
      </c>
    </row>
    <row r="992">
      <c r="H992" s="127"/>
      <c r="I992" s="127"/>
      <c r="AU992" s="45" t="s">
        <v>1011</v>
      </c>
    </row>
    <row r="993">
      <c r="H993" s="127"/>
      <c r="I993" s="127"/>
      <c r="AU993" s="45" t="s">
        <v>1011</v>
      </c>
    </row>
    <row r="994">
      <c r="H994" s="127"/>
      <c r="I994" s="127"/>
      <c r="AU994" s="45" t="s">
        <v>1011</v>
      </c>
    </row>
    <row r="995">
      <c r="H995" s="127"/>
      <c r="I995" s="127"/>
      <c r="AU995" s="45" t="s">
        <v>1011</v>
      </c>
    </row>
    <row r="996">
      <c r="H996" s="127"/>
      <c r="I996" s="127"/>
      <c r="AU996" s="45" t="s">
        <v>1011</v>
      </c>
    </row>
    <row r="997">
      <c r="H997" s="127"/>
      <c r="I997" s="127"/>
      <c r="AU997" s="45" t="s">
        <v>1011</v>
      </c>
    </row>
    <row r="998">
      <c r="H998" s="127"/>
      <c r="I998" s="127"/>
      <c r="AU998" s="45" t="s">
        <v>1011</v>
      </c>
    </row>
    <row r="999">
      <c r="H999" s="127"/>
      <c r="I999" s="127"/>
      <c r="AU999" s="45" t="s">
        <v>1011</v>
      </c>
    </row>
    <row r="1000">
      <c r="H1000" s="127"/>
      <c r="I1000" s="127"/>
      <c r="AU1000" s="45" t="s">
        <v>1011</v>
      </c>
    </row>
    <row r="1001">
      <c r="H1001" s="127"/>
      <c r="I1001" s="127"/>
      <c r="AU1001" s="45" t="s">
        <v>1011</v>
      </c>
    </row>
    <row r="1002">
      <c r="H1002" s="127"/>
      <c r="I1002" s="127"/>
      <c r="AU1002" s="45" t="s">
        <v>1011</v>
      </c>
    </row>
    <row r="1003">
      <c r="H1003" s="127"/>
      <c r="I1003" s="127"/>
      <c r="AU1003" s="45" t="s">
        <v>1011</v>
      </c>
    </row>
    <row r="1004">
      <c r="H1004" s="127"/>
      <c r="I1004" s="127"/>
      <c r="AU1004" s="45" t="s">
        <v>1011</v>
      </c>
    </row>
    <row r="1005">
      <c r="H1005" s="127"/>
      <c r="I1005" s="127"/>
      <c r="AU1005" s="45" t="s">
        <v>1011</v>
      </c>
    </row>
    <row r="1006">
      <c r="H1006" s="127"/>
      <c r="I1006" s="127"/>
      <c r="AU1006" s="45" t="s">
        <v>1011</v>
      </c>
    </row>
    <row r="1007">
      <c r="H1007" s="127"/>
      <c r="I1007" s="127"/>
      <c r="AU1007" s="45" t="s">
        <v>1011</v>
      </c>
    </row>
    <row r="1008">
      <c r="H1008" s="127"/>
      <c r="I1008" s="127"/>
      <c r="AU1008" s="45" t="s">
        <v>1011</v>
      </c>
    </row>
    <row r="1009">
      <c r="H1009" s="127"/>
      <c r="I1009" s="127"/>
      <c r="AU1009" s="45" t="s">
        <v>1011</v>
      </c>
    </row>
    <row r="1010">
      <c r="H1010" s="127"/>
      <c r="I1010" s="127"/>
      <c r="AU1010" s="45" t="s">
        <v>1011</v>
      </c>
    </row>
    <row r="1011">
      <c r="H1011" s="127"/>
      <c r="I1011" s="127"/>
      <c r="AU1011" s="45" t="s">
        <v>1011</v>
      </c>
    </row>
    <row r="1012">
      <c r="H1012" s="127"/>
      <c r="I1012" s="127"/>
      <c r="AU1012" s="45" t="s">
        <v>1011</v>
      </c>
    </row>
    <row r="1013">
      <c r="H1013" s="127"/>
      <c r="I1013" s="127"/>
      <c r="AU1013" s="45" t="s">
        <v>1011</v>
      </c>
    </row>
    <row r="1014">
      <c r="H1014" s="127"/>
      <c r="I1014" s="127"/>
      <c r="AU1014" s="45" t="s">
        <v>1011</v>
      </c>
    </row>
    <row r="1015">
      <c r="H1015" s="127"/>
      <c r="I1015" s="127"/>
      <c r="AU1015" s="45" t="s">
        <v>1011</v>
      </c>
    </row>
    <row r="1016">
      <c r="H1016" s="127"/>
      <c r="I1016" s="127"/>
      <c r="AU1016" s="45" t="s">
        <v>1011</v>
      </c>
    </row>
    <row r="1017">
      <c r="H1017" s="127"/>
      <c r="I1017" s="127"/>
      <c r="AU1017" s="45" t="s">
        <v>1011</v>
      </c>
    </row>
    <row r="1018">
      <c r="H1018" s="127"/>
      <c r="I1018" s="127"/>
      <c r="AU1018" s="45" t="s">
        <v>1011</v>
      </c>
    </row>
    <row r="1019">
      <c r="H1019" s="127"/>
      <c r="I1019" s="127"/>
      <c r="AU1019" s="45" t="s">
        <v>1011</v>
      </c>
    </row>
    <row r="1020">
      <c r="H1020" s="127"/>
      <c r="I1020" s="127"/>
      <c r="AU1020" s="45" t="s">
        <v>1011</v>
      </c>
    </row>
    <row r="1021">
      <c r="H1021" s="127"/>
      <c r="I1021" s="127"/>
      <c r="AU1021" s="45" t="s">
        <v>1011</v>
      </c>
    </row>
    <row r="1022">
      <c r="H1022" s="127"/>
      <c r="I1022" s="127"/>
      <c r="AU1022" s="45" t="s">
        <v>1011</v>
      </c>
    </row>
    <row r="1023">
      <c r="H1023" s="127"/>
      <c r="I1023" s="127"/>
      <c r="AU1023" s="45" t="s">
        <v>1011</v>
      </c>
    </row>
    <row r="1024">
      <c r="H1024" s="127"/>
      <c r="I1024" s="127"/>
      <c r="AU1024" s="45" t="s">
        <v>1011</v>
      </c>
    </row>
    <row r="1025">
      <c r="H1025" s="127"/>
      <c r="I1025" s="127"/>
      <c r="AU1025" s="45" t="s">
        <v>1011</v>
      </c>
    </row>
    <row r="1026">
      <c r="H1026" s="127"/>
      <c r="I1026" s="127"/>
      <c r="AU1026" s="45" t="s">
        <v>1011</v>
      </c>
    </row>
    <row r="1027">
      <c r="H1027" s="127"/>
      <c r="I1027" s="127"/>
      <c r="AU1027" s="45" t="s">
        <v>1011</v>
      </c>
    </row>
    <row r="1028">
      <c r="H1028" s="127"/>
      <c r="I1028" s="127"/>
      <c r="AU1028" s="45" t="s">
        <v>1011</v>
      </c>
    </row>
    <row r="1029">
      <c r="H1029" s="127"/>
      <c r="I1029" s="127"/>
      <c r="AU1029" s="45" t="s">
        <v>1011</v>
      </c>
    </row>
    <row r="1030">
      <c r="H1030" s="127"/>
      <c r="I1030" s="127"/>
      <c r="AU1030" s="45" t="s">
        <v>1011</v>
      </c>
    </row>
    <row r="1031">
      <c r="H1031" s="127"/>
      <c r="I1031" s="127"/>
      <c r="AU1031" s="45" t="s">
        <v>1011</v>
      </c>
    </row>
    <row r="1032">
      <c r="H1032" s="127"/>
      <c r="I1032" s="127"/>
      <c r="AU1032" s="45" t="s">
        <v>1011</v>
      </c>
    </row>
    <row r="1033">
      <c r="H1033" s="127"/>
      <c r="I1033" s="127"/>
      <c r="AU1033" s="45" t="s">
        <v>1011</v>
      </c>
    </row>
    <row r="1034">
      <c r="H1034" s="127"/>
      <c r="I1034" s="127"/>
      <c r="AU1034" s="45" t="s">
        <v>1011</v>
      </c>
    </row>
    <row r="1035">
      <c r="H1035" s="127"/>
      <c r="I1035" s="127"/>
      <c r="AU1035" s="45" t="s">
        <v>1011</v>
      </c>
    </row>
    <row r="1036">
      <c r="H1036" s="127"/>
      <c r="I1036" s="127"/>
      <c r="AU1036" s="45" t="s">
        <v>1011</v>
      </c>
    </row>
    <row r="1037">
      <c r="H1037" s="127"/>
      <c r="I1037" s="127"/>
      <c r="AU1037" s="45" t="s">
        <v>1011</v>
      </c>
    </row>
    <row r="1038">
      <c r="H1038" s="127"/>
      <c r="I1038" s="127"/>
      <c r="AU1038" s="45" t="s">
        <v>1011</v>
      </c>
    </row>
    <row r="1039">
      <c r="H1039" s="127"/>
      <c r="I1039" s="127"/>
      <c r="AU1039" s="45" t="s">
        <v>1011</v>
      </c>
    </row>
    <row r="1040">
      <c r="H1040" s="127"/>
      <c r="I1040" s="127"/>
      <c r="AU1040" s="45" t="s">
        <v>1011</v>
      </c>
    </row>
    <row r="1041">
      <c r="H1041" s="127"/>
      <c r="I1041" s="127"/>
      <c r="AU1041" s="45" t="s">
        <v>1011</v>
      </c>
    </row>
    <row r="1042">
      <c r="H1042" s="127"/>
      <c r="I1042" s="127"/>
      <c r="AU1042" s="45" t="s">
        <v>1011</v>
      </c>
    </row>
    <row r="1043">
      <c r="H1043" s="127"/>
      <c r="I1043" s="127"/>
      <c r="AU1043" s="45" t="s">
        <v>1011</v>
      </c>
    </row>
    <row r="1044">
      <c r="H1044" s="127"/>
      <c r="I1044" s="127"/>
      <c r="AU1044" s="45" t="s">
        <v>1011</v>
      </c>
    </row>
    <row r="1045">
      <c r="H1045" s="127"/>
      <c r="I1045" s="127"/>
      <c r="AU1045" s="45" t="s">
        <v>1011</v>
      </c>
    </row>
    <row r="1046">
      <c r="H1046" s="127"/>
      <c r="I1046" s="127"/>
      <c r="AU1046" s="45" t="s">
        <v>1011</v>
      </c>
    </row>
    <row r="1047">
      <c r="H1047" s="127"/>
      <c r="I1047" s="127"/>
      <c r="AU1047" s="45" t="s">
        <v>1011</v>
      </c>
    </row>
    <row r="1048">
      <c r="H1048" s="127"/>
      <c r="I1048" s="127"/>
      <c r="AU1048" s="45" t="s">
        <v>1011</v>
      </c>
    </row>
    <row r="1049">
      <c r="H1049" s="127"/>
      <c r="I1049" s="127"/>
      <c r="AU1049" s="45" t="s">
        <v>1011</v>
      </c>
    </row>
    <row r="1050">
      <c r="H1050" s="127"/>
      <c r="I1050" s="127"/>
      <c r="AU1050" s="45" t="s">
        <v>1011</v>
      </c>
    </row>
    <row r="1051">
      <c r="H1051" s="127"/>
      <c r="I1051" s="127"/>
      <c r="AU1051" s="45" t="s">
        <v>1011</v>
      </c>
    </row>
    <row r="1052">
      <c r="H1052" s="127"/>
      <c r="I1052" s="127"/>
      <c r="AU1052" s="45" t="s">
        <v>1011</v>
      </c>
    </row>
    <row r="1053">
      <c r="H1053" s="127"/>
      <c r="I1053" s="127"/>
      <c r="AU1053" s="45" t="s">
        <v>1011</v>
      </c>
    </row>
    <row r="1054">
      <c r="H1054" s="127"/>
      <c r="I1054" s="127"/>
      <c r="AU1054" s="45" t="s">
        <v>1011</v>
      </c>
    </row>
    <row r="1055">
      <c r="H1055" s="127"/>
      <c r="I1055" s="127"/>
      <c r="AU1055" s="45" t="s">
        <v>1011</v>
      </c>
    </row>
    <row r="1056">
      <c r="H1056" s="127"/>
      <c r="I1056" s="127"/>
      <c r="AU1056" s="45" t="s">
        <v>1011</v>
      </c>
    </row>
    <row r="1057">
      <c r="H1057" s="127"/>
      <c r="I1057" s="127"/>
      <c r="AU1057" s="45" t="s">
        <v>1011</v>
      </c>
    </row>
    <row r="1058">
      <c r="H1058" s="127"/>
      <c r="I1058" s="127"/>
      <c r="AU1058" s="45" t="s">
        <v>1011</v>
      </c>
    </row>
    <row r="1059">
      <c r="H1059" s="127"/>
      <c r="I1059" s="127"/>
      <c r="AU1059" s="45" t="s">
        <v>1011</v>
      </c>
    </row>
    <row r="1060">
      <c r="H1060" s="127"/>
      <c r="I1060" s="127"/>
      <c r="AU1060" s="45" t="s">
        <v>1011</v>
      </c>
    </row>
    <row r="1061">
      <c r="H1061" s="127"/>
      <c r="I1061" s="127"/>
      <c r="AU1061" s="45" t="s">
        <v>1011</v>
      </c>
    </row>
    <row r="1062">
      <c r="H1062" s="127"/>
      <c r="I1062" s="127"/>
      <c r="AU1062" s="45" t="s">
        <v>1011</v>
      </c>
    </row>
    <row r="1063">
      <c r="H1063" s="127"/>
      <c r="I1063" s="127"/>
      <c r="AU1063" s="45" t="s">
        <v>1011</v>
      </c>
    </row>
    <row r="1064">
      <c r="H1064" s="127"/>
      <c r="I1064" s="127"/>
      <c r="AU1064" s="45" t="s">
        <v>1011</v>
      </c>
    </row>
    <row r="1065">
      <c r="H1065" s="127"/>
      <c r="I1065" s="127"/>
      <c r="AU1065" s="45" t="s">
        <v>1011</v>
      </c>
    </row>
    <row r="1066">
      <c r="H1066" s="127"/>
      <c r="I1066" s="127"/>
      <c r="AU1066" s="45" t="s">
        <v>1011</v>
      </c>
    </row>
    <row r="1067">
      <c r="H1067" s="127"/>
      <c r="I1067" s="127"/>
      <c r="AU1067" s="45" t="s">
        <v>1011</v>
      </c>
    </row>
    <row r="1068">
      <c r="H1068" s="127"/>
      <c r="I1068" s="127"/>
      <c r="AU1068" s="45" t="s">
        <v>1011</v>
      </c>
    </row>
    <row r="1069">
      <c r="H1069" s="127"/>
      <c r="I1069" s="127"/>
      <c r="AU1069" s="45" t="s">
        <v>1011</v>
      </c>
    </row>
    <row r="1070">
      <c r="H1070" s="127"/>
      <c r="I1070" s="127"/>
      <c r="AU1070" s="45" t="s">
        <v>1011</v>
      </c>
    </row>
    <row r="1071">
      <c r="H1071" s="127"/>
      <c r="I1071" s="127"/>
      <c r="AU1071" s="45" t="s">
        <v>1011</v>
      </c>
    </row>
    <row r="1072">
      <c r="H1072" s="127"/>
      <c r="I1072" s="127"/>
      <c r="AU1072" s="45" t="s">
        <v>1011</v>
      </c>
    </row>
    <row r="1073">
      <c r="H1073" s="127"/>
      <c r="I1073" s="127"/>
      <c r="AU1073" s="45" t="s">
        <v>1011</v>
      </c>
    </row>
    <row r="1074">
      <c r="H1074" s="127"/>
      <c r="I1074" s="127"/>
      <c r="AU1074" s="45" t="s">
        <v>1011</v>
      </c>
    </row>
    <row r="1075">
      <c r="H1075" s="127"/>
      <c r="I1075" s="127"/>
      <c r="AU1075" s="45" t="s">
        <v>1011</v>
      </c>
    </row>
    <row r="1076">
      <c r="H1076" s="127"/>
      <c r="I1076" s="127"/>
      <c r="AU1076" s="45" t="s">
        <v>1011</v>
      </c>
    </row>
    <row r="1077">
      <c r="H1077" s="127"/>
      <c r="I1077" s="127"/>
      <c r="AU1077" s="45" t="s">
        <v>1011</v>
      </c>
    </row>
    <row r="1078">
      <c r="H1078" s="127"/>
      <c r="I1078" s="127"/>
      <c r="AU1078" s="45" t="s">
        <v>1011</v>
      </c>
    </row>
    <row r="1079">
      <c r="H1079" s="127"/>
      <c r="I1079" s="127"/>
      <c r="AU1079" s="45" t="s">
        <v>1011</v>
      </c>
    </row>
    <row r="1080">
      <c r="H1080" s="127"/>
      <c r="I1080" s="127"/>
      <c r="AU1080" s="45" t="s">
        <v>1011</v>
      </c>
    </row>
    <row r="1081">
      <c r="H1081" s="127"/>
      <c r="I1081" s="127"/>
      <c r="AU1081" s="45" t="s">
        <v>1011</v>
      </c>
    </row>
    <row r="1082">
      <c r="H1082" s="127"/>
      <c r="I1082" s="127"/>
      <c r="AU1082" s="45" t="s">
        <v>1011</v>
      </c>
    </row>
    <row r="1083">
      <c r="H1083" s="127"/>
      <c r="I1083" s="127"/>
      <c r="AU1083" s="45" t="s">
        <v>1011</v>
      </c>
    </row>
    <row r="1084">
      <c r="H1084" s="127"/>
      <c r="I1084" s="127"/>
      <c r="AU1084" s="45" t="s">
        <v>1011</v>
      </c>
    </row>
    <row r="1085">
      <c r="H1085" s="127"/>
      <c r="I1085" s="127"/>
      <c r="AU1085" s="45" t="s">
        <v>1011</v>
      </c>
    </row>
    <row r="1086">
      <c r="H1086" s="127"/>
      <c r="I1086" s="127"/>
      <c r="AU1086" s="45" t="s">
        <v>1011</v>
      </c>
    </row>
    <row r="1087">
      <c r="H1087" s="127"/>
      <c r="I1087" s="127"/>
      <c r="AU1087" s="45" t="s">
        <v>1011</v>
      </c>
    </row>
    <row r="1088">
      <c r="H1088" s="127"/>
      <c r="I1088" s="127"/>
      <c r="AU1088" s="45" t="s">
        <v>1011</v>
      </c>
    </row>
    <row r="1089">
      <c r="H1089" s="127"/>
      <c r="I1089" s="127"/>
      <c r="AU1089" s="45" t="s">
        <v>1011</v>
      </c>
    </row>
    <row r="1090">
      <c r="H1090" s="127"/>
      <c r="I1090" s="127"/>
      <c r="AU1090" s="45" t="s">
        <v>1011</v>
      </c>
    </row>
    <row r="1091">
      <c r="H1091" s="127"/>
      <c r="I1091" s="127"/>
      <c r="AU1091" s="45" t="s">
        <v>1011</v>
      </c>
    </row>
    <row r="1092">
      <c r="H1092" s="127"/>
      <c r="I1092" s="127"/>
      <c r="AU1092" s="45" t="s">
        <v>1011</v>
      </c>
    </row>
    <row r="1093">
      <c r="H1093" s="127"/>
      <c r="I1093" s="127"/>
      <c r="AU1093" s="45" t="s">
        <v>1011</v>
      </c>
    </row>
    <row r="1094">
      <c r="H1094" s="127"/>
      <c r="I1094" s="127"/>
      <c r="AU1094" s="45" t="s">
        <v>1011</v>
      </c>
    </row>
    <row r="1095">
      <c r="H1095" s="127"/>
      <c r="I1095" s="127"/>
      <c r="AU1095" s="45" t="s">
        <v>1011</v>
      </c>
    </row>
    <row r="1096">
      <c r="H1096" s="127"/>
      <c r="I1096" s="127"/>
      <c r="AU1096" s="45" t="s">
        <v>1011</v>
      </c>
    </row>
    <row r="1097">
      <c r="H1097" s="127"/>
      <c r="I1097" s="127"/>
      <c r="AU1097" s="45" t="s">
        <v>1011</v>
      </c>
    </row>
    <row r="1098">
      <c r="H1098" s="127"/>
      <c r="I1098" s="127"/>
      <c r="AU1098" s="45" t="s">
        <v>1011</v>
      </c>
    </row>
    <row r="1099">
      <c r="H1099" s="127"/>
      <c r="I1099" s="127"/>
      <c r="AU1099" s="45" t="s">
        <v>1011</v>
      </c>
    </row>
    <row r="1100">
      <c r="H1100" s="127"/>
      <c r="I1100" s="127"/>
      <c r="AU1100" s="45" t="s">
        <v>1011</v>
      </c>
    </row>
    <row r="1101">
      <c r="H1101" s="127"/>
      <c r="I1101" s="127"/>
      <c r="AU1101" s="45" t="s">
        <v>1011</v>
      </c>
    </row>
    <row r="1102">
      <c r="H1102" s="127"/>
      <c r="I1102" s="127"/>
      <c r="AU1102" s="45" t="s">
        <v>1011</v>
      </c>
    </row>
    <row r="1103">
      <c r="H1103" s="127"/>
      <c r="I1103" s="127"/>
      <c r="AU1103" s="45" t="s">
        <v>1011</v>
      </c>
    </row>
    <row r="1104">
      <c r="H1104" s="127"/>
      <c r="I1104" s="127"/>
      <c r="AU1104" s="45" t="s">
        <v>1011</v>
      </c>
    </row>
    <row r="1105">
      <c r="H1105" s="127"/>
      <c r="I1105" s="127"/>
      <c r="AU1105" s="45" t="s">
        <v>1011</v>
      </c>
    </row>
    <row r="1106">
      <c r="H1106" s="127"/>
      <c r="I1106" s="127"/>
      <c r="AU1106" s="45" t="s">
        <v>1011</v>
      </c>
    </row>
    <row r="1107">
      <c r="H1107" s="127"/>
      <c r="I1107" s="127"/>
      <c r="AU1107" s="45" t="s">
        <v>1011</v>
      </c>
    </row>
    <row r="1108">
      <c r="H1108" s="127"/>
      <c r="I1108" s="127"/>
      <c r="AU1108" s="45" t="s">
        <v>1011</v>
      </c>
    </row>
    <row r="1109">
      <c r="H1109" s="127"/>
      <c r="I1109" s="127"/>
      <c r="AU1109" s="45" t="s">
        <v>1011</v>
      </c>
    </row>
    <row r="1110">
      <c r="H1110" s="127"/>
      <c r="I1110" s="127"/>
      <c r="AU1110" s="45" t="s">
        <v>1011</v>
      </c>
    </row>
    <row r="1111">
      <c r="H1111" s="127"/>
      <c r="I1111" s="127"/>
      <c r="AU1111" s="45" t="s">
        <v>1011</v>
      </c>
    </row>
    <row r="1112">
      <c r="H1112" s="127"/>
      <c r="I1112" s="127"/>
      <c r="AU1112" s="45" t="s">
        <v>1011</v>
      </c>
    </row>
    <row r="1113">
      <c r="H1113" s="127"/>
      <c r="I1113" s="127"/>
      <c r="AU1113" s="45" t="s">
        <v>1011</v>
      </c>
    </row>
    <row r="1114">
      <c r="H1114" s="127"/>
      <c r="I1114" s="127"/>
      <c r="AU1114" s="45" t="s">
        <v>1011</v>
      </c>
    </row>
    <row r="1115">
      <c r="H1115" s="127"/>
      <c r="I1115" s="127"/>
      <c r="AU1115" s="45" t="s">
        <v>1011</v>
      </c>
    </row>
    <row r="1116">
      <c r="H1116" s="127"/>
      <c r="I1116" s="127"/>
      <c r="AU1116" s="45" t="s">
        <v>1011</v>
      </c>
    </row>
    <row r="1117">
      <c r="H1117" s="127"/>
      <c r="I1117" s="127"/>
      <c r="AU1117" s="45" t="s">
        <v>1011</v>
      </c>
    </row>
    <row r="1118">
      <c r="H1118" s="127"/>
      <c r="I1118" s="127"/>
      <c r="AU1118" s="45" t="s">
        <v>1011</v>
      </c>
    </row>
    <row r="1119">
      <c r="H1119" s="127"/>
      <c r="I1119" s="127"/>
      <c r="AU1119" s="45" t="s">
        <v>1011</v>
      </c>
    </row>
    <row r="1120">
      <c r="H1120" s="127"/>
      <c r="I1120" s="127"/>
      <c r="AU1120" s="45" t="s">
        <v>1011</v>
      </c>
    </row>
    <row r="1121">
      <c r="H1121" s="127"/>
      <c r="I1121" s="127"/>
      <c r="AU1121" s="45" t="s">
        <v>1011</v>
      </c>
    </row>
    <row r="1122">
      <c r="H1122" s="127"/>
      <c r="I1122" s="127"/>
      <c r="AU1122" s="45" t="s">
        <v>1011</v>
      </c>
    </row>
    <row r="1123">
      <c r="H1123" s="127"/>
      <c r="I1123" s="127"/>
      <c r="AU1123" s="45" t="s">
        <v>1011</v>
      </c>
    </row>
    <row r="1124">
      <c r="H1124" s="127"/>
      <c r="I1124" s="127"/>
      <c r="AU1124" s="45" t="s">
        <v>1011</v>
      </c>
    </row>
    <row r="1125">
      <c r="H1125" s="127"/>
      <c r="I1125" s="127"/>
      <c r="AU1125" s="45" t="s">
        <v>1011</v>
      </c>
    </row>
    <row r="1126">
      <c r="H1126" s="127"/>
      <c r="I1126" s="127"/>
      <c r="AU1126" s="45" t="s">
        <v>1011</v>
      </c>
    </row>
    <row r="1127">
      <c r="H1127" s="127"/>
      <c r="I1127" s="127"/>
      <c r="AU1127" s="45" t="s">
        <v>1011</v>
      </c>
    </row>
    <row r="1128">
      <c r="H1128" s="127"/>
      <c r="I1128" s="127"/>
      <c r="AU1128" s="45" t="s">
        <v>1011</v>
      </c>
    </row>
    <row r="1129">
      <c r="H1129" s="127"/>
      <c r="I1129" s="127"/>
      <c r="AU1129" s="45" t="s">
        <v>1011</v>
      </c>
    </row>
    <row r="1130">
      <c r="H1130" s="127"/>
      <c r="I1130" s="127"/>
      <c r="AU1130" s="45" t="s">
        <v>1011</v>
      </c>
    </row>
    <row r="1131">
      <c r="H1131" s="127"/>
      <c r="I1131" s="127"/>
      <c r="AU1131" s="45" t="s">
        <v>1011</v>
      </c>
    </row>
    <row r="1132">
      <c r="H1132" s="127"/>
      <c r="I1132" s="127"/>
      <c r="AU1132" s="45" t="s">
        <v>1011</v>
      </c>
    </row>
    <row r="1133">
      <c r="H1133" s="127"/>
      <c r="I1133" s="127"/>
      <c r="AU1133" s="45" t="s">
        <v>1011</v>
      </c>
    </row>
    <row r="1134">
      <c r="H1134" s="127"/>
      <c r="I1134" s="127"/>
      <c r="AU1134" s="45" t="s">
        <v>1011</v>
      </c>
    </row>
    <row r="1135">
      <c r="H1135" s="127"/>
      <c r="I1135" s="127"/>
      <c r="AU1135" s="45" t="s">
        <v>1011</v>
      </c>
    </row>
    <row r="1136">
      <c r="H1136" s="127"/>
      <c r="I1136" s="127"/>
      <c r="AU1136" s="45" t="s">
        <v>1011</v>
      </c>
    </row>
    <row r="1137">
      <c r="H1137" s="127"/>
      <c r="I1137" s="127"/>
      <c r="AU1137" s="45" t="s">
        <v>1011</v>
      </c>
    </row>
    <row r="1138">
      <c r="H1138" s="127"/>
      <c r="I1138" s="127"/>
      <c r="AU1138" s="45" t="s">
        <v>1011</v>
      </c>
    </row>
    <row r="1139">
      <c r="H1139" s="127"/>
      <c r="I1139" s="127"/>
      <c r="AU1139" s="45" t="s">
        <v>1011</v>
      </c>
    </row>
    <row r="1140">
      <c r="H1140" s="127"/>
      <c r="I1140" s="127"/>
      <c r="AU1140" s="45" t="s">
        <v>1011</v>
      </c>
    </row>
    <row r="1141">
      <c r="H1141" s="127"/>
      <c r="I1141" s="127"/>
      <c r="AU1141" s="45" t="s">
        <v>1011</v>
      </c>
    </row>
    <row r="1142">
      <c r="H1142" s="127"/>
      <c r="I1142" s="127"/>
      <c r="AU1142" s="45" t="s">
        <v>1011</v>
      </c>
    </row>
    <row r="1143">
      <c r="H1143" s="127"/>
      <c r="I1143" s="127"/>
      <c r="AU1143" s="45" t="s">
        <v>1011</v>
      </c>
    </row>
    <row r="1144">
      <c r="H1144" s="127"/>
      <c r="I1144" s="127"/>
      <c r="AU1144" s="45" t="s">
        <v>1011</v>
      </c>
    </row>
    <row r="1145">
      <c r="H1145" s="127"/>
      <c r="I1145" s="127"/>
      <c r="AU1145" s="45" t="s">
        <v>1011</v>
      </c>
    </row>
    <row r="1146">
      <c r="H1146" s="127"/>
      <c r="I1146" s="127"/>
      <c r="AU1146" s="45" t="s">
        <v>1011</v>
      </c>
    </row>
    <row r="1147">
      <c r="H1147" s="127"/>
      <c r="I1147" s="127"/>
      <c r="AU1147" s="45" t="s">
        <v>1011</v>
      </c>
    </row>
    <row r="1148">
      <c r="H1148" s="127"/>
      <c r="I1148" s="127"/>
      <c r="AU1148" s="45" t="s">
        <v>1011</v>
      </c>
    </row>
    <row r="1149">
      <c r="H1149" s="127"/>
      <c r="I1149" s="127"/>
      <c r="AU1149" s="45" t="s">
        <v>1011</v>
      </c>
    </row>
    <row r="1150">
      <c r="H1150" s="127"/>
      <c r="I1150" s="127"/>
      <c r="AU1150" s="45" t="s">
        <v>1011</v>
      </c>
    </row>
    <row r="1151">
      <c r="H1151" s="127"/>
      <c r="I1151" s="127"/>
      <c r="AU1151" s="45" t="s">
        <v>1011</v>
      </c>
    </row>
    <row r="1152">
      <c r="H1152" s="127"/>
      <c r="I1152" s="127"/>
      <c r="AU1152" s="45" t="s">
        <v>1011</v>
      </c>
    </row>
    <row r="1153">
      <c r="H1153" s="127"/>
      <c r="I1153" s="127"/>
      <c r="AU1153" s="45" t="s">
        <v>1011</v>
      </c>
    </row>
    <row r="1154">
      <c r="H1154" s="127"/>
      <c r="I1154" s="127"/>
      <c r="AU1154" s="45" t="s">
        <v>1011</v>
      </c>
    </row>
    <row r="1155">
      <c r="H1155" s="127"/>
      <c r="I1155" s="127"/>
      <c r="AU1155" s="45" t="s">
        <v>1011</v>
      </c>
    </row>
    <row r="1156">
      <c r="H1156" s="127"/>
      <c r="I1156" s="127"/>
      <c r="AU1156" s="45" t="s">
        <v>1011</v>
      </c>
    </row>
    <row r="1157">
      <c r="H1157" s="127"/>
      <c r="I1157" s="127"/>
      <c r="AU1157" s="45" t="s">
        <v>1011</v>
      </c>
    </row>
    <row r="1158">
      <c r="H1158" s="127"/>
      <c r="I1158" s="127"/>
      <c r="AU1158" s="45" t="s">
        <v>1011</v>
      </c>
    </row>
    <row r="1159">
      <c r="H1159" s="127"/>
      <c r="I1159" s="127"/>
      <c r="AU1159" s="45" t="s">
        <v>1011</v>
      </c>
    </row>
    <row r="1160">
      <c r="H1160" s="127"/>
      <c r="I1160" s="127"/>
      <c r="AU1160" s="45" t="s">
        <v>1011</v>
      </c>
    </row>
    <row r="1161">
      <c r="H1161" s="127"/>
      <c r="I1161" s="127"/>
      <c r="AU1161" s="45" t="s">
        <v>1011</v>
      </c>
    </row>
    <row r="1162">
      <c r="H1162" s="127"/>
      <c r="I1162" s="127"/>
      <c r="AU1162" s="45" t="s">
        <v>1011</v>
      </c>
    </row>
    <row r="1163">
      <c r="H1163" s="127"/>
      <c r="I1163" s="127"/>
      <c r="AU1163" s="45" t="s">
        <v>1011</v>
      </c>
    </row>
    <row r="1164">
      <c r="H1164" s="127"/>
      <c r="I1164" s="127"/>
      <c r="AU1164" s="45" t="s">
        <v>1011</v>
      </c>
    </row>
    <row r="1165">
      <c r="H1165" s="127"/>
      <c r="I1165" s="127"/>
      <c r="AU1165" s="45" t="s">
        <v>1011</v>
      </c>
    </row>
    <row r="1166">
      <c r="H1166" s="127"/>
      <c r="I1166" s="127"/>
      <c r="AU1166" s="45" t="s">
        <v>1011</v>
      </c>
    </row>
    <row r="1167">
      <c r="H1167" s="127"/>
      <c r="I1167" s="127"/>
      <c r="AU1167" s="45" t="s">
        <v>1011</v>
      </c>
    </row>
    <row r="1168">
      <c r="H1168" s="127"/>
      <c r="I1168" s="127"/>
      <c r="AU1168" s="45" t="s">
        <v>1011</v>
      </c>
    </row>
    <row r="1169">
      <c r="H1169" s="127"/>
      <c r="I1169" s="127"/>
      <c r="AU1169" s="45" t="s">
        <v>1011</v>
      </c>
    </row>
    <row r="1170">
      <c r="H1170" s="127"/>
      <c r="I1170" s="127"/>
      <c r="AU1170" s="45" t="s">
        <v>1011</v>
      </c>
    </row>
    <row r="1171">
      <c r="H1171" s="127"/>
      <c r="I1171" s="127"/>
      <c r="AU1171" s="45" t="s">
        <v>1011</v>
      </c>
    </row>
    <row r="1172">
      <c r="H1172" s="127"/>
      <c r="I1172" s="127"/>
      <c r="AU1172" s="45" t="s">
        <v>1011</v>
      </c>
    </row>
    <row r="1173">
      <c r="H1173" s="127"/>
      <c r="I1173" s="127"/>
      <c r="AU1173" s="45" t="s">
        <v>1011</v>
      </c>
    </row>
    <row r="1174">
      <c r="H1174" s="127"/>
      <c r="I1174" s="127"/>
      <c r="AU1174" s="45" t="s">
        <v>1011</v>
      </c>
    </row>
    <row r="1175">
      <c r="H1175" s="127"/>
      <c r="I1175" s="127"/>
      <c r="AU1175" s="45" t="s">
        <v>1011</v>
      </c>
    </row>
    <row r="1176">
      <c r="H1176" s="127"/>
      <c r="I1176" s="127"/>
      <c r="AU1176" s="45" t="s">
        <v>1011</v>
      </c>
    </row>
    <row r="1177">
      <c r="H1177" s="127"/>
      <c r="I1177" s="127"/>
      <c r="AU1177" s="45" t="s">
        <v>1011</v>
      </c>
    </row>
    <row r="1178">
      <c r="H1178" s="127"/>
      <c r="I1178" s="127"/>
      <c r="AU1178" s="45" t="s">
        <v>1011</v>
      </c>
    </row>
    <row r="1179">
      <c r="H1179" s="127"/>
      <c r="I1179" s="127"/>
      <c r="AU1179" s="45" t="s">
        <v>1011</v>
      </c>
    </row>
    <row r="1180">
      <c r="H1180" s="127"/>
      <c r="I1180" s="127"/>
      <c r="AU1180" s="45" t="s">
        <v>1011</v>
      </c>
    </row>
    <row r="1181">
      <c r="H1181" s="127"/>
      <c r="I1181" s="127"/>
      <c r="AU1181" s="45" t="s">
        <v>1011</v>
      </c>
    </row>
    <row r="1182">
      <c r="H1182" s="127"/>
      <c r="I1182" s="127"/>
      <c r="AU1182" s="45" t="s">
        <v>1011</v>
      </c>
    </row>
    <row r="1183">
      <c r="H1183" s="127"/>
      <c r="I1183" s="127"/>
      <c r="AU1183" s="45" t="s">
        <v>1011</v>
      </c>
    </row>
    <row r="1184">
      <c r="H1184" s="127"/>
      <c r="I1184" s="127"/>
      <c r="AU1184" s="45" t="s">
        <v>1011</v>
      </c>
    </row>
    <row r="1185">
      <c r="H1185" s="127"/>
      <c r="I1185" s="127"/>
      <c r="AU1185" s="45" t="s">
        <v>1011</v>
      </c>
    </row>
    <row r="1186">
      <c r="H1186" s="127"/>
      <c r="I1186" s="127"/>
      <c r="AU1186" s="45" t="s">
        <v>1011</v>
      </c>
    </row>
    <row r="1187">
      <c r="H1187" s="127"/>
      <c r="I1187" s="127"/>
      <c r="AU1187" s="45" t="s">
        <v>1011</v>
      </c>
    </row>
    <row r="1188">
      <c r="H1188" s="127"/>
      <c r="I1188" s="127"/>
      <c r="AU1188" s="45" t="s">
        <v>1011</v>
      </c>
    </row>
    <row r="1189">
      <c r="H1189" s="127"/>
      <c r="I1189" s="127"/>
      <c r="AU1189" s="45" t="s">
        <v>1011</v>
      </c>
    </row>
    <row r="1190">
      <c r="H1190" s="127"/>
      <c r="I1190" s="127"/>
      <c r="AU1190" s="45" t="s">
        <v>1011</v>
      </c>
    </row>
    <row r="1191">
      <c r="H1191" s="127"/>
      <c r="I1191" s="127"/>
      <c r="AU1191" s="45" t="s">
        <v>1011</v>
      </c>
    </row>
    <row r="1192">
      <c r="H1192" s="127"/>
      <c r="I1192" s="127"/>
      <c r="AU1192" s="45" t="s">
        <v>1011</v>
      </c>
    </row>
    <row r="1193">
      <c r="H1193" s="127"/>
      <c r="I1193" s="127"/>
      <c r="AU1193" s="45" t="s">
        <v>1011</v>
      </c>
    </row>
    <row r="1194">
      <c r="H1194" s="127"/>
      <c r="I1194" s="127"/>
      <c r="AU1194" s="45" t="s">
        <v>1011</v>
      </c>
    </row>
    <row r="1195">
      <c r="H1195" s="127"/>
      <c r="I1195" s="127"/>
      <c r="AU1195" s="45" t="s">
        <v>1011</v>
      </c>
    </row>
    <row r="1196">
      <c r="H1196" s="127"/>
      <c r="I1196" s="127"/>
      <c r="AU1196" s="45" t="s">
        <v>1011</v>
      </c>
    </row>
    <row r="1197">
      <c r="H1197" s="127"/>
      <c r="I1197" s="127"/>
      <c r="AU1197" s="45" t="s">
        <v>1011</v>
      </c>
    </row>
    <row r="1198">
      <c r="H1198" s="127"/>
      <c r="I1198" s="127"/>
      <c r="AU1198" s="45" t="s">
        <v>1011</v>
      </c>
    </row>
    <row r="1199">
      <c r="H1199" s="127"/>
      <c r="I1199" s="127"/>
      <c r="AU1199" s="45" t="s">
        <v>1011</v>
      </c>
    </row>
    <row r="1200">
      <c r="H1200" s="127"/>
      <c r="I1200" s="127"/>
      <c r="AU1200" s="45" t="s">
        <v>1011</v>
      </c>
    </row>
    <row r="1201">
      <c r="H1201" s="127"/>
      <c r="I1201" s="127"/>
      <c r="AU1201" s="45" t="s">
        <v>1011</v>
      </c>
    </row>
    <row r="1202">
      <c r="H1202" s="127"/>
      <c r="I1202" s="127"/>
      <c r="AU1202" s="45" t="s">
        <v>1011</v>
      </c>
    </row>
    <row r="1203">
      <c r="H1203" s="127"/>
      <c r="I1203" s="127"/>
      <c r="AU1203" s="45" t="s">
        <v>1011</v>
      </c>
    </row>
    <row r="1204">
      <c r="H1204" s="127"/>
      <c r="I1204" s="127"/>
      <c r="AU1204" s="45" t="s">
        <v>1011</v>
      </c>
    </row>
    <row r="1205">
      <c r="H1205" s="127"/>
      <c r="I1205" s="127"/>
      <c r="AU1205" s="45" t="s">
        <v>1011</v>
      </c>
    </row>
    <row r="1206">
      <c r="H1206" s="127"/>
      <c r="I1206" s="127"/>
      <c r="AU1206" s="45" t="s">
        <v>1011</v>
      </c>
    </row>
    <row r="1207">
      <c r="H1207" s="127"/>
      <c r="I1207" s="127"/>
      <c r="AU1207" s="45" t="s">
        <v>1011</v>
      </c>
    </row>
    <row r="1208">
      <c r="H1208" s="127"/>
      <c r="I1208" s="127"/>
      <c r="AU1208" s="45" t="s">
        <v>1011</v>
      </c>
    </row>
    <row r="1209">
      <c r="H1209" s="127"/>
      <c r="I1209" s="127"/>
      <c r="AU1209" s="45" t="s">
        <v>1011</v>
      </c>
    </row>
    <row r="1210">
      <c r="H1210" s="127"/>
      <c r="I1210" s="127"/>
      <c r="AU1210" s="45" t="s">
        <v>1011</v>
      </c>
    </row>
    <row r="1211">
      <c r="H1211" s="127"/>
      <c r="I1211" s="127"/>
      <c r="AU1211" s="45" t="s">
        <v>1011</v>
      </c>
    </row>
    <row r="1212">
      <c r="H1212" s="127"/>
      <c r="I1212" s="127"/>
      <c r="AU1212" s="45" t="s">
        <v>1011</v>
      </c>
    </row>
    <row r="1213">
      <c r="H1213" s="127"/>
      <c r="I1213" s="127"/>
      <c r="AU1213" s="45" t="s">
        <v>1011</v>
      </c>
    </row>
    <row r="1214">
      <c r="H1214" s="127"/>
      <c r="I1214" s="127"/>
      <c r="AU1214" s="45" t="s">
        <v>1011</v>
      </c>
    </row>
    <row r="1215">
      <c r="H1215" s="127"/>
      <c r="I1215" s="127"/>
      <c r="AU1215" s="45" t="s">
        <v>1011</v>
      </c>
    </row>
    <row r="1216">
      <c r="H1216" s="127"/>
      <c r="I1216" s="127"/>
      <c r="AU1216" s="45" t="s">
        <v>1011</v>
      </c>
    </row>
    <row r="1217">
      <c r="H1217" s="127"/>
      <c r="I1217" s="127"/>
      <c r="AU1217" s="45" t="s">
        <v>1011</v>
      </c>
    </row>
    <row r="1218">
      <c r="H1218" s="127"/>
      <c r="I1218" s="127"/>
      <c r="AU1218" s="45" t="s">
        <v>1011</v>
      </c>
    </row>
    <row r="1219">
      <c r="H1219" s="127"/>
      <c r="I1219" s="127"/>
      <c r="AU1219" s="45" t="s">
        <v>1011</v>
      </c>
    </row>
    <row r="1220">
      <c r="H1220" s="127"/>
      <c r="I1220" s="127"/>
      <c r="AU1220" s="45" t="s">
        <v>1011</v>
      </c>
    </row>
    <row r="1221">
      <c r="H1221" s="127"/>
      <c r="I1221" s="127"/>
      <c r="AU1221" s="45" t="s">
        <v>1011</v>
      </c>
    </row>
    <row r="1222">
      <c r="H1222" s="127"/>
      <c r="I1222" s="127"/>
      <c r="AU1222" s="45" t="s">
        <v>1011</v>
      </c>
    </row>
    <row r="1223">
      <c r="H1223" s="127"/>
      <c r="I1223" s="127"/>
      <c r="AU1223" s="45" t="s">
        <v>1011</v>
      </c>
    </row>
    <row r="1224">
      <c r="H1224" s="127"/>
      <c r="I1224" s="127"/>
      <c r="AU1224" s="45" t="s">
        <v>1011</v>
      </c>
    </row>
    <row r="1225">
      <c r="H1225" s="127"/>
      <c r="I1225" s="127"/>
      <c r="AU1225" s="45" t="s">
        <v>1011</v>
      </c>
    </row>
    <row r="1226">
      <c r="H1226" s="127"/>
      <c r="I1226" s="127"/>
      <c r="AU1226" s="45" t="s">
        <v>1011</v>
      </c>
    </row>
    <row r="1227">
      <c r="H1227" s="127"/>
      <c r="I1227" s="127"/>
      <c r="AU1227" s="45" t="s">
        <v>1011</v>
      </c>
    </row>
    <row r="1228">
      <c r="H1228" s="127"/>
      <c r="I1228" s="127"/>
      <c r="AU1228" s="45" t="s">
        <v>1011</v>
      </c>
    </row>
    <row r="1229">
      <c r="H1229" s="127"/>
      <c r="I1229" s="127"/>
      <c r="AU1229" s="45" t="s">
        <v>1011</v>
      </c>
    </row>
    <row r="1230">
      <c r="H1230" s="127"/>
      <c r="I1230" s="127"/>
      <c r="AU1230" s="45" t="s">
        <v>1011</v>
      </c>
    </row>
    <row r="1231">
      <c r="H1231" s="127"/>
      <c r="I1231" s="127"/>
      <c r="AU1231" s="45" t="s">
        <v>1011</v>
      </c>
    </row>
    <row r="1232">
      <c r="H1232" s="127"/>
      <c r="I1232" s="127"/>
      <c r="AU1232" s="45" t="s">
        <v>1011</v>
      </c>
    </row>
    <row r="1233">
      <c r="H1233" s="127"/>
      <c r="I1233" s="127"/>
      <c r="AU1233" s="45" t="s">
        <v>1011</v>
      </c>
    </row>
    <row r="1234">
      <c r="H1234" s="127"/>
      <c r="I1234" s="127"/>
      <c r="AU1234" s="45" t="s">
        <v>1011</v>
      </c>
    </row>
    <row r="1235">
      <c r="H1235" s="127"/>
      <c r="I1235" s="127"/>
      <c r="AU1235" s="45" t="s">
        <v>1011</v>
      </c>
    </row>
    <row r="1236">
      <c r="H1236" s="127"/>
      <c r="I1236" s="127"/>
      <c r="AU1236" s="45" t="s">
        <v>1011</v>
      </c>
    </row>
    <row r="1237">
      <c r="H1237" s="127"/>
      <c r="I1237" s="127"/>
      <c r="AU1237" s="45" t="s">
        <v>1011</v>
      </c>
    </row>
    <row r="1238">
      <c r="H1238" s="127"/>
      <c r="I1238" s="127"/>
      <c r="AU1238" s="45" t="s">
        <v>1011</v>
      </c>
    </row>
    <row r="1239">
      <c r="H1239" s="127"/>
      <c r="I1239" s="127"/>
      <c r="AU1239" s="45" t="s">
        <v>1011</v>
      </c>
    </row>
    <row r="1240">
      <c r="H1240" s="127"/>
      <c r="I1240" s="127"/>
      <c r="AU1240" s="45" t="s">
        <v>1011</v>
      </c>
    </row>
    <row r="1241">
      <c r="H1241" s="127"/>
      <c r="I1241" s="127"/>
      <c r="AU1241" s="45" t="s">
        <v>1011</v>
      </c>
    </row>
    <row r="1242">
      <c r="H1242" s="127"/>
      <c r="I1242" s="127"/>
      <c r="AU1242" s="45" t="s">
        <v>1011</v>
      </c>
    </row>
    <row r="1243">
      <c r="H1243" s="127"/>
      <c r="I1243" s="127"/>
      <c r="AU1243" s="45" t="s">
        <v>1011</v>
      </c>
    </row>
    <row r="1244">
      <c r="H1244" s="127"/>
      <c r="I1244" s="127"/>
      <c r="AU1244" s="45" t="s">
        <v>1011</v>
      </c>
    </row>
    <row r="1245">
      <c r="H1245" s="127"/>
      <c r="I1245" s="127"/>
      <c r="AU1245" s="45" t="s">
        <v>1011</v>
      </c>
    </row>
    <row r="1246">
      <c r="H1246" s="127"/>
      <c r="I1246" s="127"/>
      <c r="AU1246" s="45" t="s">
        <v>1011</v>
      </c>
    </row>
    <row r="1247">
      <c r="H1247" s="127"/>
      <c r="I1247" s="127"/>
      <c r="AU1247" s="45" t="s">
        <v>1011</v>
      </c>
    </row>
    <row r="1248">
      <c r="H1248" s="127"/>
      <c r="I1248" s="127"/>
      <c r="AU1248" s="45" t="s">
        <v>1011</v>
      </c>
    </row>
    <row r="1249">
      <c r="H1249" s="127"/>
      <c r="I1249" s="127"/>
      <c r="AU1249" s="45" t="s">
        <v>1011</v>
      </c>
    </row>
    <row r="1250">
      <c r="H1250" s="127"/>
      <c r="I1250" s="127"/>
      <c r="AU1250" s="45" t="s">
        <v>1011</v>
      </c>
    </row>
    <row r="1251">
      <c r="H1251" s="127"/>
      <c r="I1251" s="127"/>
      <c r="AU1251" s="45" t="s">
        <v>1011</v>
      </c>
    </row>
    <row r="1252">
      <c r="H1252" s="127"/>
      <c r="I1252" s="127"/>
      <c r="AU1252" s="45" t="s">
        <v>1011</v>
      </c>
    </row>
    <row r="1253">
      <c r="H1253" s="127"/>
      <c r="I1253" s="127"/>
      <c r="AU1253" s="45" t="s">
        <v>1011</v>
      </c>
    </row>
    <row r="1254">
      <c r="H1254" s="127"/>
      <c r="I1254" s="127"/>
      <c r="AU1254" s="45" t="s">
        <v>1011</v>
      </c>
    </row>
    <row r="1255">
      <c r="H1255" s="127"/>
      <c r="I1255" s="127"/>
      <c r="AU1255" s="45" t="s">
        <v>1011</v>
      </c>
    </row>
    <row r="1256">
      <c r="H1256" s="127"/>
      <c r="I1256" s="127"/>
      <c r="AU1256" s="45" t="s">
        <v>1011</v>
      </c>
    </row>
    <row r="1257">
      <c r="H1257" s="127"/>
      <c r="I1257" s="127"/>
      <c r="AU1257" s="45" t="s">
        <v>1011</v>
      </c>
    </row>
    <row r="1258">
      <c r="H1258" s="127"/>
      <c r="I1258" s="127"/>
      <c r="AU1258" s="45" t="s">
        <v>1011</v>
      </c>
    </row>
    <row r="1259">
      <c r="H1259" s="127"/>
      <c r="I1259" s="127"/>
      <c r="AU1259" s="45" t="s">
        <v>1011</v>
      </c>
    </row>
    <row r="1260">
      <c r="H1260" s="127"/>
      <c r="I1260" s="127"/>
      <c r="AU1260" s="45" t="s">
        <v>1011</v>
      </c>
    </row>
    <row r="1261">
      <c r="H1261" s="127"/>
      <c r="I1261" s="127"/>
      <c r="AU1261" s="45" t="s">
        <v>1011</v>
      </c>
    </row>
    <row r="1262">
      <c r="H1262" s="127"/>
      <c r="I1262" s="127"/>
      <c r="AU1262" s="45" t="s">
        <v>1011</v>
      </c>
    </row>
    <row r="1263">
      <c r="H1263" s="127"/>
      <c r="I1263" s="127"/>
      <c r="AU1263" s="45" t="s">
        <v>1011</v>
      </c>
    </row>
    <row r="1264">
      <c r="H1264" s="127"/>
      <c r="I1264" s="127"/>
      <c r="AU1264" s="45" t="s">
        <v>1011</v>
      </c>
    </row>
    <row r="1265">
      <c r="H1265" s="127"/>
      <c r="I1265" s="127"/>
      <c r="AU1265" s="45" t="s">
        <v>1011</v>
      </c>
    </row>
    <row r="1266">
      <c r="H1266" s="127"/>
      <c r="I1266" s="127"/>
      <c r="AU1266" s="45" t="s">
        <v>1011</v>
      </c>
    </row>
    <row r="1267">
      <c r="H1267" s="127"/>
      <c r="I1267" s="127"/>
      <c r="AU1267" s="45" t="s">
        <v>1011</v>
      </c>
    </row>
    <row r="1268">
      <c r="H1268" s="127"/>
      <c r="I1268" s="127"/>
      <c r="AU1268" s="45" t="s">
        <v>1011</v>
      </c>
    </row>
    <row r="1269">
      <c r="H1269" s="127"/>
      <c r="I1269" s="127"/>
      <c r="AU1269" s="45" t="s">
        <v>1011</v>
      </c>
    </row>
    <row r="1270">
      <c r="H1270" s="127"/>
      <c r="I1270" s="127"/>
      <c r="AU1270" s="45" t="s">
        <v>1011</v>
      </c>
    </row>
    <row r="1271">
      <c r="H1271" s="127"/>
      <c r="I1271" s="127"/>
      <c r="AU1271" s="45" t="s">
        <v>1011</v>
      </c>
    </row>
    <row r="1272">
      <c r="H1272" s="127"/>
      <c r="I1272" s="127"/>
      <c r="AU1272" s="45" t="s">
        <v>1011</v>
      </c>
    </row>
    <row r="1273">
      <c r="H1273" s="127"/>
      <c r="I1273" s="127"/>
      <c r="AU1273" s="45" t="s">
        <v>1011</v>
      </c>
    </row>
    <row r="1274">
      <c r="H1274" s="127"/>
      <c r="I1274" s="127"/>
      <c r="AU1274" s="45" t="s">
        <v>1011</v>
      </c>
    </row>
    <row r="1275">
      <c r="H1275" s="127"/>
      <c r="I1275" s="127"/>
      <c r="AU1275" s="45" t="s">
        <v>1011</v>
      </c>
    </row>
    <row r="1276">
      <c r="H1276" s="127"/>
      <c r="I1276" s="127"/>
      <c r="AU1276" s="45" t="s">
        <v>1011</v>
      </c>
    </row>
    <row r="1277">
      <c r="H1277" s="127"/>
      <c r="I1277" s="127"/>
      <c r="AU1277" s="45" t="s">
        <v>1011</v>
      </c>
    </row>
    <row r="1278">
      <c r="H1278" s="127"/>
      <c r="I1278" s="127"/>
      <c r="AU1278" s="45" t="s">
        <v>1011</v>
      </c>
    </row>
    <row r="1279">
      <c r="H1279" s="127"/>
      <c r="I1279" s="127"/>
      <c r="AU1279" s="45" t="s">
        <v>1011</v>
      </c>
    </row>
    <row r="1280">
      <c r="H1280" s="127"/>
      <c r="I1280" s="127"/>
      <c r="AU1280" s="45" t="s">
        <v>1011</v>
      </c>
    </row>
    <row r="1281">
      <c r="H1281" s="127"/>
      <c r="I1281" s="127"/>
      <c r="AU1281" s="45" t="s">
        <v>1011</v>
      </c>
    </row>
    <row r="1282">
      <c r="H1282" s="127"/>
      <c r="I1282" s="127"/>
      <c r="AU1282" s="45" t="s">
        <v>1011</v>
      </c>
    </row>
    <row r="1283">
      <c r="H1283" s="127"/>
      <c r="I1283" s="127"/>
      <c r="AU1283" s="45" t="s">
        <v>1011</v>
      </c>
    </row>
    <row r="1284">
      <c r="H1284" s="127"/>
      <c r="I1284" s="127"/>
      <c r="AU1284" s="45" t="s">
        <v>1011</v>
      </c>
    </row>
    <row r="1285">
      <c r="H1285" s="127"/>
      <c r="I1285" s="127"/>
      <c r="AU1285" s="45" t="s">
        <v>1011</v>
      </c>
    </row>
    <row r="1286">
      <c r="H1286" s="127"/>
      <c r="I1286" s="127"/>
      <c r="AU1286" s="45" t="s">
        <v>1011</v>
      </c>
    </row>
    <row r="1287">
      <c r="H1287" s="127"/>
      <c r="I1287" s="127"/>
      <c r="AU1287" s="45" t="s">
        <v>1011</v>
      </c>
    </row>
    <row r="1288">
      <c r="H1288" s="127"/>
      <c r="I1288" s="127"/>
      <c r="AU1288" s="45" t="s">
        <v>1011</v>
      </c>
    </row>
    <row r="1289">
      <c r="H1289" s="127"/>
      <c r="I1289" s="127"/>
      <c r="AU1289" s="45" t="s">
        <v>1011</v>
      </c>
    </row>
    <row r="1290">
      <c r="H1290" s="127"/>
      <c r="I1290" s="127"/>
      <c r="AU1290" s="45" t="s">
        <v>1011</v>
      </c>
    </row>
    <row r="1291">
      <c r="H1291" s="127"/>
      <c r="I1291" s="127"/>
      <c r="AU1291" s="45" t="s">
        <v>1011</v>
      </c>
    </row>
    <row r="1292">
      <c r="H1292" s="127"/>
      <c r="I1292" s="127"/>
      <c r="AU1292" s="45" t="s">
        <v>1011</v>
      </c>
    </row>
    <row r="1293">
      <c r="H1293" s="127"/>
      <c r="I1293" s="127"/>
      <c r="AU1293" s="45" t="s">
        <v>1011</v>
      </c>
    </row>
    <row r="1294">
      <c r="H1294" s="127"/>
      <c r="I1294" s="127"/>
      <c r="AU1294" s="45" t="s">
        <v>1011</v>
      </c>
    </row>
    <row r="1295">
      <c r="H1295" s="127"/>
      <c r="I1295" s="127"/>
      <c r="AU1295" s="45" t="s">
        <v>1011</v>
      </c>
    </row>
    <row r="1296">
      <c r="H1296" s="127"/>
      <c r="I1296" s="127"/>
      <c r="AU1296" s="45" t="s">
        <v>1011</v>
      </c>
    </row>
    <row r="1297">
      <c r="H1297" s="127"/>
      <c r="I1297" s="127"/>
      <c r="AU1297" s="45" t="s">
        <v>1011</v>
      </c>
    </row>
    <row r="1298">
      <c r="H1298" s="127"/>
      <c r="I1298" s="127"/>
      <c r="AU1298" s="45" t="s">
        <v>1011</v>
      </c>
    </row>
    <row r="1299">
      <c r="H1299" s="127"/>
      <c r="I1299" s="127"/>
      <c r="AU1299" s="45" t="s">
        <v>1011</v>
      </c>
    </row>
    <row r="1300">
      <c r="H1300" s="127"/>
      <c r="I1300" s="127"/>
      <c r="AU1300" s="45" t="s">
        <v>1011</v>
      </c>
    </row>
    <row r="1301">
      <c r="H1301" s="127"/>
      <c r="I1301" s="127"/>
      <c r="AU1301" s="45" t="s">
        <v>1011</v>
      </c>
    </row>
    <row r="1302">
      <c r="H1302" s="127"/>
      <c r="I1302" s="127"/>
      <c r="AU1302" s="45" t="s">
        <v>1011</v>
      </c>
    </row>
    <row r="1303">
      <c r="H1303" s="127"/>
      <c r="I1303" s="127"/>
      <c r="AU1303" s="45" t="s">
        <v>1011</v>
      </c>
    </row>
    <row r="1304">
      <c r="H1304" s="127"/>
      <c r="I1304" s="127"/>
      <c r="AU1304" s="45" t="s">
        <v>1011</v>
      </c>
    </row>
    <row r="1305">
      <c r="H1305" s="127"/>
      <c r="I1305" s="127"/>
      <c r="AU1305" s="45" t="s">
        <v>1011</v>
      </c>
    </row>
    <row r="1306">
      <c r="H1306" s="127"/>
      <c r="I1306" s="127"/>
      <c r="AU1306" s="45" t="s">
        <v>1011</v>
      </c>
    </row>
    <row r="1307">
      <c r="H1307" s="127"/>
      <c r="I1307" s="127"/>
      <c r="AU1307" s="45" t="s">
        <v>1011</v>
      </c>
    </row>
    <row r="1308">
      <c r="H1308" s="127"/>
      <c r="I1308" s="127"/>
      <c r="AU1308" s="45" t="s">
        <v>1011</v>
      </c>
    </row>
    <row r="1309">
      <c r="H1309" s="127"/>
      <c r="I1309" s="127"/>
      <c r="AU1309" s="45" t="s">
        <v>1011</v>
      </c>
    </row>
    <row r="1310">
      <c r="H1310" s="127"/>
      <c r="I1310" s="127"/>
      <c r="AU1310" s="45" t="s">
        <v>1011</v>
      </c>
    </row>
    <row r="1311">
      <c r="H1311" s="127"/>
      <c r="I1311" s="127"/>
      <c r="AU1311" s="45" t="s">
        <v>1011</v>
      </c>
    </row>
    <row r="1312">
      <c r="H1312" s="127"/>
      <c r="I1312" s="127"/>
      <c r="AU1312" s="45" t="s">
        <v>1011</v>
      </c>
    </row>
    <row r="1313">
      <c r="H1313" s="127"/>
      <c r="I1313" s="127"/>
      <c r="AU1313" s="45" t="s">
        <v>1011</v>
      </c>
    </row>
    <row r="1314">
      <c r="H1314" s="127"/>
      <c r="I1314" s="127"/>
      <c r="AU1314" s="45" t="s">
        <v>1011</v>
      </c>
    </row>
    <row r="1315">
      <c r="H1315" s="127"/>
      <c r="I1315" s="127"/>
      <c r="AU1315" s="45" t="s">
        <v>1011</v>
      </c>
    </row>
    <row r="1316">
      <c r="H1316" s="127"/>
      <c r="I1316" s="127"/>
      <c r="AU1316" s="45" t="s">
        <v>1011</v>
      </c>
    </row>
    <row r="1317">
      <c r="H1317" s="127"/>
      <c r="I1317" s="127"/>
      <c r="AU1317" s="45" t="s">
        <v>1011</v>
      </c>
    </row>
    <row r="1318">
      <c r="H1318" s="127"/>
      <c r="I1318" s="127"/>
      <c r="AU1318" s="45" t="s">
        <v>1011</v>
      </c>
    </row>
    <row r="1319">
      <c r="H1319" s="127"/>
      <c r="I1319" s="127"/>
      <c r="AU1319" s="45" t="s">
        <v>1011</v>
      </c>
    </row>
    <row r="1320">
      <c r="H1320" s="127"/>
      <c r="I1320" s="127"/>
      <c r="AU1320" s="45" t="s">
        <v>1011</v>
      </c>
    </row>
    <row r="1321">
      <c r="H1321" s="127"/>
      <c r="I1321" s="127"/>
      <c r="AU1321" s="45" t="s">
        <v>1011</v>
      </c>
    </row>
    <row r="1322">
      <c r="H1322" s="127"/>
      <c r="I1322" s="127"/>
      <c r="AU1322" s="45" t="s">
        <v>1011</v>
      </c>
    </row>
    <row r="1323">
      <c r="H1323" s="127"/>
      <c r="I1323" s="127"/>
      <c r="AU1323" s="45" t="s">
        <v>1011</v>
      </c>
    </row>
    <row r="1324">
      <c r="H1324" s="127"/>
      <c r="I1324" s="127"/>
      <c r="AU1324" s="45" t="s">
        <v>1011</v>
      </c>
    </row>
    <row r="1325">
      <c r="H1325" s="127"/>
      <c r="I1325" s="127"/>
      <c r="AU1325" s="45" t="s">
        <v>1011</v>
      </c>
    </row>
    <row r="1326">
      <c r="H1326" s="127"/>
      <c r="I1326" s="127"/>
      <c r="AU1326" s="45" t="s">
        <v>1011</v>
      </c>
    </row>
    <row r="1327">
      <c r="H1327" s="127"/>
      <c r="I1327" s="127"/>
      <c r="AU1327" s="45" t="s">
        <v>1011</v>
      </c>
    </row>
    <row r="1328">
      <c r="H1328" s="127"/>
      <c r="I1328" s="127"/>
      <c r="AU1328" s="45" t="s">
        <v>1011</v>
      </c>
    </row>
    <row r="1329">
      <c r="H1329" s="127"/>
      <c r="I1329" s="127"/>
      <c r="AU1329" s="45" t="s">
        <v>1011</v>
      </c>
    </row>
    <row r="1330">
      <c r="H1330" s="127"/>
      <c r="I1330" s="127"/>
      <c r="AU1330" s="45" t="s">
        <v>1011</v>
      </c>
    </row>
    <row r="1331">
      <c r="H1331" s="127"/>
      <c r="I1331" s="127"/>
      <c r="AU1331" s="45" t="s">
        <v>1011</v>
      </c>
    </row>
    <row r="1332">
      <c r="H1332" s="127"/>
      <c r="I1332" s="127"/>
      <c r="AU1332" s="45" t="s">
        <v>1011</v>
      </c>
    </row>
    <row r="1333">
      <c r="H1333" s="127"/>
      <c r="I1333" s="127"/>
      <c r="AU1333" s="45" t="s">
        <v>1011</v>
      </c>
    </row>
    <row r="1334">
      <c r="H1334" s="127"/>
      <c r="I1334" s="127"/>
      <c r="AU1334" s="45" t="s">
        <v>1011</v>
      </c>
    </row>
    <row r="1335">
      <c r="H1335" s="127"/>
      <c r="I1335" s="127"/>
      <c r="AU1335" s="45" t="s">
        <v>1011</v>
      </c>
    </row>
    <row r="1336">
      <c r="H1336" s="127"/>
      <c r="I1336" s="127"/>
      <c r="AU1336" s="45" t="s">
        <v>1011</v>
      </c>
    </row>
    <row r="1337">
      <c r="H1337" s="127"/>
      <c r="I1337" s="127"/>
      <c r="AU1337" s="45" t="s">
        <v>1011</v>
      </c>
    </row>
    <row r="1338">
      <c r="H1338" s="127"/>
      <c r="I1338" s="127"/>
      <c r="AU1338" s="45" t="s">
        <v>1011</v>
      </c>
    </row>
    <row r="1339">
      <c r="H1339" s="127"/>
      <c r="I1339" s="127"/>
      <c r="AU1339" s="45" t="s">
        <v>1011</v>
      </c>
    </row>
    <row r="1340">
      <c r="H1340" s="127"/>
      <c r="I1340" s="127"/>
      <c r="AU1340" s="45" t="s">
        <v>1011</v>
      </c>
    </row>
    <row r="1341">
      <c r="H1341" s="127"/>
      <c r="I1341" s="127"/>
      <c r="AU1341" s="45" t="s">
        <v>1011</v>
      </c>
    </row>
    <row r="1342">
      <c r="H1342" s="127"/>
      <c r="I1342" s="127"/>
      <c r="AU1342" s="45" t="s">
        <v>1011</v>
      </c>
    </row>
    <row r="1343">
      <c r="H1343" s="127"/>
      <c r="I1343" s="127"/>
      <c r="AU1343" s="45" t="s">
        <v>1011</v>
      </c>
    </row>
    <row r="1344">
      <c r="H1344" s="127"/>
      <c r="I1344" s="127"/>
      <c r="AU1344" s="45" t="s">
        <v>1011</v>
      </c>
    </row>
    <row r="1345">
      <c r="H1345" s="127"/>
      <c r="I1345" s="127"/>
      <c r="AU1345" s="45" t="s">
        <v>1011</v>
      </c>
    </row>
    <row r="1346">
      <c r="H1346" s="127"/>
      <c r="I1346" s="127"/>
      <c r="AU1346" s="45" t="s">
        <v>1011</v>
      </c>
    </row>
    <row r="1347">
      <c r="H1347" s="127"/>
      <c r="I1347" s="127"/>
      <c r="AU1347" s="45" t="s">
        <v>1011</v>
      </c>
    </row>
    <row r="1348">
      <c r="H1348" s="127"/>
      <c r="I1348" s="127"/>
      <c r="AU1348" s="45" t="s">
        <v>1011</v>
      </c>
    </row>
    <row r="1349">
      <c r="H1349" s="127"/>
      <c r="I1349" s="127"/>
      <c r="AU1349" s="45" t="s">
        <v>1011</v>
      </c>
    </row>
    <row r="1350">
      <c r="H1350" s="127"/>
      <c r="I1350" s="127"/>
      <c r="AU1350" s="45" t="s">
        <v>1011</v>
      </c>
    </row>
    <row r="1351">
      <c r="H1351" s="127"/>
      <c r="I1351" s="127"/>
      <c r="AU1351" s="45" t="s">
        <v>1011</v>
      </c>
    </row>
    <row r="1352">
      <c r="H1352" s="127"/>
      <c r="I1352" s="127"/>
      <c r="AU1352" s="45" t="s">
        <v>1011</v>
      </c>
    </row>
    <row r="1353">
      <c r="H1353" s="127"/>
      <c r="I1353" s="127"/>
      <c r="AU1353" s="45" t="s">
        <v>1011</v>
      </c>
    </row>
    <row r="1354">
      <c r="H1354" s="127"/>
      <c r="I1354" s="127"/>
      <c r="AU1354" s="45" t="s">
        <v>1011</v>
      </c>
    </row>
    <row r="1355">
      <c r="H1355" s="127"/>
      <c r="I1355" s="127"/>
      <c r="AU1355" s="45" t="s">
        <v>1011</v>
      </c>
    </row>
    <row r="1356">
      <c r="H1356" s="127"/>
      <c r="I1356" s="127"/>
      <c r="AU1356" s="45" t="s">
        <v>1011</v>
      </c>
    </row>
    <row r="1357">
      <c r="H1357" s="127"/>
      <c r="I1357" s="127"/>
      <c r="AU1357" s="45" t="s">
        <v>1011</v>
      </c>
    </row>
    <row r="1358">
      <c r="H1358" s="127"/>
      <c r="I1358" s="127"/>
      <c r="AU1358" s="45" t="s">
        <v>1011</v>
      </c>
    </row>
    <row r="1359">
      <c r="H1359" s="127"/>
      <c r="I1359" s="127"/>
      <c r="AU1359" s="45" t="s">
        <v>1011</v>
      </c>
    </row>
    <row r="1360">
      <c r="H1360" s="127"/>
      <c r="I1360" s="127"/>
      <c r="AU1360" s="45" t="s">
        <v>1011</v>
      </c>
    </row>
    <row r="1361">
      <c r="H1361" s="127"/>
      <c r="I1361" s="127"/>
      <c r="AU1361" s="45" t="s">
        <v>1011</v>
      </c>
    </row>
    <row r="1362">
      <c r="H1362" s="127"/>
      <c r="I1362" s="127"/>
      <c r="AU1362" s="45" t="s">
        <v>1011</v>
      </c>
    </row>
    <row r="1363">
      <c r="H1363" s="127"/>
      <c r="I1363" s="127"/>
      <c r="AU1363" s="45" t="s">
        <v>1011</v>
      </c>
    </row>
    <row r="1364">
      <c r="H1364" s="127"/>
      <c r="I1364" s="127"/>
      <c r="AU1364" s="45" t="s">
        <v>1011</v>
      </c>
    </row>
    <row r="1365">
      <c r="H1365" s="127"/>
      <c r="I1365" s="127"/>
      <c r="AU1365" s="45" t="s">
        <v>1011</v>
      </c>
    </row>
    <row r="1366">
      <c r="H1366" s="127"/>
      <c r="I1366" s="127"/>
      <c r="AU1366" s="45" t="s">
        <v>1011</v>
      </c>
    </row>
    <row r="1367">
      <c r="H1367" s="127"/>
      <c r="I1367" s="127"/>
      <c r="AU1367" s="45" t="s">
        <v>1011</v>
      </c>
    </row>
    <row r="1368">
      <c r="H1368" s="127"/>
      <c r="I1368" s="127"/>
      <c r="AU1368" s="45" t="s">
        <v>1011</v>
      </c>
    </row>
    <row r="1369">
      <c r="H1369" s="127"/>
      <c r="I1369" s="127"/>
      <c r="AU1369" s="45" t="s">
        <v>1011</v>
      </c>
    </row>
    <row r="1370">
      <c r="H1370" s="127"/>
      <c r="I1370" s="127"/>
      <c r="AU1370" s="45" t="s">
        <v>1011</v>
      </c>
    </row>
    <row r="1371">
      <c r="H1371" s="127"/>
      <c r="I1371" s="127"/>
      <c r="AU1371" s="45" t="s">
        <v>1011</v>
      </c>
    </row>
    <row r="1372">
      <c r="H1372" s="127"/>
      <c r="I1372" s="127"/>
      <c r="AU1372" s="45" t="s">
        <v>1011</v>
      </c>
    </row>
    <row r="1373">
      <c r="H1373" s="127"/>
      <c r="I1373" s="127"/>
      <c r="AU1373" s="45" t="s">
        <v>1011</v>
      </c>
    </row>
    <row r="1374">
      <c r="H1374" s="127"/>
      <c r="I1374" s="127"/>
      <c r="AU1374" s="45" t="s">
        <v>1011</v>
      </c>
    </row>
    <row r="1375">
      <c r="H1375" s="127"/>
      <c r="I1375" s="127"/>
      <c r="AU1375" s="45" t="s">
        <v>1011</v>
      </c>
    </row>
    <row r="1376">
      <c r="H1376" s="127"/>
      <c r="I1376" s="127"/>
      <c r="AU1376" s="45" t="s">
        <v>1011</v>
      </c>
    </row>
    <row r="1377">
      <c r="H1377" s="127"/>
      <c r="I1377" s="127"/>
      <c r="AU1377" s="45" t="s">
        <v>1011</v>
      </c>
    </row>
    <row r="1378">
      <c r="H1378" s="127"/>
      <c r="I1378" s="127"/>
      <c r="AU1378" s="45" t="s">
        <v>1011</v>
      </c>
    </row>
    <row r="1379">
      <c r="H1379" s="127"/>
      <c r="I1379" s="127"/>
      <c r="AU1379" s="45" t="s">
        <v>1011</v>
      </c>
    </row>
    <row r="1380">
      <c r="H1380" s="127"/>
      <c r="I1380" s="127"/>
      <c r="AU1380" s="45" t="s">
        <v>1011</v>
      </c>
    </row>
    <row r="1381">
      <c r="H1381" s="127"/>
      <c r="I1381" s="127"/>
      <c r="AU1381" s="45" t="s">
        <v>1011</v>
      </c>
    </row>
    <row r="1382">
      <c r="H1382" s="127"/>
      <c r="I1382" s="127"/>
      <c r="AU1382" s="45" t="s">
        <v>1011</v>
      </c>
    </row>
    <row r="1383">
      <c r="H1383" s="127"/>
      <c r="I1383" s="127"/>
      <c r="AU1383" s="45" t="s">
        <v>1011</v>
      </c>
    </row>
    <row r="1384">
      <c r="H1384" s="127"/>
      <c r="I1384" s="127"/>
      <c r="AU1384" s="45" t="s">
        <v>1011</v>
      </c>
    </row>
    <row r="1385">
      <c r="H1385" s="127"/>
      <c r="I1385" s="127"/>
      <c r="AU1385" s="45" t="s">
        <v>1011</v>
      </c>
    </row>
    <row r="1386">
      <c r="H1386" s="127"/>
      <c r="I1386" s="127"/>
      <c r="AU1386" s="45" t="s">
        <v>1011</v>
      </c>
    </row>
    <row r="1387">
      <c r="H1387" s="127"/>
      <c r="I1387" s="127"/>
      <c r="AU1387" s="45" t="s">
        <v>1011</v>
      </c>
    </row>
    <row r="1388">
      <c r="H1388" s="127"/>
      <c r="I1388" s="127"/>
      <c r="AU1388" s="45" t="s">
        <v>1011</v>
      </c>
    </row>
    <row r="1389">
      <c r="H1389" s="127"/>
      <c r="I1389" s="127"/>
      <c r="AU1389" s="45" t="s">
        <v>1011</v>
      </c>
    </row>
    <row r="1390">
      <c r="H1390" s="127"/>
      <c r="I1390" s="127"/>
      <c r="AU1390" s="45" t="s">
        <v>1011</v>
      </c>
    </row>
    <row r="1391">
      <c r="H1391" s="127"/>
      <c r="I1391" s="127"/>
      <c r="AU1391" s="45" t="s">
        <v>1011</v>
      </c>
    </row>
    <row r="1392">
      <c r="H1392" s="127"/>
      <c r="I1392" s="127"/>
      <c r="AU1392" s="45" t="s">
        <v>1011</v>
      </c>
    </row>
    <row r="1393">
      <c r="H1393" s="127"/>
      <c r="I1393" s="127"/>
      <c r="AU1393" s="45" t="s">
        <v>1011</v>
      </c>
    </row>
    <row r="1394">
      <c r="H1394" s="127"/>
      <c r="I1394" s="127"/>
      <c r="AU1394" s="45" t="s">
        <v>1011</v>
      </c>
    </row>
    <row r="1395">
      <c r="H1395" s="127"/>
      <c r="I1395" s="127"/>
      <c r="AU1395" s="45" t="s">
        <v>1011</v>
      </c>
    </row>
    <row r="1396">
      <c r="H1396" s="127"/>
      <c r="I1396" s="127"/>
      <c r="AU1396" s="45" t="s">
        <v>1011</v>
      </c>
    </row>
    <row r="1397">
      <c r="H1397" s="127"/>
      <c r="I1397" s="127"/>
      <c r="AU1397" s="45" t="s">
        <v>1011</v>
      </c>
    </row>
    <row r="1398">
      <c r="H1398" s="127"/>
      <c r="I1398" s="127"/>
      <c r="AU1398" s="45" t="s">
        <v>1011</v>
      </c>
    </row>
    <row r="1399">
      <c r="H1399" s="127"/>
      <c r="I1399" s="127"/>
      <c r="AU1399" s="45" t="s">
        <v>1011</v>
      </c>
    </row>
    <row r="1400">
      <c r="H1400" s="127"/>
      <c r="I1400" s="127"/>
      <c r="AU1400" s="45" t="s">
        <v>1011</v>
      </c>
    </row>
    <row r="1401">
      <c r="H1401" s="127"/>
      <c r="I1401" s="127"/>
      <c r="AU1401" s="45" t="s">
        <v>1011</v>
      </c>
    </row>
    <row r="1402">
      <c r="H1402" s="127"/>
      <c r="I1402" s="127"/>
      <c r="AU1402" s="45" t="s">
        <v>1011</v>
      </c>
    </row>
    <row r="1403">
      <c r="H1403" s="127"/>
      <c r="I1403" s="127"/>
      <c r="AU1403" s="45" t="s">
        <v>1011</v>
      </c>
    </row>
    <row r="1404">
      <c r="H1404" s="127"/>
      <c r="I1404" s="127"/>
      <c r="AU1404" s="45" t="s">
        <v>1011</v>
      </c>
    </row>
    <row r="1405">
      <c r="H1405" s="127"/>
      <c r="I1405" s="127"/>
      <c r="AU1405" s="45" t="s">
        <v>1011</v>
      </c>
    </row>
    <row r="1406">
      <c r="H1406" s="127"/>
      <c r="I1406" s="127"/>
      <c r="AU1406" s="45" t="s">
        <v>1011</v>
      </c>
    </row>
    <row r="1407">
      <c r="H1407" s="127"/>
      <c r="I1407" s="127"/>
      <c r="AU1407" s="45" t="s">
        <v>1011</v>
      </c>
    </row>
    <row r="1408">
      <c r="H1408" s="127"/>
      <c r="I1408" s="127"/>
      <c r="AU1408" s="45" t="s">
        <v>1011</v>
      </c>
    </row>
    <row r="1409">
      <c r="H1409" s="127"/>
      <c r="I1409" s="127"/>
      <c r="AU1409" s="45" t="s">
        <v>1011</v>
      </c>
    </row>
    <row r="1410">
      <c r="H1410" s="127"/>
      <c r="I1410" s="127"/>
      <c r="AU1410" s="45" t="s">
        <v>1011</v>
      </c>
    </row>
    <row r="1411">
      <c r="H1411" s="127"/>
      <c r="I1411" s="127"/>
      <c r="AU1411" s="45" t="s">
        <v>1011</v>
      </c>
    </row>
    <row r="1412">
      <c r="H1412" s="127"/>
      <c r="I1412" s="127"/>
      <c r="AU1412" s="45" t="s">
        <v>1011</v>
      </c>
    </row>
    <row r="1413">
      <c r="H1413" s="127"/>
      <c r="I1413" s="127"/>
      <c r="AU1413" s="45" t="s">
        <v>1011</v>
      </c>
    </row>
    <row r="1414">
      <c r="H1414" s="127"/>
      <c r="I1414" s="127"/>
      <c r="AU1414" s="45" t="s">
        <v>1011</v>
      </c>
    </row>
    <row r="1415">
      <c r="H1415" s="127"/>
      <c r="I1415" s="127"/>
      <c r="AU1415" s="45" t="s">
        <v>1011</v>
      </c>
    </row>
    <row r="1416">
      <c r="H1416" s="127"/>
      <c r="I1416" s="127"/>
      <c r="AU1416" s="45" t="s">
        <v>1011</v>
      </c>
    </row>
    <row r="1417">
      <c r="H1417" s="127"/>
      <c r="I1417" s="127"/>
      <c r="AU1417" s="45" t="s">
        <v>1011</v>
      </c>
    </row>
    <row r="1418">
      <c r="H1418" s="127"/>
      <c r="I1418" s="127"/>
      <c r="AU1418" s="45" t="s">
        <v>1011</v>
      </c>
    </row>
    <row r="1419">
      <c r="H1419" s="127"/>
      <c r="I1419" s="127"/>
      <c r="AU1419" s="45" t="s">
        <v>1011</v>
      </c>
    </row>
    <row r="1420">
      <c r="H1420" s="127"/>
      <c r="I1420" s="127"/>
      <c r="AU1420" s="45" t="s">
        <v>1011</v>
      </c>
    </row>
    <row r="1421">
      <c r="H1421" s="127"/>
      <c r="I1421" s="127"/>
      <c r="AU1421" s="45" t="s">
        <v>1011</v>
      </c>
    </row>
    <row r="1422">
      <c r="H1422" s="127"/>
      <c r="I1422" s="127"/>
      <c r="AU1422" s="45" t="s">
        <v>1011</v>
      </c>
    </row>
    <row r="1423">
      <c r="H1423" s="127"/>
      <c r="I1423" s="127"/>
      <c r="AU1423" s="45" t="s">
        <v>1011</v>
      </c>
    </row>
    <row r="1424">
      <c r="H1424" s="127"/>
      <c r="I1424" s="127"/>
      <c r="AU1424" s="45" t="s">
        <v>1011</v>
      </c>
    </row>
    <row r="1425">
      <c r="H1425" s="127"/>
      <c r="I1425" s="127"/>
      <c r="AU1425" s="45" t="s">
        <v>1011</v>
      </c>
    </row>
    <row r="1426">
      <c r="H1426" s="127"/>
      <c r="I1426" s="127"/>
      <c r="AU1426" s="45" t="s">
        <v>1011</v>
      </c>
    </row>
    <row r="1427">
      <c r="H1427" s="127"/>
      <c r="I1427" s="127"/>
      <c r="AU1427" s="45" t="s">
        <v>1011</v>
      </c>
    </row>
    <row r="1428">
      <c r="H1428" s="127"/>
      <c r="I1428" s="127"/>
      <c r="AU1428" s="45" t="s">
        <v>1011</v>
      </c>
    </row>
    <row r="1429">
      <c r="H1429" s="127"/>
      <c r="I1429" s="127"/>
      <c r="AU1429" s="45" t="s">
        <v>1011</v>
      </c>
    </row>
    <row r="1430">
      <c r="H1430" s="127"/>
      <c r="I1430" s="127"/>
      <c r="AU1430" s="45" t="s">
        <v>1011</v>
      </c>
    </row>
    <row r="1431">
      <c r="H1431" s="127"/>
      <c r="I1431" s="127"/>
      <c r="AU1431" s="45" t="s">
        <v>1011</v>
      </c>
    </row>
    <row r="1432">
      <c r="H1432" s="127"/>
      <c r="I1432" s="127"/>
      <c r="AU1432" s="45" t="s">
        <v>1011</v>
      </c>
    </row>
    <row r="1433">
      <c r="H1433" s="127"/>
      <c r="I1433" s="127"/>
      <c r="AU1433" s="45" t="s">
        <v>1011</v>
      </c>
    </row>
    <row r="1434">
      <c r="H1434" s="127"/>
      <c r="I1434" s="127"/>
      <c r="AU1434" s="45" t="s">
        <v>1011</v>
      </c>
    </row>
    <row r="1435">
      <c r="H1435" s="127"/>
      <c r="I1435" s="127"/>
      <c r="AU1435" s="45" t="s">
        <v>1011</v>
      </c>
    </row>
    <row r="1436">
      <c r="H1436" s="127"/>
      <c r="I1436" s="127"/>
      <c r="AU1436" s="45" t="s">
        <v>1011</v>
      </c>
    </row>
    <row r="1437">
      <c r="H1437" s="127"/>
      <c r="I1437" s="127"/>
      <c r="AU1437" s="45" t="s">
        <v>1011</v>
      </c>
    </row>
    <row r="1438">
      <c r="H1438" s="127"/>
      <c r="I1438" s="127"/>
      <c r="AU1438" s="45" t="s">
        <v>1011</v>
      </c>
    </row>
    <row r="1439">
      <c r="H1439" s="127"/>
      <c r="I1439" s="127"/>
      <c r="AU1439" s="45" t="s">
        <v>1011</v>
      </c>
    </row>
    <row r="1440">
      <c r="H1440" s="127"/>
      <c r="I1440" s="127"/>
      <c r="AU1440" s="45" t="s">
        <v>1011</v>
      </c>
    </row>
    <row r="1441">
      <c r="H1441" s="127"/>
      <c r="I1441" s="127"/>
      <c r="AU1441" s="45" t="s">
        <v>1011</v>
      </c>
    </row>
    <row r="1442">
      <c r="H1442" s="127"/>
      <c r="I1442" s="127"/>
      <c r="AU1442" s="45" t="s">
        <v>1011</v>
      </c>
    </row>
    <row r="1443">
      <c r="H1443" s="127"/>
      <c r="I1443" s="127"/>
      <c r="AU1443" s="45" t="s">
        <v>1011</v>
      </c>
    </row>
    <row r="1444">
      <c r="H1444" s="127"/>
      <c r="I1444" s="127"/>
      <c r="AU1444" s="45" t="s">
        <v>1011</v>
      </c>
    </row>
    <row r="1445">
      <c r="H1445" s="127"/>
      <c r="I1445" s="127"/>
      <c r="AU1445" s="45" t="s">
        <v>1011</v>
      </c>
    </row>
    <row r="1446">
      <c r="H1446" s="127"/>
      <c r="I1446" s="127"/>
      <c r="AU1446" s="45" t="s">
        <v>1011</v>
      </c>
    </row>
    <row r="1447">
      <c r="H1447" s="127"/>
      <c r="I1447" s="127"/>
      <c r="AU1447" s="45" t="s">
        <v>1011</v>
      </c>
    </row>
    <row r="1448">
      <c r="H1448" s="127"/>
      <c r="I1448" s="127"/>
      <c r="AU1448" s="45" t="s">
        <v>1011</v>
      </c>
    </row>
    <row r="1449">
      <c r="H1449" s="127"/>
      <c r="I1449" s="127"/>
      <c r="AU1449" s="45" t="s">
        <v>1011</v>
      </c>
    </row>
    <row r="1450">
      <c r="H1450" s="127"/>
      <c r="I1450" s="127"/>
      <c r="AU1450" s="45" t="s">
        <v>1011</v>
      </c>
    </row>
    <row r="1451">
      <c r="H1451" s="127"/>
      <c r="I1451" s="127"/>
      <c r="AU1451" s="45" t="s">
        <v>1011</v>
      </c>
    </row>
    <row r="1452">
      <c r="H1452" s="127"/>
      <c r="I1452" s="127"/>
      <c r="AU1452" s="45" t="s">
        <v>1011</v>
      </c>
    </row>
    <row r="1453">
      <c r="H1453" s="127"/>
      <c r="I1453" s="127"/>
      <c r="AU1453" s="45" t="s">
        <v>1011</v>
      </c>
    </row>
    <row r="1454">
      <c r="H1454" s="127"/>
      <c r="I1454" s="127"/>
      <c r="AU1454" s="45" t="s">
        <v>1011</v>
      </c>
    </row>
    <row r="1455">
      <c r="H1455" s="127"/>
      <c r="I1455" s="127"/>
      <c r="AU1455" s="45" t="s">
        <v>1011</v>
      </c>
    </row>
    <row r="1456">
      <c r="H1456" s="127"/>
      <c r="I1456" s="127"/>
      <c r="AU1456" s="45" t="s">
        <v>1011</v>
      </c>
    </row>
    <row r="1457">
      <c r="H1457" s="127"/>
      <c r="I1457" s="127"/>
      <c r="AU1457" s="45" t="s">
        <v>1011</v>
      </c>
    </row>
    <row r="1458">
      <c r="H1458" s="127"/>
      <c r="I1458" s="127"/>
      <c r="AU1458" s="45" t="s">
        <v>1011</v>
      </c>
    </row>
    <row r="1459">
      <c r="H1459" s="127"/>
      <c r="I1459" s="127"/>
      <c r="AU1459" s="45" t="s">
        <v>1011</v>
      </c>
    </row>
    <row r="1460">
      <c r="H1460" s="127"/>
      <c r="I1460" s="127"/>
      <c r="AU1460" s="45" t="s">
        <v>1011</v>
      </c>
    </row>
    <row r="1461">
      <c r="H1461" s="127"/>
      <c r="I1461" s="127"/>
      <c r="AU1461" s="45" t="s">
        <v>1011</v>
      </c>
    </row>
    <row r="1462">
      <c r="H1462" s="127"/>
      <c r="I1462" s="127"/>
      <c r="AU1462" s="45" t="s">
        <v>1011</v>
      </c>
    </row>
    <row r="1463">
      <c r="H1463" s="127"/>
      <c r="I1463" s="127"/>
      <c r="AU1463" s="45" t="s">
        <v>1011</v>
      </c>
    </row>
    <row r="1464">
      <c r="H1464" s="127"/>
      <c r="I1464" s="127"/>
      <c r="AU1464" s="45" t="s">
        <v>1011</v>
      </c>
    </row>
    <row r="1465">
      <c r="H1465" s="127"/>
      <c r="I1465" s="127"/>
      <c r="AU1465" s="45" t="s">
        <v>1011</v>
      </c>
    </row>
    <row r="1466">
      <c r="H1466" s="127"/>
      <c r="I1466" s="127"/>
      <c r="AU1466" s="45" t="s">
        <v>1011</v>
      </c>
    </row>
    <row r="1467">
      <c r="H1467" s="127"/>
      <c r="I1467" s="127"/>
      <c r="AU1467" s="45" t="s">
        <v>1011</v>
      </c>
    </row>
    <row r="1468">
      <c r="H1468" s="127"/>
      <c r="I1468" s="127"/>
      <c r="AU1468" s="45" t="s">
        <v>1011</v>
      </c>
    </row>
    <row r="1469">
      <c r="H1469" s="127"/>
      <c r="I1469" s="127"/>
      <c r="AU1469" s="45" t="s">
        <v>1011</v>
      </c>
    </row>
    <row r="1470">
      <c r="H1470" s="127"/>
      <c r="I1470" s="127"/>
      <c r="AU1470" s="45" t="s">
        <v>1011</v>
      </c>
    </row>
    <row r="1471">
      <c r="H1471" s="127"/>
      <c r="I1471" s="127"/>
      <c r="AU1471" s="45" t="s">
        <v>1011</v>
      </c>
    </row>
    <row r="1472">
      <c r="H1472" s="127"/>
      <c r="I1472" s="127"/>
      <c r="AU1472" s="45" t="s">
        <v>1011</v>
      </c>
    </row>
    <row r="1473">
      <c r="H1473" s="127"/>
      <c r="I1473" s="127"/>
      <c r="AU1473" s="45" t="s">
        <v>1011</v>
      </c>
    </row>
    <row r="1474">
      <c r="H1474" s="127"/>
      <c r="I1474" s="127"/>
      <c r="AU1474" s="45" t="s">
        <v>1011</v>
      </c>
    </row>
    <row r="1475">
      <c r="H1475" s="127"/>
      <c r="I1475" s="127"/>
      <c r="AU1475" s="45" t="s">
        <v>1011</v>
      </c>
    </row>
    <row r="1476">
      <c r="H1476" s="127"/>
      <c r="I1476" s="127"/>
      <c r="AU1476" s="45" t="s">
        <v>1011</v>
      </c>
    </row>
    <row r="1477">
      <c r="H1477" s="127"/>
      <c r="I1477" s="127"/>
      <c r="AU1477" s="45" t="s">
        <v>1011</v>
      </c>
    </row>
    <row r="1478">
      <c r="H1478" s="127"/>
      <c r="I1478" s="127"/>
      <c r="AU1478" s="45" t="s">
        <v>1011</v>
      </c>
    </row>
    <row r="1479">
      <c r="H1479" s="127"/>
      <c r="I1479" s="127"/>
      <c r="AU1479" s="45" t="s">
        <v>1011</v>
      </c>
    </row>
    <row r="1480">
      <c r="H1480" s="127"/>
      <c r="I1480" s="127"/>
      <c r="AU1480" s="45" t="s">
        <v>1011</v>
      </c>
    </row>
    <row r="1481">
      <c r="H1481" s="127"/>
      <c r="I1481" s="127"/>
      <c r="AU1481" s="45" t="s">
        <v>1011</v>
      </c>
    </row>
    <row r="1482">
      <c r="H1482" s="127"/>
      <c r="I1482" s="127"/>
      <c r="AU1482" s="45" t="s">
        <v>1011</v>
      </c>
    </row>
    <row r="1483">
      <c r="H1483" s="127"/>
      <c r="I1483" s="127"/>
      <c r="AU1483" s="45" t="s">
        <v>1011</v>
      </c>
    </row>
    <row r="1484">
      <c r="H1484" s="127"/>
      <c r="I1484" s="127"/>
      <c r="AU1484" s="45" t="s">
        <v>1011</v>
      </c>
    </row>
    <row r="1485">
      <c r="H1485" s="127"/>
      <c r="I1485" s="127"/>
      <c r="AU1485" s="45" t="s">
        <v>1011</v>
      </c>
    </row>
    <row r="1486">
      <c r="H1486" s="127"/>
      <c r="I1486" s="127"/>
      <c r="AU1486" s="45" t="s">
        <v>1011</v>
      </c>
    </row>
    <row r="1487">
      <c r="H1487" s="127"/>
      <c r="I1487" s="127"/>
      <c r="AU1487" s="45" t="s">
        <v>1011</v>
      </c>
    </row>
    <row r="1488">
      <c r="H1488" s="127"/>
      <c r="I1488" s="127"/>
      <c r="AU1488" s="45" t="s">
        <v>1011</v>
      </c>
    </row>
    <row r="1489">
      <c r="H1489" s="127"/>
      <c r="I1489" s="127"/>
      <c r="AU1489" s="45" t="s">
        <v>1011</v>
      </c>
    </row>
    <row r="1490">
      <c r="H1490" s="127"/>
      <c r="I1490" s="127"/>
      <c r="AU1490" s="45" t="s">
        <v>1011</v>
      </c>
    </row>
    <row r="1491">
      <c r="H1491" s="127"/>
      <c r="I1491" s="127"/>
      <c r="AU1491" s="45" t="s">
        <v>1011</v>
      </c>
    </row>
    <row r="1492">
      <c r="H1492" s="127"/>
      <c r="I1492" s="127"/>
      <c r="AU1492" s="45" t="s">
        <v>1011</v>
      </c>
    </row>
    <row r="1493">
      <c r="H1493" s="127"/>
      <c r="I1493" s="127"/>
      <c r="AU1493" s="45" t="s">
        <v>1011</v>
      </c>
    </row>
    <row r="1494">
      <c r="H1494" s="127"/>
      <c r="I1494" s="127"/>
      <c r="AU1494" s="45" t="s">
        <v>1011</v>
      </c>
    </row>
    <row r="1495">
      <c r="H1495" s="127"/>
      <c r="I1495" s="127"/>
      <c r="AU1495" s="45" t="s">
        <v>1011</v>
      </c>
    </row>
    <row r="1496">
      <c r="H1496" s="127"/>
      <c r="I1496" s="127"/>
      <c r="AU1496" s="45" t="s">
        <v>1011</v>
      </c>
    </row>
    <row r="1497">
      <c r="H1497" s="127"/>
      <c r="I1497" s="127"/>
      <c r="AU1497" s="45" t="s">
        <v>1011</v>
      </c>
    </row>
    <row r="1498">
      <c r="H1498" s="127"/>
      <c r="I1498" s="127"/>
      <c r="AU1498" s="45" t="s">
        <v>1011</v>
      </c>
    </row>
    <row r="1499">
      <c r="H1499" s="127"/>
      <c r="I1499" s="127"/>
      <c r="AU1499" s="45" t="s">
        <v>1011</v>
      </c>
    </row>
    <row r="1500">
      <c r="H1500" s="127"/>
      <c r="I1500" s="127"/>
      <c r="AU1500" s="45" t="s">
        <v>1011</v>
      </c>
    </row>
    <row r="1501">
      <c r="H1501" s="127"/>
      <c r="I1501" s="127"/>
      <c r="AU1501" s="45" t="s">
        <v>1011</v>
      </c>
    </row>
    <row r="1502">
      <c r="H1502" s="127"/>
      <c r="I1502" s="127"/>
      <c r="AU1502" s="45" t="s">
        <v>1011</v>
      </c>
    </row>
    <row r="1503">
      <c r="H1503" s="127"/>
      <c r="I1503" s="127"/>
      <c r="AU1503" s="45" t="s">
        <v>1011</v>
      </c>
    </row>
    <row r="1504">
      <c r="H1504" s="127"/>
      <c r="I1504" s="127"/>
      <c r="AU1504" s="45" t="s">
        <v>1011</v>
      </c>
    </row>
    <row r="1505">
      <c r="H1505" s="127"/>
      <c r="I1505" s="127"/>
      <c r="AU1505" s="45" t="s">
        <v>1011</v>
      </c>
    </row>
    <row r="1506">
      <c r="H1506" s="127"/>
      <c r="I1506" s="127"/>
      <c r="AU1506" s="45" t="s">
        <v>1011</v>
      </c>
    </row>
    <row r="1507">
      <c r="H1507" s="127"/>
      <c r="I1507" s="127"/>
      <c r="AU1507" s="45" t="s">
        <v>1011</v>
      </c>
    </row>
    <row r="1508">
      <c r="H1508" s="127"/>
      <c r="I1508" s="127"/>
      <c r="AU1508" s="45" t="s">
        <v>1011</v>
      </c>
    </row>
    <row r="1509">
      <c r="H1509" s="127"/>
      <c r="I1509" s="127"/>
      <c r="AU1509" s="45" t="s">
        <v>1011</v>
      </c>
    </row>
    <row r="1510">
      <c r="H1510" s="127"/>
      <c r="I1510" s="127"/>
      <c r="AU1510" s="45" t="s">
        <v>1011</v>
      </c>
    </row>
    <row r="1511">
      <c r="H1511" s="127"/>
      <c r="I1511" s="127"/>
      <c r="AU1511" s="45" t="s">
        <v>1011</v>
      </c>
    </row>
    <row r="1512">
      <c r="H1512" s="127"/>
      <c r="I1512" s="127"/>
      <c r="AU1512" s="45" t="s">
        <v>1011</v>
      </c>
    </row>
    <row r="1513">
      <c r="H1513" s="127"/>
      <c r="I1513" s="127"/>
      <c r="AU1513" s="45" t="s">
        <v>1011</v>
      </c>
    </row>
    <row r="1514">
      <c r="H1514" s="127"/>
      <c r="I1514" s="127"/>
      <c r="AU1514" s="45" t="s">
        <v>1011</v>
      </c>
    </row>
    <row r="1515">
      <c r="H1515" s="127"/>
      <c r="I1515" s="127"/>
      <c r="AU1515" s="45" t="s">
        <v>1011</v>
      </c>
    </row>
    <row r="1516">
      <c r="H1516" s="127"/>
      <c r="I1516" s="127"/>
      <c r="AU1516" s="45" t="s">
        <v>1011</v>
      </c>
    </row>
    <row r="1517">
      <c r="H1517" s="127"/>
      <c r="I1517" s="127"/>
      <c r="AU1517" s="45" t="s">
        <v>1011</v>
      </c>
    </row>
    <row r="1518">
      <c r="H1518" s="127"/>
      <c r="I1518" s="127"/>
      <c r="AU1518" s="45" t="s">
        <v>1011</v>
      </c>
    </row>
    <row r="1519">
      <c r="H1519" s="127"/>
      <c r="I1519" s="127"/>
      <c r="AU1519" s="45" t="s">
        <v>1011</v>
      </c>
    </row>
    <row r="1520">
      <c r="H1520" s="127"/>
      <c r="I1520" s="127"/>
      <c r="AU1520" s="45" t="s">
        <v>1011</v>
      </c>
    </row>
    <row r="1521">
      <c r="H1521" s="127"/>
      <c r="I1521" s="127"/>
      <c r="AU1521" s="45" t="s">
        <v>1011</v>
      </c>
    </row>
    <row r="1522">
      <c r="H1522" s="127"/>
      <c r="I1522" s="127"/>
      <c r="AU1522" s="45" t="s">
        <v>1011</v>
      </c>
    </row>
    <row r="1523">
      <c r="H1523" s="127"/>
      <c r="I1523" s="127"/>
      <c r="AU1523" s="45" t="s">
        <v>1011</v>
      </c>
    </row>
    <row r="1524">
      <c r="H1524" s="127"/>
      <c r="I1524" s="127"/>
      <c r="AU1524" s="45" t="s">
        <v>1011</v>
      </c>
    </row>
    <row r="1525">
      <c r="H1525" s="127"/>
      <c r="I1525" s="127"/>
      <c r="AU1525" s="45" t="s">
        <v>1011</v>
      </c>
    </row>
    <row r="1526">
      <c r="H1526" s="127"/>
      <c r="I1526" s="127"/>
      <c r="AU1526" s="45" t="s">
        <v>1011</v>
      </c>
    </row>
    <row r="1527">
      <c r="H1527" s="127"/>
      <c r="I1527" s="127"/>
      <c r="AU1527" s="45" t="s">
        <v>1011</v>
      </c>
    </row>
    <row r="1528">
      <c r="H1528" s="127"/>
      <c r="I1528" s="127"/>
      <c r="AU1528" s="45" t="s">
        <v>1011</v>
      </c>
    </row>
    <row r="1529">
      <c r="H1529" s="127"/>
      <c r="I1529" s="127"/>
      <c r="AU1529" s="45" t="s">
        <v>1011</v>
      </c>
    </row>
    <row r="1530">
      <c r="H1530" s="127"/>
      <c r="I1530" s="127"/>
      <c r="AU1530" s="45" t="s">
        <v>1011</v>
      </c>
    </row>
    <row r="1531">
      <c r="H1531" s="127"/>
      <c r="I1531" s="127"/>
      <c r="AU1531" s="45" t="s">
        <v>1011</v>
      </c>
    </row>
    <row r="1532">
      <c r="H1532" s="127"/>
      <c r="I1532" s="127"/>
      <c r="AU1532" s="45" t="s">
        <v>1011</v>
      </c>
    </row>
    <row r="1533">
      <c r="H1533" s="127"/>
      <c r="I1533" s="127"/>
      <c r="AU1533" s="45" t="s">
        <v>1011</v>
      </c>
    </row>
    <row r="1534">
      <c r="H1534" s="127"/>
      <c r="I1534" s="127"/>
      <c r="AU1534" s="45" t="s">
        <v>1011</v>
      </c>
    </row>
    <row r="1535">
      <c r="H1535" s="127"/>
      <c r="I1535" s="127"/>
      <c r="AU1535" s="45" t="s">
        <v>1011</v>
      </c>
    </row>
    <row r="1536">
      <c r="H1536" s="127"/>
      <c r="I1536" s="127"/>
      <c r="AU1536" s="45" t="s">
        <v>1011</v>
      </c>
    </row>
    <row r="1537">
      <c r="H1537" s="127"/>
      <c r="I1537" s="127"/>
      <c r="AU1537" s="45" t="s">
        <v>1011</v>
      </c>
    </row>
    <row r="1538">
      <c r="H1538" s="127"/>
      <c r="I1538" s="127"/>
      <c r="AU1538" s="45" t="s">
        <v>1011</v>
      </c>
    </row>
    <row r="1539">
      <c r="H1539" s="127"/>
      <c r="I1539" s="127"/>
      <c r="AU1539" s="45" t="s">
        <v>1011</v>
      </c>
    </row>
    <row r="1540">
      <c r="H1540" s="127"/>
      <c r="I1540" s="127"/>
      <c r="AU1540" s="45" t="s">
        <v>1011</v>
      </c>
    </row>
    <row r="1541">
      <c r="H1541" s="127"/>
      <c r="I1541" s="127"/>
      <c r="AU1541" s="45" t="s">
        <v>1011</v>
      </c>
    </row>
    <row r="1542">
      <c r="H1542" s="127"/>
      <c r="I1542" s="127"/>
      <c r="AU1542" s="45" t="s">
        <v>1011</v>
      </c>
    </row>
    <row r="1543">
      <c r="H1543" s="127"/>
      <c r="I1543" s="127"/>
      <c r="AU1543" s="45" t="s">
        <v>1011</v>
      </c>
    </row>
    <row r="1544">
      <c r="H1544" s="127"/>
      <c r="I1544" s="127"/>
      <c r="AU1544" s="45" t="s">
        <v>1011</v>
      </c>
    </row>
    <row r="1545">
      <c r="H1545" s="127"/>
      <c r="I1545" s="127"/>
      <c r="AU1545" s="45" t="s">
        <v>1011</v>
      </c>
    </row>
    <row r="1546">
      <c r="H1546" s="127"/>
      <c r="I1546" s="127"/>
      <c r="AU1546" s="45" t="s">
        <v>1011</v>
      </c>
    </row>
    <row r="1547">
      <c r="H1547" s="127"/>
      <c r="I1547" s="127"/>
      <c r="AU1547" s="45" t="s">
        <v>1011</v>
      </c>
    </row>
    <row r="1548">
      <c r="H1548" s="127"/>
      <c r="I1548" s="127"/>
      <c r="AU1548" s="45" t="s">
        <v>1011</v>
      </c>
    </row>
    <row r="1549">
      <c r="H1549" s="127"/>
      <c r="I1549" s="127"/>
      <c r="AU1549" s="45" t="s">
        <v>1011</v>
      </c>
    </row>
    <row r="1550">
      <c r="H1550" s="127"/>
      <c r="I1550" s="127"/>
      <c r="AU1550" s="45" t="s">
        <v>1011</v>
      </c>
    </row>
    <row r="1551">
      <c r="H1551" s="127"/>
      <c r="I1551" s="127"/>
      <c r="AU1551" s="45" t="s">
        <v>1011</v>
      </c>
    </row>
    <row r="1552">
      <c r="H1552" s="127"/>
      <c r="I1552" s="127"/>
      <c r="AU1552" s="45" t="s">
        <v>1011</v>
      </c>
    </row>
    <row r="1553">
      <c r="H1553" s="127"/>
      <c r="I1553" s="127"/>
      <c r="AU1553" s="45" t="s">
        <v>1011</v>
      </c>
    </row>
    <row r="1554">
      <c r="H1554" s="127"/>
      <c r="I1554" s="127"/>
      <c r="AU1554" s="45" t="s">
        <v>1011</v>
      </c>
    </row>
    <row r="1555">
      <c r="H1555" s="127"/>
      <c r="I1555" s="127"/>
      <c r="AU1555" s="45" t="s">
        <v>1011</v>
      </c>
    </row>
    <row r="1556">
      <c r="H1556" s="127"/>
      <c r="I1556" s="127"/>
      <c r="AU1556" s="45" t="s">
        <v>1011</v>
      </c>
    </row>
    <row r="1557">
      <c r="H1557" s="127"/>
      <c r="I1557" s="127"/>
      <c r="AU1557" s="45" t="s">
        <v>1011</v>
      </c>
    </row>
    <row r="1558">
      <c r="H1558" s="127"/>
      <c r="I1558" s="127"/>
      <c r="AU1558" s="45" t="s">
        <v>1011</v>
      </c>
    </row>
    <row r="1559">
      <c r="H1559" s="127"/>
      <c r="I1559" s="127"/>
      <c r="AU1559" s="45" t="s">
        <v>1011</v>
      </c>
    </row>
    <row r="1560">
      <c r="H1560" s="127"/>
      <c r="I1560" s="127"/>
      <c r="AU1560" s="45" t="s">
        <v>1011</v>
      </c>
    </row>
    <row r="1561">
      <c r="H1561" s="127"/>
      <c r="I1561" s="127"/>
      <c r="AU1561" s="45" t="s">
        <v>1011</v>
      </c>
    </row>
    <row r="1562">
      <c r="H1562" s="127"/>
      <c r="I1562" s="127"/>
      <c r="AU1562" s="45" t="s">
        <v>1011</v>
      </c>
    </row>
    <row r="1563">
      <c r="H1563" s="127"/>
      <c r="I1563" s="127"/>
      <c r="AU1563" s="45" t="s">
        <v>1011</v>
      </c>
    </row>
    <row r="1564">
      <c r="H1564" s="127"/>
      <c r="I1564" s="127"/>
      <c r="AU1564" s="45" t="s">
        <v>1011</v>
      </c>
    </row>
    <row r="1565">
      <c r="H1565" s="127"/>
      <c r="I1565" s="127"/>
      <c r="AU1565" s="45" t="s">
        <v>1011</v>
      </c>
    </row>
    <row r="1566">
      <c r="H1566" s="127"/>
      <c r="I1566" s="127"/>
      <c r="AU1566" s="45" t="s">
        <v>1011</v>
      </c>
    </row>
    <row r="1567">
      <c r="H1567" s="127"/>
      <c r="I1567" s="127"/>
      <c r="AU1567" s="45" t="s">
        <v>1011</v>
      </c>
    </row>
    <row r="1568">
      <c r="H1568" s="127"/>
      <c r="I1568" s="127"/>
      <c r="AU1568" s="45" t="s">
        <v>1011</v>
      </c>
    </row>
    <row r="1569">
      <c r="H1569" s="127"/>
      <c r="I1569" s="127"/>
      <c r="AU1569" s="45" t="s">
        <v>1011</v>
      </c>
    </row>
    <row r="1570">
      <c r="H1570" s="127"/>
      <c r="I1570" s="127"/>
      <c r="AU1570" s="45" t="s">
        <v>1011</v>
      </c>
    </row>
    <row r="1571">
      <c r="H1571" s="127"/>
      <c r="I1571" s="127"/>
      <c r="AU1571" s="45" t="s">
        <v>1011</v>
      </c>
    </row>
    <row r="1572">
      <c r="H1572" s="127"/>
      <c r="I1572" s="127"/>
      <c r="AU1572" s="45" t="s">
        <v>1011</v>
      </c>
    </row>
    <row r="1573">
      <c r="H1573" s="127"/>
      <c r="I1573" s="127"/>
      <c r="AU1573" s="45" t="s">
        <v>1011</v>
      </c>
    </row>
    <row r="1574">
      <c r="H1574" s="127"/>
      <c r="I1574" s="127"/>
      <c r="AU1574" s="45" t="s">
        <v>1011</v>
      </c>
    </row>
    <row r="1575">
      <c r="H1575" s="127"/>
      <c r="I1575" s="127"/>
      <c r="AU1575" s="45" t="s">
        <v>1011</v>
      </c>
    </row>
    <row r="1576">
      <c r="H1576" s="127"/>
      <c r="I1576" s="127"/>
      <c r="AU1576" s="45" t="s">
        <v>1011</v>
      </c>
    </row>
    <row r="1577">
      <c r="H1577" s="127"/>
      <c r="I1577" s="127"/>
      <c r="AU1577" s="45" t="s">
        <v>1011</v>
      </c>
    </row>
    <row r="1578">
      <c r="H1578" s="127"/>
      <c r="I1578" s="127"/>
      <c r="AU1578" s="45" t="s">
        <v>1011</v>
      </c>
    </row>
    <row r="1579">
      <c r="H1579" s="127"/>
      <c r="I1579" s="127"/>
      <c r="AU1579" s="45" t="s">
        <v>1011</v>
      </c>
    </row>
    <row r="1580">
      <c r="H1580" s="127"/>
      <c r="I1580" s="127"/>
      <c r="AU1580" s="45" t="s">
        <v>1011</v>
      </c>
    </row>
    <row r="1581">
      <c r="H1581" s="127"/>
      <c r="I1581" s="127"/>
      <c r="AU1581" s="45" t="s">
        <v>1011</v>
      </c>
    </row>
    <row r="1582">
      <c r="H1582" s="127"/>
      <c r="I1582" s="127"/>
      <c r="AU1582" s="45" t="s">
        <v>1011</v>
      </c>
    </row>
    <row r="1583">
      <c r="H1583" s="127"/>
      <c r="I1583" s="127"/>
      <c r="AU1583" s="45" t="s">
        <v>1011</v>
      </c>
    </row>
    <row r="1584">
      <c r="H1584" s="127"/>
      <c r="I1584" s="127"/>
      <c r="AU1584" s="45" t="s">
        <v>1011</v>
      </c>
    </row>
    <row r="1585">
      <c r="H1585" s="127"/>
      <c r="I1585" s="127"/>
      <c r="AU1585" s="45" t="s">
        <v>1011</v>
      </c>
    </row>
    <row r="1586">
      <c r="H1586" s="127"/>
      <c r="I1586" s="127"/>
      <c r="AU1586" s="45" t="s">
        <v>1011</v>
      </c>
    </row>
    <row r="1587">
      <c r="H1587" s="127"/>
      <c r="I1587" s="127"/>
      <c r="AU1587" s="45" t="s">
        <v>1011</v>
      </c>
    </row>
    <row r="1588">
      <c r="H1588" s="127"/>
      <c r="I1588" s="127"/>
      <c r="AU1588" s="45" t="s">
        <v>1011</v>
      </c>
    </row>
    <row r="1589">
      <c r="H1589" s="127"/>
      <c r="I1589" s="127"/>
      <c r="AU1589" s="45" t="s">
        <v>1011</v>
      </c>
    </row>
    <row r="1590">
      <c r="H1590" s="127"/>
      <c r="I1590" s="127"/>
      <c r="AU1590" s="45" t="s">
        <v>1011</v>
      </c>
    </row>
    <row r="1591">
      <c r="H1591" s="127"/>
      <c r="I1591" s="127"/>
      <c r="AU1591" s="45" t="s">
        <v>1011</v>
      </c>
    </row>
    <row r="1592">
      <c r="H1592" s="127"/>
      <c r="I1592" s="127"/>
      <c r="AU1592" s="45" t="s">
        <v>1011</v>
      </c>
    </row>
    <row r="1593">
      <c r="H1593" s="127"/>
      <c r="I1593" s="127"/>
      <c r="AU1593" s="45" t="s">
        <v>1011</v>
      </c>
    </row>
    <row r="1594">
      <c r="H1594" s="127"/>
      <c r="I1594" s="127"/>
      <c r="AU1594" s="45" t="s">
        <v>1011</v>
      </c>
    </row>
    <row r="1595">
      <c r="H1595" s="127"/>
      <c r="I1595" s="127"/>
      <c r="AU1595" s="45" t="s">
        <v>1011</v>
      </c>
    </row>
    <row r="1596">
      <c r="H1596" s="127"/>
      <c r="I1596" s="127"/>
      <c r="AU1596" s="45" t="s">
        <v>1011</v>
      </c>
    </row>
    <row r="1597">
      <c r="H1597" s="127"/>
      <c r="I1597" s="127"/>
      <c r="AU1597" s="45" t="s">
        <v>1011</v>
      </c>
    </row>
    <row r="1598">
      <c r="H1598" s="127"/>
      <c r="I1598" s="127"/>
      <c r="AU1598" s="45" t="s">
        <v>1011</v>
      </c>
    </row>
    <row r="1599">
      <c r="H1599" s="127"/>
      <c r="I1599" s="127"/>
      <c r="AU1599" s="45" t="s">
        <v>1011</v>
      </c>
    </row>
    <row r="1600">
      <c r="H1600" s="127"/>
      <c r="I1600" s="127"/>
      <c r="AU1600" s="45" t="s">
        <v>1011</v>
      </c>
    </row>
    <row r="1601">
      <c r="H1601" s="127"/>
      <c r="I1601" s="127"/>
      <c r="AU1601" s="45" t="s">
        <v>1011</v>
      </c>
    </row>
    <row r="1602">
      <c r="H1602" s="127"/>
      <c r="I1602" s="127"/>
      <c r="AU1602" s="45" t="s">
        <v>1011</v>
      </c>
    </row>
    <row r="1603">
      <c r="H1603" s="127"/>
      <c r="I1603" s="127"/>
      <c r="AU1603" s="45" t="s">
        <v>1011</v>
      </c>
    </row>
    <row r="1604">
      <c r="H1604" s="127"/>
      <c r="I1604" s="127"/>
      <c r="AU1604" s="45" t="s">
        <v>1011</v>
      </c>
    </row>
    <row r="1605">
      <c r="H1605" s="127"/>
      <c r="I1605" s="127"/>
      <c r="AU1605" s="45" t="s">
        <v>1011</v>
      </c>
    </row>
    <row r="1606">
      <c r="H1606" s="127"/>
      <c r="I1606" s="127"/>
      <c r="AU1606" s="45" t="s">
        <v>1011</v>
      </c>
    </row>
    <row r="1607">
      <c r="H1607" s="127"/>
      <c r="I1607" s="127"/>
      <c r="AU1607" s="45" t="s">
        <v>1011</v>
      </c>
    </row>
    <row r="1608">
      <c r="H1608" s="127"/>
      <c r="I1608" s="127"/>
      <c r="AU1608" s="45" t="s">
        <v>1011</v>
      </c>
    </row>
    <row r="1609">
      <c r="H1609" s="127"/>
      <c r="I1609" s="127"/>
      <c r="AU1609" s="45" t="s">
        <v>1011</v>
      </c>
    </row>
    <row r="1610">
      <c r="H1610" s="127"/>
      <c r="I1610" s="127"/>
      <c r="AU1610" s="45" t="s">
        <v>1011</v>
      </c>
    </row>
    <row r="1611">
      <c r="H1611" s="127"/>
      <c r="I1611" s="127"/>
      <c r="AU1611" s="45" t="s">
        <v>1011</v>
      </c>
    </row>
    <row r="1612">
      <c r="H1612" s="127"/>
      <c r="I1612" s="127"/>
      <c r="AU1612" s="45" t="s">
        <v>1011</v>
      </c>
    </row>
    <row r="1613">
      <c r="H1613" s="127"/>
      <c r="I1613" s="127"/>
      <c r="AU1613" s="45" t="s">
        <v>1011</v>
      </c>
    </row>
    <row r="1614">
      <c r="H1614" s="127"/>
      <c r="I1614" s="127"/>
      <c r="AU1614" s="45" t="s">
        <v>1011</v>
      </c>
    </row>
    <row r="1615">
      <c r="H1615" s="127"/>
      <c r="I1615" s="127"/>
      <c r="AU1615" s="45" t="s">
        <v>1011</v>
      </c>
    </row>
    <row r="1616">
      <c r="H1616" s="127"/>
      <c r="I1616" s="127"/>
      <c r="AU1616" s="45" t="s">
        <v>1011</v>
      </c>
    </row>
    <row r="1617">
      <c r="H1617" s="127"/>
      <c r="I1617" s="127"/>
      <c r="AU1617" s="45" t="s">
        <v>1011</v>
      </c>
    </row>
    <row r="1618">
      <c r="H1618" s="127"/>
      <c r="I1618" s="127"/>
      <c r="AU1618" s="45" t="s">
        <v>1011</v>
      </c>
    </row>
    <row r="1619">
      <c r="H1619" s="127"/>
      <c r="I1619" s="127"/>
      <c r="AU1619" s="45" t="s">
        <v>1011</v>
      </c>
    </row>
    <row r="1620">
      <c r="H1620" s="127"/>
      <c r="I1620" s="127"/>
      <c r="AU1620" s="45" t="s">
        <v>1011</v>
      </c>
    </row>
    <row r="1621">
      <c r="H1621" s="127"/>
      <c r="I1621" s="127"/>
      <c r="AU1621" s="45" t="s">
        <v>1011</v>
      </c>
    </row>
    <row r="1622">
      <c r="H1622" s="127"/>
      <c r="I1622" s="127"/>
      <c r="AU1622" s="45" t="s">
        <v>1011</v>
      </c>
    </row>
    <row r="1623">
      <c r="H1623" s="127"/>
      <c r="I1623" s="127"/>
      <c r="AU1623" s="45" t="s">
        <v>1011</v>
      </c>
    </row>
    <row r="1624">
      <c r="H1624" s="127"/>
      <c r="I1624" s="127"/>
      <c r="AU1624" s="45" t="s">
        <v>1011</v>
      </c>
    </row>
    <row r="1625">
      <c r="H1625" s="127"/>
      <c r="I1625" s="127"/>
      <c r="AU1625" s="45" t="s">
        <v>1011</v>
      </c>
    </row>
    <row r="1626">
      <c r="H1626" s="127"/>
      <c r="I1626" s="127"/>
      <c r="AU1626" s="45" t="s">
        <v>1011</v>
      </c>
    </row>
    <row r="1627">
      <c r="H1627" s="127"/>
      <c r="I1627" s="127"/>
      <c r="AU1627" s="45" t="s">
        <v>1011</v>
      </c>
    </row>
    <row r="1628">
      <c r="H1628" s="127"/>
      <c r="I1628" s="127"/>
      <c r="AU1628" s="45" t="s">
        <v>1011</v>
      </c>
    </row>
    <row r="1629">
      <c r="H1629" s="127"/>
      <c r="I1629" s="127"/>
      <c r="AU1629" s="45" t="s">
        <v>1011</v>
      </c>
    </row>
    <row r="1630">
      <c r="H1630" s="127"/>
      <c r="I1630" s="127"/>
      <c r="AU1630" s="45" t="s">
        <v>1011</v>
      </c>
    </row>
    <row r="1631">
      <c r="H1631" s="127"/>
      <c r="I1631" s="127"/>
      <c r="AU1631" s="45" t="s">
        <v>1011</v>
      </c>
    </row>
    <row r="1632">
      <c r="H1632" s="127"/>
      <c r="I1632" s="127"/>
      <c r="AU1632" s="45" t="s">
        <v>1011</v>
      </c>
    </row>
    <row r="1633">
      <c r="H1633" s="127"/>
      <c r="I1633" s="127"/>
      <c r="AU1633" s="45" t="s">
        <v>1011</v>
      </c>
    </row>
    <row r="1634">
      <c r="H1634" s="127"/>
      <c r="I1634" s="127"/>
      <c r="AU1634" s="45" t="s">
        <v>1011</v>
      </c>
    </row>
    <row r="1635">
      <c r="H1635" s="127"/>
      <c r="I1635" s="127"/>
      <c r="AU1635" s="45" t="s">
        <v>1011</v>
      </c>
    </row>
    <row r="1636">
      <c r="H1636" s="127"/>
      <c r="I1636" s="127"/>
      <c r="AU1636" s="45" t="s">
        <v>1011</v>
      </c>
    </row>
    <row r="1637">
      <c r="H1637" s="127"/>
      <c r="I1637" s="127"/>
      <c r="AU1637" s="45" t="s">
        <v>1011</v>
      </c>
    </row>
    <row r="1638">
      <c r="H1638" s="127"/>
      <c r="I1638" s="127"/>
      <c r="AU1638" s="45" t="s">
        <v>1011</v>
      </c>
    </row>
    <row r="1639">
      <c r="H1639" s="127"/>
      <c r="I1639" s="127"/>
      <c r="AU1639" s="45" t="s">
        <v>1011</v>
      </c>
    </row>
    <row r="1640">
      <c r="H1640" s="127"/>
      <c r="I1640" s="127"/>
      <c r="AU1640" s="45" t="s">
        <v>1011</v>
      </c>
    </row>
    <row r="1641">
      <c r="H1641" s="127"/>
      <c r="I1641" s="127"/>
      <c r="AU1641" s="45" t="s">
        <v>1011</v>
      </c>
    </row>
    <row r="1642">
      <c r="H1642" s="127"/>
      <c r="I1642" s="127"/>
      <c r="AU1642" s="45" t="s">
        <v>1011</v>
      </c>
    </row>
    <row r="1643">
      <c r="H1643" s="127"/>
      <c r="I1643" s="127"/>
      <c r="AU1643" s="45" t="s">
        <v>1011</v>
      </c>
    </row>
    <row r="1644">
      <c r="H1644" s="127"/>
      <c r="I1644" s="127"/>
      <c r="AU1644" s="45" t="s">
        <v>1011</v>
      </c>
    </row>
    <row r="1645">
      <c r="H1645" s="127"/>
      <c r="I1645" s="127"/>
      <c r="AU1645" s="45" t="s">
        <v>1011</v>
      </c>
    </row>
    <row r="1646">
      <c r="H1646" s="127"/>
      <c r="I1646" s="127"/>
      <c r="AU1646" s="45" t="s">
        <v>1011</v>
      </c>
    </row>
    <row r="1647">
      <c r="H1647" s="127"/>
      <c r="I1647" s="127"/>
      <c r="AU1647" s="45" t="s">
        <v>1011</v>
      </c>
    </row>
    <row r="1648">
      <c r="H1648" s="127"/>
      <c r="I1648" s="127"/>
      <c r="AU1648" s="45" t="s">
        <v>1011</v>
      </c>
    </row>
    <row r="1649">
      <c r="H1649" s="127"/>
      <c r="I1649" s="127"/>
      <c r="AU1649" s="45" t="s">
        <v>1011</v>
      </c>
    </row>
    <row r="1650">
      <c r="H1650" s="127"/>
      <c r="I1650" s="127"/>
      <c r="AU1650" s="45" t="s">
        <v>1011</v>
      </c>
    </row>
    <row r="1651">
      <c r="H1651" s="127"/>
      <c r="I1651" s="127"/>
      <c r="AU1651" s="45" t="s">
        <v>1011</v>
      </c>
    </row>
    <row r="1652">
      <c r="H1652" s="127"/>
      <c r="I1652" s="127"/>
      <c r="AU1652" s="45" t="s">
        <v>1011</v>
      </c>
    </row>
    <row r="1653">
      <c r="H1653" s="127"/>
      <c r="I1653" s="127"/>
      <c r="AU1653" s="45" t="s">
        <v>1011</v>
      </c>
    </row>
    <row r="1654">
      <c r="H1654" s="127"/>
      <c r="I1654" s="127"/>
      <c r="AU1654" s="45" t="s">
        <v>1011</v>
      </c>
    </row>
    <row r="1655">
      <c r="H1655" s="127"/>
      <c r="I1655" s="127"/>
      <c r="AU1655" s="45" t="s">
        <v>1011</v>
      </c>
    </row>
    <row r="1656">
      <c r="H1656" s="127"/>
      <c r="I1656" s="127"/>
      <c r="AU1656" s="45" t="s">
        <v>1011</v>
      </c>
    </row>
    <row r="1657">
      <c r="H1657" s="127"/>
      <c r="I1657" s="127"/>
      <c r="AU1657" s="45" t="s">
        <v>1011</v>
      </c>
    </row>
    <row r="1658">
      <c r="H1658" s="127"/>
      <c r="I1658" s="127"/>
      <c r="AU1658" s="45" t="s">
        <v>1011</v>
      </c>
    </row>
    <row r="1659">
      <c r="H1659" s="127"/>
      <c r="I1659" s="127"/>
      <c r="AU1659" s="45" t="s">
        <v>1011</v>
      </c>
    </row>
    <row r="1660">
      <c r="H1660" s="127"/>
      <c r="I1660" s="127"/>
      <c r="AU1660" s="45" t="s">
        <v>1011</v>
      </c>
    </row>
    <row r="1661">
      <c r="H1661" s="127"/>
      <c r="I1661" s="127"/>
      <c r="AU1661" s="45" t="s">
        <v>1011</v>
      </c>
    </row>
    <row r="1662">
      <c r="H1662" s="127"/>
      <c r="I1662" s="127"/>
      <c r="AU1662" s="45" t="s">
        <v>1011</v>
      </c>
    </row>
    <row r="1663">
      <c r="H1663" s="127"/>
      <c r="I1663" s="127"/>
      <c r="AU1663" s="45" t="s">
        <v>1011</v>
      </c>
    </row>
    <row r="1664">
      <c r="H1664" s="127"/>
      <c r="I1664" s="127"/>
      <c r="AU1664" s="45" t="s">
        <v>1011</v>
      </c>
    </row>
    <row r="1665">
      <c r="H1665" s="127"/>
      <c r="I1665" s="127"/>
      <c r="AU1665" s="45" t="s">
        <v>1011</v>
      </c>
    </row>
    <row r="1666">
      <c r="H1666" s="127"/>
      <c r="I1666" s="127"/>
      <c r="AU1666" s="45" t="s">
        <v>1011</v>
      </c>
    </row>
    <row r="1667">
      <c r="H1667" s="127"/>
      <c r="I1667" s="127"/>
      <c r="AU1667" s="45" t="s">
        <v>1011</v>
      </c>
    </row>
    <row r="1668">
      <c r="H1668" s="127"/>
      <c r="I1668" s="127"/>
      <c r="AU1668" s="45" t="s">
        <v>1011</v>
      </c>
    </row>
    <row r="1669">
      <c r="H1669" s="127"/>
      <c r="I1669" s="127"/>
      <c r="AU1669" s="45" t="s">
        <v>1011</v>
      </c>
    </row>
    <row r="1670">
      <c r="H1670" s="127"/>
      <c r="I1670" s="127"/>
      <c r="AU1670" s="45" t="s">
        <v>1011</v>
      </c>
    </row>
    <row r="1671">
      <c r="H1671" s="127"/>
      <c r="I1671" s="127"/>
      <c r="AU1671" s="45" t="s">
        <v>1011</v>
      </c>
    </row>
    <row r="1672">
      <c r="H1672" s="127"/>
      <c r="I1672" s="127"/>
      <c r="AU1672" s="45" t="s">
        <v>1011</v>
      </c>
    </row>
    <row r="1673">
      <c r="H1673" s="127"/>
      <c r="I1673" s="127"/>
      <c r="AU1673" s="45" t="s">
        <v>1011</v>
      </c>
    </row>
    <row r="1674">
      <c r="H1674" s="127"/>
      <c r="I1674" s="127"/>
      <c r="AU1674" s="45" t="s">
        <v>1011</v>
      </c>
    </row>
    <row r="1675">
      <c r="H1675" s="127"/>
      <c r="I1675" s="127"/>
      <c r="AU1675" s="45" t="s">
        <v>1011</v>
      </c>
    </row>
    <row r="1676">
      <c r="H1676" s="127"/>
      <c r="I1676" s="127"/>
      <c r="AU1676" s="45" t="s">
        <v>1011</v>
      </c>
    </row>
    <row r="1677">
      <c r="H1677" s="127"/>
      <c r="I1677" s="127"/>
      <c r="AU1677" s="45" t="s">
        <v>1011</v>
      </c>
    </row>
    <row r="1678">
      <c r="H1678" s="127"/>
      <c r="I1678" s="127"/>
      <c r="AU1678" s="45" t="s">
        <v>1011</v>
      </c>
    </row>
    <row r="1679">
      <c r="H1679" s="127"/>
      <c r="I1679" s="127"/>
      <c r="AU1679" s="45" t="s">
        <v>1011</v>
      </c>
    </row>
    <row r="1680">
      <c r="H1680" s="127"/>
      <c r="I1680" s="127"/>
      <c r="AU1680" s="45" t="s">
        <v>1011</v>
      </c>
    </row>
    <row r="1681">
      <c r="H1681" s="127"/>
      <c r="I1681" s="127"/>
      <c r="AU1681" s="45" t="s">
        <v>1011</v>
      </c>
    </row>
    <row r="1682">
      <c r="H1682" s="127"/>
      <c r="I1682" s="127"/>
      <c r="AU1682" s="45" t="s">
        <v>1011</v>
      </c>
    </row>
    <row r="1683">
      <c r="H1683" s="127"/>
      <c r="I1683" s="127"/>
      <c r="AU1683" s="45" t="s">
        <v>1011</v>
      </c>
    </row>
    <row r="1684">
      <c r="H1684" s="127"/>
      <c r="I1684" s="127"/>
      <c r="AU1684" s="45" t="s">
        <v>1011</v>
      </c>
    </row>
    <row r="1685">
      <c r="H1685" s="127"/>
      <c r="I1685" s="127"/>
      <c r="AU1685" s="45" t="s">
        <v>1011</v>
      </c>
    </row>
    <row r="1686">
      <c r="H1686" s="127"/>
      <c r="I1686" s="127"/>
      <c r="AU1686" s="45" t="s">
        <v>1011</v>
      </c>
    </row>
    <row r="1687">
      <c r="H1687" s="127"/>
      <c r="I1687" s="127"/>
      <c r="AU1687" s="45" t="s">
        <v>1011</v>
      </c>
    </row>
    <row r="1688">
      <c r="H1688" s="127"/>
      <c r="I1688" s="127"/>
      <c r="AU1688" s="45" t="s">
        <v>1011</v>
      </c>
    </row>
    <row r="1689">
      <c r="H1689" s="127"/>
      <c r="I1689" s="127"/>
      <c r="AU1689" s="45" t="s">
        <v>1011</v>
      </c>
    </row>
    <row r="1690">
      <c r="H1690" s="127"/>
      <c r="I1690" s="127"/>
      <c r="AU1690" s="45" t="s">
        <v>1011</v>
      </c>
    </row>
    <row r="1691">
      <c r="H1691" s="127"/>
      <c r="I1691" s="127"/>
      <c r="AU1691" s="45" t="s">
        <v>1011</v>
      </c>
    </row>
    <row r="1692">
      <c r="H1692" s="127"/>
      <c r="I1692" s="127"/>
      <c r="AU1692" s="45" t="s">
        <v>1011</v>
      </c>
    </row>
    <row r="1693">
      <c r="H1693" s="127"/>
      <c r="I1693" s="127"/>
      <c r="AU1693" s="45" t="s">
        <v>1011</v>
      </c>
    </row>
    <row r="1694">
      <c r="H1694" s="127"/>
      <c r="I1694" s="127"/>
      <c r="AU1694" s="45" t="s">
        <v>1011</v>
      </c>
    </row>
    <row r="1695">
      <c r="H1695" s="127"/>
      <c r="I1695" s="127"/>
      <c r="AU1695" s="45" t="s">
        <v>1011</v>
      </c>
    </row>
    <row r="1696">
      <c r="H1696" s="127"/>
      <c r="I1696" s="127"/>
      <c r="AU1696" s="45" t="s">
        <v>1011</v>
      </c>
    </row>
    <row r="1697">
      <c r="H1697" s="127"/>
      <c r="I1697" s="127"/>
      <c r="AU1697" s="45" t="s">
        <v>1011</v>
      </c>
    </row>
    <row r="1698">
      <c r="H1698" s="127"/>
      <c r="I1698" s="127"/>
      <c r="AU1698" s="45" t="s">
        <v>1011</v>
      </c>
    </row>
    <row r="1699">
      <c r="H1699" s="127"/>
      <c r="I1699" s="127"/>
      <c r="AU1699" s="45" t="s">
        <v>1011</v>
      </c>
    </row>
    <row r="1700">
      <c r="H1700" s="127"/>
      <c r="I1700" s="127"/>
      <c r="AU1700" s="45" t="s">
        <v>1011</v>
      </c>
    </row>
    <row r="1701">
      <c r="H1701" s="127"/>
      <c r="I1701" s="127"/>
      <c r="AU1701" s="45" t="s">
        <v>1011</v>
      </c>
    </row>
    <row r="1702">
      <c r="H1702" s="127"/>
      <c r="I1702" s="127"/>
      <c r="AU1702" s="45" t="s">
        <v>1011</v>
      </c>
    </row>
    <row r="1703">
      <c r="H1703" s="127"/>
      <c r="I1703" s="127"/>
      <c r="AU1703" s="45" t="s">
        <v>1011</v>
      </c>
    </row>
    <row r="1704">
      <c r="H1704" s="127"/>
      <c r="I1704" s="127"/>
      <c r="AU1704" s="45" t="s">
        <v>1011</v>
      </c>
    </row>
    <row r="1705">
      <c r="H1705" s="127"/>
      <c r="I1705" s="127"/>
      <c r="AU1705" s="45" t="s">
        <v>1011</v>
      </c>
    </row>
    <row r="1706">
      <c r="H1706" s="127"/>
      <c r="I1706" s="127"/>
      <c r="AU1706" s="45" t="s">
        <v>1011</v>
      </c>
    </row>
    <row r="1707">
      <c r="H1707" s="127"/>
      <c r="I1707" s="127"/>
      <c r="AU1707" s="45" t="s">
        <v>1011</v>
      </c>
    </row>
    <row r="1708">
      <c r="H1708" s="127"/>
      <c r="I1708" s="127"/>
      <c r="AU1708" s="45" t="s">
        <v>1011</v>
      </c>
    </row>
    <row r="1709">
      <c r="H1709" s="127"/>
      <c r="I1709" s="127"/>
      <c r="AU1709" s="45" t="s">
        <v>1011</v>
      </c>
    </row>
    <row r="1710">
      <c r="H1710" s="127"/>
      <c r="I1710" s="127"/>
      <c r="AU1710" s="45" t="s">
        <v>1011</v>
      </c>
    </row>
    <row r="1711">
      <c r="H1711" s="127"/>
      <c r="I1711" s="127"/>
      <c r="AU1711" s="45" t="s">
        <v>1011</v>
      </c>
    </row>
    <row r="1712">
      <c r="H1712" s="127"/>
      <c r="I1712" s="127"/>
      <c r="AU1712" s="45" t="s">
        <v>1011</v>
      </c>
    </row>
    <row r="1713">
      <c r="H1713" s="127"/>
      <c r="I1713" s="127"/>
      <c r="AU1713" s="45" t="s">
        <v>1011</v>
      </c>
    </row>
    <row r="1714">
      <c r="H1714" s="127"/>
      <c r="I1714" s="127"/>
      <c r="AU1714" s="45" t="s">
        <v>1011</v>
      </c>
    </row>
    <row r="1715">
      <c r="H1715" s="127"/>
      <c r="I1715" s="127"/>
      <c r="AU1715" s="45" t="s">
        <v>1011</v>
      </c>
    </row>
    <row r="1716">
      <c r="H1716" s="127"/>
      <c r="I1716" s="127"/>
      <c r="AU1716" s="45" t="s">
        <v>1011</v>
      </c>
    </row>
    <row r="1717">
      <c r="H1717" s="127"/>
      <c r="I1717" s="127"/>
      <c r="AU1717" s="45" t="s">
        <v>1011</v>
      </c>
    </row>
    <row r="1718">
      <c r="H1718" s="127"/>
      <c r="I1718" s="127"/>
      <c r="AU1718" s="45" t="s">
        <v>1011</v>
      </c>
    </row>
    <row r="1719">
      <c r="H1719" s="127"/>
      <c r="I1719" s="127"/>
      <c r="AU1719" s="45" t="s">
        <v>1011</v>
      </c>
    </row>
    <row r="1720">
      <c r="H1720" s="127"/>
      <c r="I1720" s="127"/>
      <c r="AU1720" s="45" t="s">
        <v>1011</v>
      </c>
    </row>
    <row r="1721">
      <c r="H1721" s="127"/>
      <c r="I1721" s="127"/>
      <c r="AU1721" s="45" t="s">
        <v>1011</v>
      </c>
    </row>
    <row r="1722">
      <c r="H1722" s="127"/>
      <c r="I1722" s="127"/>
      <c r="AU1722" s="45" t="s">
        <v>1011</v>
      </c>
    </row>
    <row r="1723">
      <c r="H1723" s="127"/>
      <c r="I1723" s="127"/>
      <c r="AU1723" s="45" t="s">
        <v>1011</v>
      </c>
    </row>
    <row r="1724">
      <c r="H1724" s="127"/>
      <c r="I1724" s="127"/>
      <c r="AU1724" s="45" t="s">
        <v>1011</v>
      </c>
    </row>
    <row r="1725">
      <c r="H1725" s="127"/>
      <c r="I1725" s="127"/>
      <c r="AU1725" s="45" t="s">
        <v>1011</v>
      </c>
    </row>
    <row r="1726">
      <c r="H1726" s="127"/>
      <c r="I1726" s="127"/>
      <c r="AU1726" s="45" t="s">
        <v>1011</v>
      </c>
    </row>
    <row r="1727">
      <c r="H1727" s="127"/>
      <c r="I1727" s="127"/>
      <c r="AU1727" s="45" t="s">
        <v>1011</v>
      </c>
    </row>
    <row r="1728">
      <c r="H1728" s="127"/>
      <c r="I1728" s="127"/>
      <c r="AU1728" s="45" t="s">
        <v>1011</v>
      </c>
    </row>
    <row r="1729">
      <c r="H1729" s="127"/>
      <c r="I1729" s="127"/>
      <c r="AU1729" s="45" t="s">
        <v>1011</v>
      </c>
    </row>
    <row r="1730">
      <c r="H1730" s="127"/>
      <c r="I1730" s="127"/>
      <c r="AU1730" s="45" t="s">
        <v>1011</v>
      </c>
    </row>
    <row r="1731">
      <c r="H1731" s="127"/>
      <c r="I1731" s="127"/>
      <c r="AU1731" s="45" t="s">
        <v>1011</v>
      </c>
    </row>
    <row r="1732">
      <c r="H1732" s="127"/>
      <c r="I1732" s="127"/>
      <c r="AU1732" s="45" t="s">
        <v>1011</v>
      </c>
    </row>
    <row r="1733">
      <c r="H1733" s="127"/>
      <c r="I1733" s="127"/>
      <c r="AU1733" s="45" t="s">
        <v>1011</v>
      </c>
    </row>
    <row r="1734">
      <c r="H1734" s="127"/>
      <c r="I1734" s="127"/>
      <c r="AU1734" s="45" t="s">
        <v>1011</v>
      </c>
    </row>
    <row r="1735">
      <c r="H1735" s="127"/>
      <c r="I1735" s="127"/>
      <c r="AU1735" s="45" t="s">
        <v>1011</v>
      </c>
    </row>
    <row r="1736">
      <c r="H1736" s="127"/>
      <c r="I1736" s="127"/>
      <c r="AU1736" s="45" t="s">
        <v>1011</v>
      </c>
    </row>
    <row r="1737">
      <c r="H1737" s="127"/>
      <c r="I1737" s="127"/>
      <c r="AU1737" s="45" t="s">
        <v>1011</v>
      </c>
    </row>
    <row r="1738">
      <c r="H1738" s="127"/>
      <c r="I1738" s="127"/>
      <c r="AU1738" s="45" t="s">
        <v>1011</v>
      </c>
    </row>
    <row r="1739">
      <c r="H1739" s="127"/>
      <c r="I1739" s="127"/>
      <c r="AU1739" s="45" t="s">
        <v>1011</v>
      </c>
    </row>
    <row r="1740">
      <c r="H1740" s="127"/>
      <c r="I1740" s="127"/>
      <c r="AU1740" s="45" t="s">
        <v>1011</v>
      </c>
    </row>
    <row r="1741">
      <c r="H1741" s="127"/>
      <c r="I1741" s="127"/>
      <c r="AU1741" s="45" t="s">
        <v>1011</v>
      </c>
    </row>
    <row r="1742">
      <c r="H1742" s="127"/>
      <c r="I1742" s="127"/>
      <c r="AU1742" s="45" t="s">
        <v>1011</v>
      </c>
    </row>
    <row r="1743">
      <c r="H1743" s="127"/>
      <c r="I1743" s="127"/>
      <c r="AU1743" s="45" t="s">
        <v>1011</v>
      </c>
    </row>
    <row r="1744">
      <c r="H1744" s="127"/>
      <c r="I1744" s="127"/>
      <c r="AU1744" s="45" t="s">
        <v>1011</v>
      </c>
    </row>
    <row r="1745">
      <c r="H1745" s="127"/>
      <c r="I1745" s="127"/>
      <c r="AU1745" s="45" t="s">
        <v>1011</v>
      </c>
    </row>
    <row r="1746">
      <c r="H1746" s="127"/>
      <c r="I1746" s="127"/>
      <c r="AU1746" s="45" t="s">
        <v>1011</v>
      </c>
    </row>
    <row r="1747">
      <c r="H1747" s="127"/>
      <c r="I1747" s="127"/>
      <c r="AU1747" s="45" t="s">
        <v>1011</v>
      </c>
    </row>
    <row r="1748">
      <c r="H1748" s="127"/>
      <c r="I1748" s="127"/>
      <c r="AU1748" s="45" t="s">
        <v>1011</v>
      </c>
    </row>
    <row r="1749">
      <c r="H1749" s="127"/>
      <c r="I1749" s="127"/>
      <c r="AU1749" s="45" t="s">
        <v>1011</v>
      </c>
    </row>
    <row r="1750">
      <c r="H1750" s="127"/>
      <c r="I1750" s="127"/>
      <c r="AU1750" s="45" t="s">
        <v>1011</v>
      </c>
    </row>
    <row r="1751">
      <c r="H1751" s="127"/>
      <c r="I1751" s="127"/>
      <c r="AU1751" s="45" t="s">
        <v>1011</v>
      </c>
    </row>
    <row r="1752">
      <c r="H1752" s="127"/>
      <c r="I1752" s="127"/>
      <c r="AU1752" s="45" t="s">
        <v>1011</v>
      </c>
    </row>
    <row r="1753">
      <c r="H1753" s="127"/>
      <c r="I1753" s="127"/>
      <c r="AU1753" s="45" t="s">
        <v>1011</v>
      </c>
    </row>
    <row r="1754">
      <c r="H1754" s="127"/>
      <c r="I1754" s="127"/>
      <c r="AU1754" s="45" t="s">
        <v>1011</v>
      </c>
    </row>
    <row r="1755">
      <c r="H1755" s="127"/>
      <c r="I1755" s="127"/>
      <c r="AU1755" s="45" t="s">
        <v>1011</v>
      </c>
    </row>
    <row r="1756">
      <c r="H1756" s="127"/>
      <c r="I1756" s="127"/>
      <c r="AU1756" s="45" t="s">
        <v>1011</v>
      </c>
    </row>
    <row r="1757">
      <c r="H1757" s="127"/>
      <c r="I1757" s="127"/>
      <c r="AU1757" s="45" t="s">
        <v>1011</v>
      </c>
    </row>
    <row r="1758">
      <c r="H1758" s="127"/>
      <c r="I1758" s="127"/>
      <c r="AU1758" s="45" t="s">
        <v>1011</v>
      </c>
    </row>
    <row r="1759">
      <c r="H1759" s="127"/>
      <c r="I1759" s="127"/>
      <c r="AU1759" s="45" t="s">
        <v>1011</v>
      </c>
    </row>
    <row r="1760">
      <c r="H1760" s="127"/>
      <c r="I1760" s="127"/>
      <c r="AU1760" s="45" t="s">
        <v>1011</v>
      </c>
    </row>
    <row r="1761">
      <c r="H1761" s="127"/>
      <c r="I1761" s="127"/>
      <c r="AU1761" s="45" t="s">
        <v>1011</v>
      </c>
    </row>
    <row r="1762">
      <c r="H1762" s="127"/>
      <c r="I1762" s="127"/>
      <c r="AU1762" s="45" t="s">
        <v>1011</v>
      </c>
    </row>
    <row r="1763">
      <c r="H1763" s="127"/>
      <c r="I1763" s="127"/>
      <c r="AU1763" s="45" t="s">
        <v>1011</v>
      </c>
    </row>
    <row r="1764">
      <c r="H1764" s="127"/>
      <c r="I1764" s="127"/>
      <c r="AU1764" s="45" t="s">
        <v>1011</v>
      </c>
    </row>
    <row r="1765">
      <c r="H1765" s="127"/>
      <c r="I1765" s="127"/>
      <c r="AU1765" s="45" t="s">
        <v>1011</v>
      </c>
    </row>
    <row r="1766">
      <c r="H1766" s="127"/>
      <c r="I1766" s="127"/>
      <c r="AU1766" s="45" t="s">
        <v>1011</v>
      </c>
    </row>
    <row r="1767">
      <c r="H1767" s="127"/>
      <c r="I1767" s="127"/>
      <c r="AU1767" s="45" t="s">
        <v>1011</v>
      </c>
    </row>
    <row r="1768">
      <c r="H1768" s="127"/>
      <c r="I1768" s="127"/>
      <c r="AU1768" s="45" t="s">
        <v>1011</v>
      </c>
    </row>
    <row r="1769">
      <c r="H1769" s="127"/>
      <c r="I1769" s="127"/>
      <c r="AU1769" s="45" t="s">
        <v>1011</v>
      </c>
    </row>
    <row r="1770">
      <c r="H1770" s="127"/>
      <c r="I1770" s="127"/>
      <c r="AU1770" s="45" t="s">
        <v>1011</v>
      </c>
    </row>
    <row r="1771">
      <c r="H1771" s="127"/>
      <c r="I1771" s="127"/>
      <c r="AU1771" s="45" t="s">
        <v>1011</v>
      </c>
    </row>
    <row r="1772">
      <c r="H1772" s="127"/>
      <c r="I1772" s="127"/>
      <c r="AU1772" s="45" t="s">
        <v>1011</v>
      </c>
    </row>
    <row r="1773">
      <c r="H1773" s="127"/>
      <c r="I1773" s="127"/>
      <c r="AU1773" s="45" t="s">
        <v>1011</v>
      </c>
    </row>
    <row r="1774">
      <c r="H1774" s="127"/>
      <c r="I1774" s="127"/>
      <c r="AU1774" s="45" t="s">
        <v>1011</v>
      </c>
    </row>
    <row r="1775">
      <c r="H1775" s="127"/>
      <c r="I1775" s="127"/>
      <c r="AU1775" s="45" t="s">
        <v>1011</v>
      </c>
    </row>
    <row r="1776">
      <c r="H1776" s="127"/>
      <c r="I1776" s="127"/>
      <c r="AU1776" s="45" t="s">
        <v>1011</v>
      </c>
    </row>
    <row r="1777">
      <c r="H1777" s="127"/>
      <c r="I1777" s="127"/>
      <c r="AU1777" s="45" t="s">
        <v>1011</v>
      </c>
    </row>
    <row r="1778">
      <c r="H1778" s="127"/>
      <c r="I1778" s="127"/>
      <c r="AU1778" s="45" t="s">
        <v>1011</v>
      </c>
    </row>
    <row r="1779">
      <c r="H1779" s="127"/>
      <c r="I1779" s="127"/>
      <c r="AU1779" s="45" t="s">
        <v>1011</v>
      </c>
    </row>
    <row r="1780">
      <c r="H1780" s="127"/>
      <c r="I1780" s="127"/>
      <c r="AU1780" s="45" t="s">
        <v>1011</v>
      </c>
    </row>
    <row r="1781">
      <c r="H1781" s="127"/>
      <c r="I1781" s="127"/>
      <c r="AU1781" s="45" t="s">
        <v>1011</v>
      </c>
    </row>
    <row r="1782">
      <c r="H1782" s="127"/>
      <c r="I1782" s="127"/>
      <c r="AU1782" s="45" t="s">
        <v>1011</v>
      </c>
    </row>
    <row r="1783">
      <c r="H1783" s="127"/>
      <c r="I1783" s="127"/>
      <c r="AU1783" s="45" t="s">
        <v>1011</v>
      </c>
    </row>
    <row r="1784">
      <c r="H1784" s="127"/>
      <c r="I1784" s="127"/>
      <c r="AU1784" s="45" t="s">
        <v>1011</v>
      </c>
    </row>
    <row r="1785">
      <c r="H1785" s="127"/>
      <c r="I1785" s="127"/>
      <c r="AU1785" s="45" t="s">
        <v>1011</v>
      </c>
    </row>
    <row r="1786">
      <c r="H1786" s="127"/>
      <c r="I1786" s="127"/>
      <c r="AU1786" s="45" t="s">
        <v>1011</v>
      </c>
    </row>
    <row r="1787">
      <c r="H1787" s="127"/>
      <c r="I1787" s="127"/>
      <c r="AU1787" s="45" t="s">
        <v>1011</v>
      </c>
    </row>
    <row r="1788">
      <c r="H1788" s="127"/>
      <c r="I1788" s="127"/>
      <c r="AU1788" s="45" t="s">
        <v>1011</v>
      </c>
    </row>
    <row r="1789">
      <c r="H1789" s="127"/>
      <c r="I1789" s="127"/>
      <c r="AU1789" s="45" t="s">
        <v>1011</v>
      </c>
    </row>
    <row r="1790">
      <c r="H1790" s="127"/>
      <c r="I1790" s="127"/>
      <c r="AU1790" s="45" t="s">
        <v>1011</v>
      </c>
    </row>
    <row r="1791">
      <c r="H1791" s="127"/>
      <c r="I1791" s="127"/>
      <c r="AU1791" s="45" t="s">
        <v>1011</v>
      </c>
    </row>
    <row r="1792">
      <c r="H1792" s="127"/>
      <c r="I1792" s="127"/>
      <c r="AU1792" s="45" t="s">
        <v>1011</v>
      </c>
    </row>
    <row r="1793">
      <c r="H1793" s="127"/>
      <c r="I1793" s="127"/>
      <c r="AU1793" s="45" t="s">
        <v>1011</v>
      </c>
    </row>
    <row r="1794">
      <c r="H1794" s="127"/>
      <c r="I1794" s="127"/>
      <c r="AU1794" s="45" t="s">
        <v>1011</v>
      </c>
    </row>
    <row r="1795">
      <c r="H1795" s="127"/>
      <c r="I1795" s="127"/>
      <c r="AU1795" s="45" t="s">
        <v>1011</v>
      </c>
    </row>
    <row r="1796">
      <c r="H1796" s="127"/>
      <c r="I1796" s="127"/>
      <c r="AU1796" s="45" t="s">
        <v>1011</v>
      </c>
    </row>
    <row r="1797">
      <c r="H1797" s="127"/>
      <c r="I1797" s="127"/>
      <c r="AU1797" s="45" t="s">
        <v>1011</v>
      </c>
    </row>
    <row r="1798">
      <c r="H1798" s="127"/>
      <c r="I1798" s="127"/>
      <c r="AU1798" s="45" t="s">
        <v>1011</v>
      </c>
    </row>
    <row r="1799">
      <c r="H1799" s="127"/>
      <c r="I1799" s="127"/>
      <c r="AU1799" s="45" t="s">
        <v>1011</v>
      </c>
    </row>
    <row r="1800">
      <c r="H1800" s="127"/>
      <c r="I1800" s="127"/>
      <c r="AU1800" s="45" t="s">
        <v>1011</v>
      </c>
    </row>
    <row r="1801">
      <c r="H1801" s="127"/>
      <c r="I1801" s="127"/>
      <c r="AU1801" s="45" t="s">
        <v>1011</v>
      </c>
    </row>
    <row r="1802">
      <c r="H1802" s="127"/>
      <c r="I1802" s="127"/>
      <c r="AU1802" s="45" t="s">
        <v>1011</v>
      </c>
    </row>
    <row r="1803">
      <c r="H1803" s="127"/>
      <c r="I1803" s="127"/>
      <c r="AU1803" s="45" t="s">
        <v>1011</v>
      </c>
    </row>
    <row r="1804">
      <c r="H1804" s="127"/>
      <c r="I1804" s="127"/>
      <c r="AU1804" s="45" t="s">
        <v>1011</v>
      </c>
    </row>
    <row r="1805">
      <c r="H1805" s="127"/>
      <c r="I1805" s="127"/>
      <c r="AU1805" s="45" t="s">
        <v>1011</v>
      </c>
    </row>
    <row r="1806">
      <c r="H1806" s="127"/>
      <c r="I1806" s="127"/>
      <c r="AU1806" s="45" t="s">
        <v>1011</v>
      </c>
    </row>
    <row r="1807">
      <c r="H1807" s="127"/>
      <c r="I1807" s="127"/>
      <c r="AU1807" s="45" t="s">
        <v>1011</v>
      </c>
    </row>
    <row r="1808">
      <c r="H1808" s="127"/>
      <c r="I1808" s="127"/>
      <c r="AU1808" s="45" t="s">
        <v>1011</v>
      </c>
    </row>
    <row r="1809">
      <c r="H1809" s="127"/>
      <c r="I1809" s="127"/>
      <c r="AU1809" s="45" t="s">
        <v>1011</v>
      </c>
    </row>
    <row r="1810">
      <c r="H1810" s="127"/>
      <c r="I1810" s="127"/>
      <c r="AU1810" s="45" t="s">
        <v>1011</v>
      </c>
    </row>
    <row r="1811">
      <c r="H1811" s="127"/>
      <c r="I1811" s="127"/>
      <c r="AU1811" s="45" t="s">
        <v>1011</v>
      </c>
    </row>
    <row r="1812">
      <c r="H1812" s="127"/>
      <c r="I1812" s="127"/>
      <c r="AU1812" s="45" t="s">
        <v>1011</v>
      </c>
    </row>
    <row r="1813">
      <c r="H1813" s="127"/>
      <c r="I1813" s="127"/>
      <c r="AU1813" s="45" t="s">
        <v>1011</v>
      </c>
    </row>
    <row r="1814">
      <c r="H1814" s="127"/>
      <c r="I1814" s="127"/>
      <c r="AU1814" s="45" t="s">
        <v>1011</v>
      </c>
    </row>
    <row r="1815">
      <c r="H1815" s="127"/>
      <c r="I1815" s="127"/>
      <c r="AU1815" s="45" t="s">
        <v>1011</v>
      </c>
    </row>
    <row r="1816">
      <c r="H1816" s="127"/>
      <c r="I1816" s="127"/>
      <c r="AU1816" s="45" t="s">
        <v>1011</v>
      </c>
    </row>
    <row r="1817">
      <c r="H1817" s="127"/>
      <c r="I1817" s="127"/>
      <c r="AU1817" s="45" t="s">
        <v>1011</v>
      </c>
    </row>
    <row r="1818">
      <c r="H1818" s="127"/>
      <c r="I1818" s="127"/>
      <c r="AU1818" s="45" t="s">
        <v>1011</v>
      </c>
    </row>
    <row r="1819">
      <c r="H1819" s="127"/>
      <c r="I1819" s="127"/>
      <c r="AU1819" s="45" t="s">
        <v>1011</v>
      </c>
    </row>
    <row r="1820">
      <c r="H1820" s="127"/>
      <c r="I1820" s="127"/>
      <c r="AU1820" s="45" t="s">
        <v>1011</v>
      </c>
    </row>
    <row r="1821">
      <c r="H1821" s="127"/>
      <c r="I1821" s="127"/>
      <c r="AU1821" s="45" t="s">
        <v>1011</v>
      </c>
    </row>
    <row r="1822">
      <c r="H1822" s="127"/>
      <c r="I1822" s="127"/>
      <c r="AU1822" s="45" t="s">
        <v>1011</v>
      </c>
    </row>
    <row r="1823">
      <c r="H1823" s="127"/>
      <c r="I1823" s="127"/>
      <c r="AU1823" s="45" t="s">
        <v>1011</v>
      </c>
    </row>
    <row r="1824">
      <c r="H1824" s="127"/>
      <c r="I1824" s="127"/>
      <c r="AU1824" s="45" t="s">
        <v>1011</v>
      </c>
    </row>
    <row r="1825">
      <c r="H1825" s="127"/>
      <c r="I1825" s="127"/>
      <c r="AU1825" s="45" t="s">
        <v>1011</v>
      </c>
    </row>
    <row r="1826">
      <c r="H1826" s="127"/>
      <c r="I1826" s="127"/>
      <c r="AU1826" s="45" t="s">
        <v>1011</v>
      </c>
    </row>
    <row r="1827">
      <c r="H1827" s="127"/>
      <c r="I1827" s="127"/>
      <c r="AU1827" s="45" t="s">
        <v>1011</v>
      </c>
    </row>
    <row r="1828">
      <c r="H1828" s="127"/>
      <c r="I1828" s="127"/>
      <c r="AU1828" s="45" t="s">
        <v>1011</v>
      </c>
    </row>
    <row r="1829">
      <c r="H1829" s="127"/>
      <c r="I1829" s="127"/>
      <c r="AU1829" s="45" t="s">
        <v>1011</v>
      </c>
    </row>
    <row r="1830">
      <c r="H1830" s="127"/>
      <c r="I1830" s="127"/>
      <c r="AU1830" s="45" t="s">
        <v>1011</v>
      </c>
    </row>
    <row r="1831">
      <c r="H1831" s="127"/>
      <c r="I1831" s="127"/>
      <c r="AU1831" s="45" t="s">
        <v>1011</v>
      </c>
    </row>
    <row r="1832">
      <c r="H1832" s="127"/>
      <c r="I1832" s="127"/>
      <c r="AU1832" s="45" t="s">
        <v>1011</v>
      </c>
    </row>
    <row r="1833">
      <c r="H1833" s="127"/>
      <c r="I1833" s="127"/>
      <c r="AU1833" s="45" t="s">
        <v>1011</v>
      </c>
    </row>
    <row r="1834">
      <c r="H1834" s="127"/>
      <c r="I1834" s="127"/>
      <c r="AU1834" s="45" t="s">
        <v>1011</v>
      </c>
    </row>
    <row r="1835">
      <c r="H1835" s="127"/>
      <c r="I1835" s="127"/>
      <c r="AU1835" s="45" t="s">
        <v>1011</v>
      </c>
    </row>
    <row r="1836">
      <c r="H1836" s="127"/>
      <c r="I1836" s="127"/>
      <c r="AU1836" s="45" t="s">
        <v>1011</v>
      </c>
    </row>
    <row r="1837">
      <c r="H1837" s="127"/>
      <c r="I1837" s="127"/>
      <c r="AU1837" s="45" t="s">
        <v>1011</v>
      </c>
    </row>
    <row r="1838">
      <c r="H1838" s="127"/>
      <c r="I1838" s="127"/>
      <c r="AU1838" s="45" t="s">
        <v>1011</v>
      </c>
    </row>
    <row r="1839">
      <c r="H1839" s="127"/>
      <c r="I1839" s="127"/>
      <c r="AU1839" s="45" t="s">
        <v>1011</v>
      </c>
    </row>
    <row r="1840">
      <c r="H1840" s="127"/>
      <c r="I1840" s="127"/>
      <c r="AU1840" s="45" t="s">
        <v>1011</v>
      </c>
    </row>
    <row r="1841">
      <c r="H1841" s="127"/>
      <c r="I1841" s="127"/>
      <c r="AU1841" s="45" t="s">
        <v>1011</v>
      </c>
    </row>
    <row r="1842">
      <c r="H1842" s="127"/>
      <c r="I1842" s="127"/>
      <c r="AU1842" s="45" t="s">
        <v>1011</v>
      </c>
    </row>
    <row r="1843">
      <c r="H1843" s="127"/>
      <c r="I1843" s="127"/>
      <c r="AU1843" s="45" t="s">
        <v>1011</v>
      </c>
    </row>
    <row r="1844">
      <c r="H1844" s="127"/>
      <c r="I1844" s="127"/>
      <c r="AU1844" s="45" t="s">
        <v>1011</v>
      </c>
    </row>
    <row r="1845">
      <c r="H1845" s="127"/>
      <c r="I1845" s="127"/>
      <c r="AU1845" s="45" t="s">
        <v>1011</v>
      </c>
    </row>
    <row r="1846">
      <c r="H1846" s="127"/>
      <c r="I1846" s="127"/>
      <c r="AU1846" s="45" t="s">
        <v>1011</v>
      </c>
    </row>
    <row r="1847">
      <c r="H1847" s="127"/>
      <c r="I1847" s="127"/>
      <c r="AU1847" s="45" t="s">
        <v>1011</v>
      </c>
    </row>
    <row r="1848">
      <c r="H1848" s="127"/>
      <c r="I1848" s="127"/>
      <c r="AU1848" s="45" t="s">
        <v>1011</v>
      </c>
    </row>
    <row r="1849">
      <c r="H1849" s="127"/>
      <c r="I1849" s="127"/>
      <c r="AU1849" s="45" t="s">
        <v>1011</v>
      </c>
    </row>
    <row r="1850">
      <c r="H1850" s="127"/>
      <c r="I1850" s="127"/>
      <c r="AU1850" s="45" t="s">
        <v>1011</v>
      </c>
    </row>
    <row r="1851">
      <c r="H1851" s="127"/>
      <c r="I1851" s="127"/>
      <c r="AU1851" s="45" t="s">
        <v>1011</v>
      </c>
    </row>
    <row r="1852">
      <c r="H1852" s="127"/>
      <c r="I1852" s="127"/>
      <c r="AU1852" s="45" t="s">
        <v>1011</v>
      </c>
    </row>
    <row r="1853">
      <c r="H1853" s="127"/>
      <c r="I1853" s="127"/>
      <c r="AU1853" s="45" t="s">
        <v>1011</v>
      </c>
    </row>
    <row r="1854">
      <c r="H1854" s="127"/>
      <c r="I1854" s="127"/>
      <c r="AU1854" s="45" t="s">
        <v>1011</v>
      </c>
    </row>
    <row r="1855">
      <c r="H1855" s="127"/>
      <c r="I1855" s="127"/>
      <c r="AU1855" s="45" t="s">
        <v>1011</v>
      </c>
    </row>
    <row r="1856">
      <c r="H1856" s="127"/>
      <c r="I1856" s="127"/>
      <c r="AU1856" s="45" t="s">
        <v>1011</v>
      </c>
    </row>
    <row r="1857">
      <c r="H1857" s="127"/>
      <c r="I1857" s="127"/>
      <c r="AU1857" s="45" t="s">
        <v>1011</v>
      </c>
    </row>
    <row r="1858">
      <c r="H1858" s="127"/>
      <c r="I1858" s="127"/>
      <c r="AU1858" s="45" t="s">
        <v>1011</v>
      </c>
    </row>
    <row r="1859">
      <c r="H1859" s="127"/>
      <c r="I1859" s="127"/>
      <c r="AU1859" s="45" t="s">
        <v>1011</v>
      </c>
    </row>
    <row r="1860">
      <c r="H1860" s="127"/>
      <c r="I1860" s="127"/>
      <c r="AU1860" s="45" t="s">
        <v>1011</v>
      </c>
    </row>
    <row r="1861">
      <c r="H1861" s="127"/>
      <c r="I1861" s="127"/>
      <c r="AU1861" s="45" t="s">
        <v>1011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/>
      <c r="B1" s="128"/>
      <c r="C1" s="128"/>
      <c r="D1" s="128">
        <v>1.0</v>
      </c>
      <c r="E1" s="128">
        <v>2.0</v>
      </c>
      <c r="F1" s="128">
        <v>3.0</v>
      </c>
      <c r="G1" s="128">
        <v>4.0</v>
      </c>
      <c r="H1" s="128">
        <v>5.0</v>
      </c>
      <c r="I1" s="128">
        <v>6.0</v>
      </c>
      <c r="J1" s="128">
        <v>7.0</v>
      </c>
      <c r="K1" s="128">
        <v>8.0</v>
      </c>
      <c r="L1" s="128">
        <v>9.0</v>
      </c>
      <c r="M1" s="128">
        <v>10.0</v>
      </c>
      <c r="N1" s="128">
        <v>11.0</v>
      </c>
      <c r="O1" s="128">
        <v>12.0</v>
      </c>
      <c r="P1" s="128">
        <v>13.0</v>
      </c>
      <c r="Q1" s="128">
        <v>14.0</v>
      </c>
      <c r="R1" s="128"/>
      <c r="S1" s="128"/>
      <c r="T1" s="128"/>
      <c r="U1" s="128"/>
      <c r="V1" s="129"/>
      <c r="W1" s="130"/>
      <c r="X1" s="130"/>
      <c r="Y1" s="130"/>
      <c r="Z1" s="130"/>
    </row>
    <row r="2">
      <c r="A2" s="131" t="s">
        <v>4016</v>
      </c>
      <c r="B2" s="132" t="s">
        <v>35</v>
      </c>
      <c r="C2" s="132" t="s">
        <v>4017</v>
      </c>
      <c r="D2" s="132" t="s">
        <v>4018</v>
      </c>
      <c r="E2" s="132" t="s">
        <v>4019</v>
      </c>
      <c r="F2" s="132" t="s">
        <v>4020</v>
      </c>
      <c r="G2" s="132" t="s">
        <v>4021</v>
      </c>
      <c r="H2" s="132" t="s">
        <v>4022</v>
      </c>
      <c r="I2" s="132" t="s">
        <v>4023</v>
      </c>
      <c r="J2" s="132" t="s">
        <v>4024</v>
      </c>
      <c r="K2" s="132" t="s">
        <v>4025</v>
      </c>
      <c r="L2" s="132" t="s">
        <v>4026</v>
      </c>
      <c r="M2" s="132" t="s">
        <v>4027</v>
      </c>
      <c r="N2" s="132" t="s">
        <v>4028</v>
      </c>
      <c r="O2" s="132" t="s">
        <v>4029</v>
      </c>
      <c r="P2" s="132" t="s">
        <v>4030</v>
      </c>
      <c r="Q2" s="132" t="s">
        <v>4031</v>
      </c>
      <c r="R2" s="132" t="s">
        <v>4032</v>
      </c>
      <c r="S2" s="132" t="s">
        <v>4033</v>
      </c>
      <c r="T2" s="132" t="s">
        <v>4034</v>
      </c>
      <c r="U2" s="132" t="s">
        <v>4035</v>
      </c>
      <c r="V2" s="133"/>
      <c r="W2" s="134"/>
      <c r="X2" s="134"/>
      <c r="Y2" s="134"/>
      <c r="Z2" s="134"/>
    </row>
    <row r="3">
      <c r="A3" s="135" t="s">
        <v>4036</v>
      </c>
      <c r="B3" s="136" t="s">
        <v>4037</v>
      </c>
      <c r="C3" s="136" t="s">
        <v>4038</v>
      </c>
      <c r="D3" s="136" t="s">
        <v>4039</v>
      </c>
      <c r="E3" s="136">
        <v>2025.0</v>
      </c>
      <c r="F3" s="136" t="s">
        <v>4040</v>
      </c>
      <c r="G3" s="136" t="s">
        <v>4041</v>
      </c>
      <c r="H3" s="136" t="s">
        <v>4042</v>
      </c>
      <c r="I3" s="136" t="s">
        <v>4043</v>
      </c>
      <c r="J3" s="136" t="s">
        <v>4044</v>
      </c>
      <c r="K3" s="136">
        <v>73.0</v>
      </c>
      <c r="L3" s="136">
        <v>71.0</v>
      </c>
      <c r="M3" s="136">
        <v>57.23333</v>
      </c>
      <c r="N3" s="136">
        <v>0.0</v>
      </c>
      <c r="O3" s="137">
        <v>57.23333</v>
      </c>
      <c r="P3" s="136">
        <v>100.0</v>
      </c>
      <c r="Q3" s="136">
        <v>57.23333</v>
      </c>
      <c r="R3" s="136" t="s">
        <v>4045</v>
      </c>
      <c r="S3" s="136">
        <v>72.85714</v>
      </c>
      <c r="T3" s="136">
        <v>1.0</v>
      </c>
      <c r="U3" s="138">
        <v>45746.87368055555</v>
      </c>
      <c r="V3" s="139"/>
      <c r="W3" s="140"/>
      <c r="X3" s="140"/>
      <c r="Y3" s="140"/>
      <c r="Z3" s="140"/>
    </row>
    <row r="4">
      <c r="A4" s="135" t="s">
        <v>4046</v>
      </c>
      <c r="B4" s="136" t="s">
        <v>4047</v>
      </c>
      <c r="C4" s="136" t="s">
        <v>4048</v>
      </c>
      <c r="D4" s="136" t="s">
        <v>4049</v>
      </c>
      <c r="E4" s="136">
        <v>2025.0</v>
      </c>
      <c r="F4" s="136" t="s">
        <v>4040</v>
      </c>
      <c r="G4" s="136" t="s">
        <v>4041</v>
      </c>
      <c r="H4" s="136" t="s">
        <v>4050</v>
      </c>
      <c r="I4" s="136" t="s">
        <v>4043</v>
      </c>
      <c r="J4" s="136" t="s">
        <v>4051</v>
      </c>
      <c r="K4" s="136">
        <v>73.0</v>
      </c>
      <c r="L4" s="136">
        <v>31.0</v>
      </c>
      <c r="M4" s="136">
        <v>25.83333</v>
      </c>
      <c r="N4" s="136">
        <v>0.0</v>
      </c>
      <c r="O4" s="137">
        <v>25.83333</v>
      </c>
      <c r="P4" s="136">
        <v>100.0</v>
      </c>
      <c r="Q4" s="136">
        <v>25.83333</v>
      </c>
      <c r="R4" s="136" t="s">
        <v>4045</v>
      </c>
      <c r="S4" s="136">
        <v>66.66667</v>
      </c>
      <c r="T4" s="136">
        <v>1.0</v>
      </c>
      <c r="U4" s="138">
        <v>45746.59202546296</v>
      </c>
      <c r="V4" s="139"/>
      <c r="W4" s="140"/>
      <c r="X4" s="140"/>
      <c r="Y4" s="140"/>
      <c r="Z4" s="140"/>
    </row>
    <row r="5">
      <c r="A5" s="135" t="s">
        <v>4052</v>
      </c>
      <c r="B5" s="136" t="s">
        <v>4053</v>
      </c>
      <c r="C5" s="136" t="s">
        <v>4054</v>
      </c>
      <c r="D5" s="136" t="s">
        <v>4055</v>
      </c>
      <c r="E5" s="136">
        <v>2025.0</v>
      </c>
      <c r="F5" s="136" t="s">
        <v>4040</v>
      </c>
      <c r="G5" s="136" t="s">
        <v>4041</v>
      </c>
      <c r="H5" s="136" t="s">
        <v>4056</v>
      </c>
      <c r="I5" s="136" t="s">
        <v>4043</v>
      </c>
      <c r="J5" s="136" t="s">
        <v>4057</v>
      </c>
      <c r="K5" s="136">
        <v>73.0</v>
      </c>
      <c r="L5" s="136">
        <v>56.0</v>
      </c>
      <c r="M5" s="136">
        <v>36.0</v>
      </c>
      <c r="N5" s="136">
        <v>0.0</v>
      </c>
      <c r="O5" s="137">
        <v>36.0</v>
      </c>
      <c r="P5" s="136">
        <v>100.0</v>
      </c>
      <c r="Q5" s="136">
        <v>36.0</v>
      </c>
      <c r="R5" s="136" t="s">
        <v>4045</v>
      </c>
      <c r="S5" s="136">
        <v>64.28571</v>
      </c>
      <c r="T5" s="136">
        <v>2.0</v>
      </c>
      <c r="U5" s="138">
        <v>45746.586018518516</v>
      </c>
      <c r="V5" s="139"/>
      <c r="W5" s="140"/>
      <c r="X5" s="140"/>
      <c r="Y5" s="140"/>
      <c r="Z5" s="140"/>
    </row>
    <row r="6">
      <c r="A6" s="135" t="s">
        <v>4058</v>
      </c>
      <c r="B6" s="136" t="s">
        <v>4059</v>
      </c>
      <c r="C6" s="136" t="s">
        <v>4060</v>
      </c>
      <c r="D6" s="136" t="s">
        <v>4061</v>
      </c>
      <c r="E6" s="136">
        <v>2025.0</v>
      </c>
      <c r="F6" s="136" t="s">
        <v>4040</v>
      </c>
      <c r="G6" s="136" t="s">
        <v>4041</v>
      </c>
      <c r="H6" s="136" t="s">
        <v>4062</v>
      </c>
      <c r="I6" s="136" t="s">
        <v>4043</v>
      </c>
      <c r="J6" s="136" t="s">
        <v>4063</v>
      </c>
      <c r="K6" s="136">
        <v>73.0</v>
      </c>
      <c r="L6" s="136">
        <v>71.0</v>
      </c>
      <c r="M6" s="136">
        <v>52.03333</v>
      </c>
      <c r="N6" s="136">
        <v>0.0</v>
      </c>
      <c r="O6" s="137">
        <v>52.03333</v>
      </c>
      <c r="P6" s="136">
        <v>100.0</v>
      </c>
      <c r="Q6" s="136">
        <v>52.03333</v>
      </c>
      <c r="R6" s="136" t="s">
        <v>4045</v>
      </c>
      <c r="S6" s="136">
        <v>65.71429</v>
      </c>
      <c r="T6" s="136">
        <v>2.0</v>
      </c>
      <c r="U6" s="138">
        <v>45746.67626157407</v>
      </c>
      <c r="V6" s="139"/>
      <c r="W6" s="140"/>
      <c r="X6" s="140"/>
      <c r="Y6" s="140"/>
      <c r="Z6" s="140"/>
    </row>
    <row r="7">
      <c r="A7" s="135" t="s">
        <v>4064</v>
      </c>
      <c r="B7" s="136" t="s">
        <v>4065</v>
      </c>
      <c r="C7" s="136" t="s">
        <v>4066</v>
      </c>
      <c r="D7" s="136" t="s">
        <v>4067</v>
      </c>
      <c r="E7" s="136">
        <v>2025.0</v>
      </c>
      <c r="F7" s="136" t="s">
        <v>4040</v>
      </c>
      <c r="G7" s="136" t="s">
        <v>4041</v>
      </c>
      <c r="H7" s="136" t="s">
        <v>4068</v>
      </c>
      <c r="I7" s="136" t="s">
        <v>4043</v>
      </c>
      <c r="J7" s="136" t="s">
        <v>4069</v>
      </c>
      <c r="K7" s="136">
        <v>73.0</v>
      </c>
      <c r="L7" s="136">
        <v>68.0</v>
      </c>
      <c r="M7" s="136">
        <v>23.0</v>
      </c>
      <c r="N7" s="136">
        <v>0.0</v>
      </c>
      <c r="O7" s="137">
        <v>23.0</v>
      </c>
      <c r="P7" s="136">
        <v>100.0</v>
      </c>
      <c r="Q7" s="136">
        <v>23.0</v>
      </c>
      <c r="R7" s="136" t="s">
        <v>4045</v>
      </c>
      <c r="S7" s="136">
        <v>33.82353</v>
      </c>
      <c r="T7" s="136">
        <v>1.0</v>
      </c>
      <c r="U7" s="138">
        <v>45746.9444212963</v>
      </c>
      <c r="V7" s="139"/>
      <c r="W7" s="140"/>
      <c r="X7" s="140"/>
      <c r="Y7" s="140"/>
      <c r="Z7" s="140"/>
    </row>
    <row r="8">
      <c r="A8" s="135" t="s">
        <v>4070</v>
      </c>
      <c r="B8" s="136" t="s">
        <v>4071</v>
      </c>
      <c r="C8" s="136" t="s">
        <v>4072</v>
      </c>
      <c r="D8" s="136" t="s">
        <v>4073</v>
      </c>
      <c r="E8" s="136">
        <v>2025.0</v>
      </c>
      <c r="F8" s="136" t="s">
        <v>4040</v>
      </c>
      <c r="G8" s="136" t="s">
        <v>4041</v>
      </c>
      <c r="H8" s="136" t="s">
        <v>4074</v>
      </c>
      <c r="I8" s="136" t="s">
        <v>4043</v>
      </c>
      <c r="J8" s="136" t="s">
        <v>4075</v>
      </c>
      <c r="K8" s="136">
        <v>73.0</v>
      </c>
      <c r="L8" s="136">
        <v>71.0</v>
      </c>
      <c r="M8" s="136">
        <v>51.66667</v>
      </c>
      <c r="N8" s="136">
        <v>0.0</v>
      </c>
      <c r="O8" s="137">
        <v>51.66667</v>
      </c>
      <c r="P8" s="136">
        <v>100.0</v>
      </c>
      <c r="Q8" s="136">
        <v>51.66667</v>
      </c>
      <c r="R8" s="136" t="s">
        <v>4045</v>
      </c>
      <c r="S8" s="136">
        <v>70.0</v>
      </c>
      <c r="T8" s="136">
        <v>1.0</v>
      </c>
      <c r="U8" s="138">
        <v>45746.82351851852</v>
      </c>
      <c r="V8" s="139"/>
      <c r="W8" s="140"/>
      <c r="X8" s="140"/>
      <c r="Y8" s="140"/>
      <c r="Z8" s="140"/>
    </row>
    <row r="9">
      <c r="A9" s="135" t="s">
        <v>4076</v>
      </c>
      <c r="B9" s="136" t="s">
        <v>4077</v>
      </c>
      <c r="C9" s="136" t="s">
        <v>3864</v>
      </c>
      <c r="D9" s="136" t="s">
        <v>3858</v>
      </c>
      <c r="E9" s="136">
        <v>2025.0</v>
      </c>
      <c r="F9" s="136" t="s">
        <v>4040</v>
      </c>
      <c r="G9" s="136" t="s">
        <v>4041</v>
      </c>
      <c r="H9" s="136" t="s">
        <v>4078</v>
      </c>
      <c r="I9" s="136" t="s">
        <v>4043</v>
      </c>
      <c r="J9" s="136" t="s">
        <v>4079</v>
      </c>
      <c r="K9" s="136">
        <v>73.0</v>
      </c>
      <c r="L9" s="136">
        <v>69.0</v>
      </c>
      <c r="M9" s="136">
        <v>16.0</v>
      </c>
      <c r="N9" s="136">
        <v>0.0</v>
      </c>
      <c r="O9" s="137">
        <v>16.0</v>
      </c>
      <c r="P9" s="136">
        <v>100.0</v>
      </c>
      <c r="Q9" s="136">
        <v>16.0</v>
      </c>
      <c r="R9" s="136" t="s">
        <v>4045</v>
      </c>
      <c r="S9" s="136">
        <v>23.18841</v>
      </c>
      <c r="T9" s="136">
        <v>2.0</v>
      </c>
      <c r="U9" s="138">
        <v>45747.6983912037</v>
      </c>
      <c r="V9" s="139"/>
      <c r="W9" s="140"/>
      <c r="X9" s="140"/>
      <c r="Y9" s="140"/>
      <c r="Z9" s="140"/>
    </row>
    <row r="10">
      <c r="A10" s="135" t="s">
        <v>4080</v>
      </c>
      <c r="B10" s="136" t="s">
        <v>4081</v>
      </c>
      <c r="C10" s="136" t="s">
        <v>4082</v>
      </c>
      <c r="D10" s="136" t="s">
        <v>4083</v>
      </c>
      <c r="E10" s="136">
        <v>2025.0</v>
      </c>
      <c r="F10" s="136" t="s">
        <v>4040</v>
      </c>
      <c r="G10" s="136" t="s">
        <v>4041</v>
      </c>
      <c r="H10" s="136" t="s">
        <v>4084</v>
      </c>
      <c r="I10" s="136" t="s">
        <v>4043</v>
      </c>
      <c r="J10" s="136" t="s">
        <v>4085</v>
      </c>
      <c r="K10" s="136">
        <v>73.0</v>
      </c>
      <c r="L10" s="136">
        <v>72.0</v>
      </c>
      <c r="M10" s="136">
        <v>45.76667</v>
      </c>
      <c r="N10" s="136">
        <v>0.0</v>
      </c>
      <c r="O10" s="137">
        <v>45.76667</v>
      </c>
      <c r="P10" s="136">
        <v>100.0</v>
      </c>
      <c r="Q10" s="136">
        <v>45.76667</v>
      </c>
      <c r="R10" s="136" t="s">
        <v>4045</v>
      </c>
      <c r="S10" s="136">
        <v>52.7027</v>
      </c>
      <c r="T10" s="136">
        <v>2.0</v>
      </c>
      <c r="U10" s="138">
        <v>45747.66136574074</v>
      </c>
      <c r="V10" s="139"/>
      <c r="W10" s="140"/>
      <c r="X10" s="140"/>
      <c r="Y10" s="140"/>
      <c r="Z10" s="140"/>
    </row>
    <row r="11">
      <c r="A11" s="135" t="s">
        <v>4086</v>
      </c>
      <c r="B11" s="136" t="s">
        <v>4087</v>
      </c>
      <c r="C11" s="136" t="s">
        <v>4088</v>
      </c>
      <c r="D11" s="136" t="s">
        <v>4089</v>
      </c>
      <c r="E11" s="136">
        <v>2025.0</v>
      </c>
      <c r="F11" s="136" t="s">
        <v>4040</v>
      </c>
      <c r="G11" s="136" t="s">
        <v>4041</v>
      </c>
      <c r="H11" s="136" t="s">
        <v>4090</v>
      </c>
      <c r="I11" s="136" t="s">
        <v>4043</v>
      </c>
      <c r="J11" s="136" t="s">
        <v>4091</v>
      </c>
      <c r="K11" s="136">
        <v>73.0</v>
      </c>
      <c r="L11" s="136">
        <v>72.0</v>
      </c>
      <c r="M11" s="136">
        <v>46.03333</v>
      </c>
      <c r="N11" s="136">
        <v>0.0</v>
      </c>
      <c r="O11" s="137">
        <v>46.03333</v>
      </c>
      <c r="P11" s="136">
        <v>100.0</v>
      </c>
      <c r="Q11" s="136">
        <v>46.03333</v>
      </c>
      <c r="R11" s="136" t="s">
        <v>4045</v>
      </c>
      <c r="S11" s="136">
        <v>55.40541</v>
      </c>
      <c r="T11" s="136">
        <v>3.0</v>
      </c>
      <c r="U11" s="138">
        <v>45747.92618055556</v>
      </c>
      <c r="V11" s="139"/>
      <c r="W11" s="140"/>
      <c r="X11" s="140"/>
      <c r="Y11" s="140"/>
      <c r="Z11" s="140"/>
    </row>
    <row r="12">
      <c r="A12" s="135" t="s">
        <v>4092</v>
      </c>
      <c r="B12" s="136" t="s">
        <v>4093</v>
      </c>
      <c r="C12" s="136" t="s">
        <v>4094</v>
      </c>
      <c r="D12" s="136" t="s">
        <v>4095</v>
      </c>
      <c r="E12" s="136">
        <v>2025.0</v>
      </c>
      <c r="F12" s="136" t="s">
        <v>4040</v>
      </c>
      <c r="G12" s="136" t="s">
        <v>4041</v>
      </c>
      <c r="H12" s="136" t="s">
        <v>4096</v>
      </c>
      <c r="I12" s="136" t="s">
        <v>4043</v>
      </c>
      <c r="J12" s="136" t="s">
        <v>4097</v>
      </c>
      <c r="K12" s="136">
        <v>73.0</v>
      </c>
      <c r="L12" s="136">
        <v>71.0</v>
      </c>
      <c r="M12" s="136">
        <v>37.8</v>
      </c>
      <c r="N12" s="136">
        <v>0.0</v>
      </c>
      <c r="O12" s="137">
        <v>37.8</v>
      </c>
      <c r="P12" s="136">
        <v>100.0</v>
      </c>
      <c r="Q12" s="136">
        <v>37.8</v>
      </c>
      <c r="R12" s="136" t="s">
        <v>4045</v>
      </c>
      <c r="S12" s="136">
        <v>50.0</v>
      </c>
      <c r="T12" s="136">
        <v>1.0</v>
      </c>
      <c r="U12" s="138">
        <v>45746.91972222222</v>
      </c>
      <c r="V12" s="139"/>
      <c r="W12" s="140"/>
      <c r="X12" s="140"/>
      <c r="Y12" s="140"/>
      <c r="Z12" s="140"/>
    </row>
    <row r="13">
      <c r="A13" s="135" t="s">
        <v>4098</v>
      </c>
      <c r="B13" s="136" t="s">
        <v>4099</v>
      </c>
      <c r="C13" s="136" t="s">
        <v>4100</v>
      </c>
      <c r="D13" s="136" t="s">
        <v>4101</v>
      </c>
      <c r="E13" s="136">
        <v>2025.0</v>
      </c>
      <c r="F13" s="136" t="s">
        <v>4040</v>
      </c>
      <c r="G13" s="136" t="s">
        <v>4041</v>
      </c>
      <c r="H13" s="136" t="s">
        <v>4102</v>
      </c>
      <c r="I13" s="136" t="s">
        <v>4043</v>
      </c>
      <c r="J13" s="136" t="s">
        <v>4103</v>
      </c>
      <c r="K13" s="136">
        <v>73.0</v>
      </c>
      <c r="L13" s="136">
        <v>72.0</v>
      </c>
      <c r="M13" s="136">
        <v>47.66667</v>
      </c>
      <c r="N13" s="136">
        <v>0.0</v>
      </c>
      <c r="O13" s="137">
        <v>47.66667</v>
      </c>
      <c r="P13" s="136">
        <v>100.0</v>
      </c>
      <c r="Q13" s="136">
        <v>47.66667</v>
      </c>
      <c r="R13" s="136" t="s">
        <v>4045</v>
      </c>
      <c r="S13" s="136">
        <v>52.7027</v>
      </c>
      <c r="T13" s="136">
        <v>4.0</v>
      </c>
      <c r="U13" s="138">
        <v>45746.563888888886</v>
      </c>
      <c r="V13" s="139"/>
      <c r="W13" s="140"/>
      <c r="X13" s="140"/>
      <c r="Y13" s="140"/>
      <c r="Z13" s="140"/>
    </row>
    <row r="14">
      <c r="A14" s="135" t="s">
        <v>4104</v>
      </c>
      <c r="B14" s="136" t="s">
        <v>4105</v>
      </c>
      <c r="C14" s="136" t="s">
        <v>4106</v>
      </c>
      <c r="D14" s="136" t="s">
        <v>4107</v>
      </c>
      <c r="E14" s="136">
        <v>2025.0</v>
      </c>
      <c r="F14" s="136" t="s">
        <v>4040</v>
      </c>
      <c r="G14" s="136" t="s">
        <v>4041</v>
      </c>
      <c r="H14" s="136" t="s">
        <v>4108</v>
      </c>
      <c r="I14" s="136" t="s">
        <v>4043</v>
      </c>
      <c r="J14" s="136" t="s">
        <v>4109</v>
      </c>
      <c r="K14" s="136">
        <v>73.0</v>
      </c>
      <c r="L14" s="136">
        <v>71.0</v>
      </c>
      <c r="M14" s="136">
        <v>35.83333</v>
      </c>
      <c r="N14" s="136">
        <v>0.0</v>
      </c>
      <c r="O14" s="137">
        <v>35.83333</v>
      </c>
      <c r="P14" s="136">
        <v>100.0</v>
      </c>
      <c r="Q14" s="136">
        <v>35.83333</v>
      </c>
      <c r="R14" s="136" t="s">
        <v>4045</v>
      </c>
      <c r="S14" s="136">
        <v>47.14286</v>
      </c>
      <c r="T14" s="136">
        <v>2.0</v>
      </c>
      <c r="U14" s="138">
        <v>45747.718518518515</v>
      </c>
      <c r="V14" s="139"/>
      <c r="W14" s="140"/>
      <c r="X14" s="140"/>
      <c r="Y14" s="140"/>
      <c r="Z14" s="140"/>
    </row>
    <row r="15">
      <c r="A15" s="135" t="s">
        <v>4110</v>
      </c>
      <c r="B15" s="136" t="s">
        <v>4111</v>
      </c>
      <c r="C15" s="136" t="s">
        <v>4112</v>
      </c>
      <c r="D15" s="136" t="s">
        <v>4113</v>
      </c>
      <c r="E15" s="136">
        <v>2025.0</v>
      </c>
      <c r="F15" s="136" t="s">
        <v>4040</v>
      </c>
      <c r="G15" s="136" t="s">
        <v>4041</v>
      </c>
      <c r="H15" s="136" t="s">
        <v>4114</v>
      </c>
      <c r="I15" s="136" t="s">
        <v>4043</v>
      </c>
      <c r="J15" s="136" t="s">
        <v>4115</v>
      </c>
      <c r="K15" s="136">
        <v>73.0</v>
      </c>
      <c r="L15" s="136">
        <v>63.0</v>
      </c>
      <c r="M15" s="136">
        <v>49.6</v>
      </c>
      <c r="N15" s="136">
        <v>0.0</v>
      </c>
      <c r="O15" s="137">
        <v>49.6</v>
      </c>
      <c r="P15" s="136">
        <v>100.0</v>
      </c>
      <c r="Q15" s="136">
        <v>49.6</v>
      </c>
      <c r="R15" s="136" t="s">
        <v>4045</v>
      </c>
      <c r="S15" s="136">
        <v>60.0</v>
      </c>
      <c r="T15" s="136">
        <v>2.0</v>
      </c>
      <c r="U15" s="138">
        <v>45746.92265046296</v>
      </c>
      <c r="V15" s="139"/>
      <c r="W15" s="140"/>
      <c r="X15" s="140"/>
      <c r="Y15" s="140"/>
      <c r="Z15" s="140"/>
    </row>
    <row r="16">
      <c r="A16" s="135" t="s">
        <v>4116</v>
      </c>
      <c r="B16" s="136" t="s">
        <v>4117</v>
      </c>
      <c r="C16" s="136" t="s">
        <v>4118</v>
      </c>
      <c r="D16" s="136" t="s">
        <v>4119</v>
      </c>
      <c r="E16" s="136">
        <v>2025.0</v>
      </c>
      <c r="F16" s="136" t="s">
        <v>4040</v>
      </c>
      <c r="G16" s="136" t="s">
        <v>4041</v>
      </c>
      <c r="H16" s="136" t="s">
        <v>4120</v>
      </c>
      <c r="I16" s="136" t="s">
        <v>4043</v>
      </c>
      <c r="J16" s="136" t="s">
        <v>4121</v>
      </c>
      <c r="K16" s="136">
        <v>73.0</v>
      </c>
      <c r="L16" s="136">
        <v>42.0</v>
      </c>
      <c r="M16" s="136">
        <v>20.0</v>
      </c>
      <c r="N16" s="136">
        <v>0.0</v>
      </c>
      <c r="O16" s="137">
        <v>20.0</v>
      </c>
      <c r="P16" s="136">
        <v>100.0</v>
      </c>
      <c r="Q16" s="136">
        <v>20.0</v>
      </c>
      <c r="R16" s="136" t="s">
        <v>4045</v>
      </c>
      <c r="S16" s="136">
        <v>47.61905</v>
      </c>
      <c r="T16" s="136">
        <v>1.0</v>
      </c>
      <c r="U16" s="138">
        <v>45746.88085648148</v>
      </c>
      <c r="V16" s="139"/>
      <c r="W16" s="140"/>
      <c r="X16" s="140"/>
      <c r="Y16" s="140"/>
      <c r="Z16" s="140"/>
    </row>
    <row r="17">
      <c r="A17" s="135" t="s">
        <v>4122</v>
      </c>
      <c r="B17" s="136" t="s">
        <v>4123</v>
      </c>
      <c r="C17" s="136" t="s">
        <v>4124</v>
      </c>
      <c r="D17" s="136" t="s">
        <v>4125</v>
      </c>
      <c r="E17" s="136">
        <v>2025.0</v>
      </c>
      <c r="F17" s="136" t="s">
        <v>4040</v>
      </c>
      <c r="G17" s="136" t="s">
        <v>4041</v>
      </c>
      <c r="H17" s="136" t="s">
        <v>4126</v>
      </c>
      <c r="I17" s="136" t="s">
        <v>4043</v>
      </c>
      <c r="J17" s="136" t="s">
        <v>4127</v>
      </c>
      <c r="K17" s="136">
        <v>73.0</v>
      </c>
      <c r="L17" s="136">
        <v>72.0</v>
      </c>
      <c r="M17" s="136">
        <v>52.33333</v>
      </c>
      <c r="N17" s="136">
        <v>0.0</v>
      </c>
      <c r="O17" s="137">
        <v>52.33333</v>
      </c>
      <c r="P17" s="136">
        <v>100.0</v>
      </c>
      <c r="Q17" s="136">
        <v>52.33333</v>
      </c>
      <c r="R17" s="136" t="s">
        <v>4045</v>
      </c>
      <c r="S17" s="136">
        <v>58.10811</v>
      </c>
      <c r="T17" s="136">
        <v>2.0</v>
      </c>
      <c r="U17" s="138">
        <v>45746.91511574074</v>
      </c>
      <c r="V17" s="139"/>
      <c r="W17" s="140"/>
      <c r="X17" s="140"/>
      <c r="Y17" s="140"/>
      <c r="Z17" s="140"/>
    </row>
    <row r="18">
      <c r="A18" s="135" t="s">
        <v>4128</v>
      </c>
      <c r="B18" s="136" t="s">
        <v>4129</v>
      </c>
      <c r="C18" s="136" t="s">
        <v>4130</v>
      </c>
      <c r="D18" s="136" t="s">
        <v>4131</v>
      </c>
      <c r="E18" s="136">
        <v>2025.0</v>
      </c>
      <c r="F18" s="136" t="s">
        <v>4132</v>
      </c>
      <c r="G18" s="136" t="s">
        <v>4041</v>
      </c>
      <c r="H18" s="136" t="s">
        <v>4133</v>
      </c>
      <c r="I18" s="136" t="s">
        <v>4043</v>
      </c>
      <c r="J18" s="136" t="s">
        <v>4134</v>
      </c>
      <c r="K18" s="136">
        <v>73.0</v>
      </c>
      <c r="L18" s="136">
        <v>70.0</v>
      </c>
      <c r="M18" s="136">
        <v>44.1</v>
      </c>
      <c r="N18" s="136">
        <v>0.0</v>
      </c>
      <c r="O18" s="137">
        <v>44.1</v>
      </c>
      <c r="P18" s="136">
        <v>100.0</v>
      </c>
      <c r="Q18" s="136">
        <v>44.1</v>
      </c>
      <c r="R18" s="136" t="s">
        <v>4045</v>
      </c>
      <c r="S18" s="136">
        <v>55.07246</v>
      </c>
      <c r="T18" s="136">
        <v>1.0</v>
      </c>
      <c r="U18" s="138">
        <v>45746.79011574074</v>
      </c>
      <c r="V18" s="139"/>
      <c r="W18" s="140"/>
      <c r="X18" s="140"/>
      <c r="Y18" s="140"/>
      <c r="Z18" s="140"/>
    </row>
    <row r="19">
      <c r="A19" s="135" t="s">
        <v>4135</v>
      </c>
      <c r="B19" s="136" t="s">
        <v>4136</v>
      </c>
      <c r="C19" s="136" t="s">
        <v>4137</v>
      </c>
      <c r="D19" s="136" t="s">
        <v>4138</v>
      </c>
      <c r="E19" s="136">
        <v>2025.0</v>
      </c>
      <c r="F19" s="136" t="s">
        <v>4132</v>
      </c>
      <c r="G19" s="136" t="s">
        <v>4041</v>
      </c>
      <c r="H19" s="136" t="s">
        <v>4139</v>
      </c>
      <c r="I19" s="136" t="s">
        <v>4043</v>
      </c>
      <c r="J19" s="136" t="s">
        <v>4140</v>
      </c>
      <c r="K19" s="136">
        <v>73.0</v>
      </c>
      <c r="L19" s="136">
        <v>71.0</v>
      </c>
      <c r="M19" s="136">
        <v>34.86667</v>
      </c>
      <c r="N19" s="136">
        <v>0.0</v>
      </c>
      <c r="O19" s="137">
        <v>34.86667</v>
      </c>
      <c r="P19" s="136">
        <v>100.0</v>
      </c>
      <c r="Q19" s="136">
        <v>34.86667</v>
      </c>
      <c r="R19" s="136" t="s">
        <v>4045</v>
      </c>
      <c r="S19" s="136">
        <v>42.85714</v>
      </c>
      <c r="T19" s="136">
        <v>1.0</v>
      </c>
      <c r="U19" s="138">
        <v>45746.49851851852</v>
      </c>
      <c r="V19" s="139"/>
      <c r="W19" s="140"/>
      <c r="X19" s="140"/>
      <c r="Y19" s="140"/>
      <c r="Z19" s="140"/>
    </row>
    <row r="20">
      <c r="A20" s="135" t="s">
        <v>4141</v>
      </c>
      <c r="B20" s="136" t="s">
        <v>4142</v>
      </c>
      <c r="C20" s="136" t="s">
        <v>4143</v>
      </c>
      <c r="D20" s="136" t="s">
        <v>4144</v>
      </c>
      <c r="E20" s="136">
        <v>2025.0</v>
      </c>
      <c r="F20" s="136" t="s">
        <v>4132</v>
      </c>
      <c r="G20" s="136" t="s">
        <v>4041</v>
      </c>
      <c r="H20" s="136" t="s">
        <v>4145</v>
      </c>
      <c r="I20" s="136" t="s">
        <v>4043</v>
      </c>
      <c r="J20" s="136" t="s">
        <v>4146</v>
      </c>
      <c r="K20" s="136">
        <v>73.0</v>
      </c>
      <c r="L20" s="136">
        <v>71.0</v>
      </c>
      <c r="M20" s="136">
        <v>36.16667</v>
      </c>
      <c r="N20" s="136">
        <v>0.0</v>
      </c>
      <c r="O20" s="137">
        <v>36.16667</v>
      </c>
      <c r="P20" s="136">
        <v>100.0</v>
      </c>
      <c r="Q20" s="136">
        <v>36.16667</v>
      </c>
      <c r="R20" s="136" t="s">
        <v>4045</v>
      </c>
      <c r="S20" s="136">
        <v>42.85714</v>
      </c>
      <c r="T20" s="136">
        <v>3.0</v>
      </c>
      <c r="U20" s="138">
        <v>45746.790127314816</v>
      </c>
      <c r="V20" s="139"/>
      <c r="W20" s="140"/>
      <c r="X20" s="140"/>
      <c r="Y20" s="140"/>
      <c r="Z20" s="140"/>
    </row>
    <row r="21">
      <c r="A21" s="135" t="s">
        <v>4147</v>
      </c>
      <c r="B21" s="136" t="s">
        <v>4148</v>
      </c>
      <c r="C21" s="136" t="s">
        <v>4149</v>
      </c>
      <c r="D21" s="136" t="s">
        <v>4150</v>
      </c>
      <c r="E21" s="136">
        <v>2025.0</v>
      </c>
      <c r="F21" s="136" t="s">
        <v>4132</v>
      </c>
      <c r="G21" s="136" t="s">
        <v>4041</v>
      </c>
      <c r="H21" s="136" t="s">
        <v>4151</v>
      </c>
      <c r="I21" s="136" t="s">
        <v>4152</v>
      </c>
      <c r="J21" s="136" t="s">
        <v>4153</v>
      </c>
      <c r="K21" s="136" t="s">
        <v>1003</v>
      </c>
      <c r="L21" s="136" t="s">
        <v>1003</v>
      </c>
      <c r="M21" s="136" t="s">
        <v>1003</v>
      </c>
      <c r="N21" s="136" t="s">
        <v>1003</v>
      </c>
      <c r="O21" s="137" t="s">
        <v>1003</v>
      </c>
      <c r="P21" s="136" t="s">
        <v>1003</v>
      </c>
      <c r="Q21" s="136" t="s">
        <v>1003</v>
      </c>
      <c r="R21" s="136" t="s">
        <v>1003</v>
      </c>
      <c r="S21" s="136" t="s">
        <v>1003</v>
      </c>
      <c r="T21" s="136">
        <v>0.0</v>
      </c>
      <c r="U21" s="136" t="s">
        <v>1003</v>
      </c>
      <c r="V21" s="139"/>
      <c r="W21" s="140"/>
      <c r="X21" s="140"/>
      <c r="Y21" s="140"/>
      <c r="Z21" s="140"/>
    </row>
    <row r="22">
      <c r="A22" s="135" t="s">
        <v>4154</v>
      </c>
      <c r="B22" s="136" t="s">
        <v>4155</v>
      </c>
      <c r="C22" s="136" t="s">
        <v>4156</v>
      </c>
      <c r="D22" s="136" t="s">
        <v>4157</v>
      </c>
      <c r="E22" s="136">
        <v>2025.0</v>
      </c>
      <c r="F22" s="136" t="s">
        <v>4132</v>
      </c>
      <c r="G22" s="136" t="s">
        <v>4041</v>
      </c>
      <c r="H22" s="136" t="s">
        <v>4158</v>
      </c>
      <c r="I22" s="136" t="s">
        <v>4043</v>
      </c>
      <c r="J22" s="136" t="s">
        <v>4159</v>
      </c>
      <c r="K22" s="136">
        <v>73.0</v>
      </c>
      <c r="L22" s="136">
        <v>70.0</v>
      </c>
      <c r="M22" s="136">
        <v>40.86667</v>
      </c>
      <c r="N22" s="136">
        <v>0.0</v>
      </c>
      <c r="O22" s="137">
        <v>40.86667</v>
      </c>
      <c r="P22" s="136">
        <v>100.0</v>
      </c>
      <c r="Q22" s="136">
        <v>40.86667</v>
      </c>
      <c r="R22" s="136" t="s">
        <v>4045</v>
      </c>
      <c r="S22" s="136">
        <v>55.07246</v>
      </c>
      <c r="T22" s="136">
        <v>1.0</v>
      </c>
      <c r="U22" s="138">
        <v>45746.741793981484</v>
      </c>
      <c r="V22" s="139"/>
      <c r="W22" s="140"/>
      <c r="X22" s="140"/>
      <c r="Y22" s="140"/>
      <c r="Z22" s="140"/>
    </row>
    <row r="23">
      <c r="A23" s="135" t="s">
        <v>4160</v>
      </c>
      <c r="B23" s="136" t="s">
        <v>4161</v>
      </c>
      <c r="C23" s="136" t="s">
        <v>4162</v>
      </c>
      <c r="D23" s="136" t="s">
        <v>4163</v>
      </c>
      <c r="E23" s="136">
        <v>2025.0</v>
      </c>
      <c r="F23" s="136" t="s">
        <v>4132</v>
      </c>
      <c r="G23" s="136" t="s">
        <v>4041</v>
      </c>
      <c r="H23" s="136" t="s">
        <v>4164</v>
      </c>
      <c r="I23" s="136" t="s">
        <v>4043</v>
      </c>
      <c r="J23" s="136" t="s">
        <v>4165</v>
      </c>
      <c r="K23" s="136">
        <v>73.0</v>
      </c>
      <c r="L23" s="136">
        <v>71.0</v>
      </c>
      <c r="M23" s="136">
        <v>19.16667</v>
      </c>
      <c r="N23" s="136">
        <v>0.0</v>
      </c>
      <c r="O23" s="137">
        <v>19.16667</v>
      </c>
      <c r="P23" s="136">
        <v>100.0</v>
      </c>
      <c r="Q23" s="136">
        <v>19.16667</v>
      </c>
      <c r="R23" s="136" t="s">
        <v>4045</v>
      </c>
      <c r="S23" s="136">
        <v>21.42857</v>
      </c>
      <c r="T23" s="136">
        <v>0.0</v>
      </c>
      <c r="U23" s="138">
        <v>45745.900092592594</v>
      </c>
      <c r="V23" s="139"/>
      <c r="W23" s="140"/>
      <c r="X23" s="140"/>
      <c r="Y23" s="140"/>
      <c r="Z23" s="140"/>
    </row>
    <row r="24">
      <c r="A24" s="135" t="s">
        <v>4166</v>
      </c>
      <c r="B24" s="136" t="s">
        <v>4167</v>
      </c>
      <c r="C24" s="136" t="s">
        <v>4168</v>
      </c>
      <c r="D24" s="136" t="s">
        <v>4169</v>
      </c>
      <c r="E24" s="136">
        <v>2025.0</v>
      </c>
      <c r="F24" s="136" t="s">
        <v>4132</v>
      </c>
      <c r="G24" s="136" t="s">
        <v>4041</v>
      </c>
      <c r="H24" s="136" t="s">
        <v>4170</v>
      </c>
      <c r="I24" s="136" t="s">
        <v>4043</v>
      </c>
      <c r="J24" s="136" t="s">
        <v>4171</v>
      </c>
      <c r="K24" s="136">
        <v>73.0</v>
      </c>
      <c r="L24" s="136">
        <v>70.0</v>
      </c>
      <c r="M24" s="136">
        <v>18.0</v>
      </c>
      <c r="N24" s="136">
        <v>0.0</v>
      </c>
      <c r="O24" s="137">
        <v>18.0</v>
      </c>
      <c r="P24" s="136">
        <v>100.0</v>
      </c>
      <c r="Q24" s="136">
        <v>18.0</v>
      </c>
      <c r="R24" s="136" t="s">
        <v>4045</v>
      </c>
      <c r="S24" s="136">
        <v>25.71429</v>
      </c>
      <c r="T24" s="136">
        <v>1.0</v>
      </c>
      <c r="U24" s="138">
        <v>45746.82357638889</v>
      </c>
      <c r="V24" s="139"/>
      <c r="W24" s="140"/>
      <c r="X24" s="140"/>
      <c r="Y24" s="140"/>
      <c r="Z24" s="140"/>
    </row>
    <row r="25">
      <c r="A25" s="135" t="s">
        <v>4172</v>
      </c>
      <c r="B25" s="136" t="s">
        <v>4173</v>
      </c>
      <c r="C25" s="136" t="s">
        <v>4174</v>
      </c>
      <c r="D25" s="136" t="s">
        <v>4175</v>
      </c>
      <c r="E25" s="136">
        <v>2025.0</v>
      </c>
      <c r="F25" s="136" t="s">
        <v>4132</v>
      </c>
      <c r="G25" s="136" t="s">
        <v>4041</v>
      </c>
      <c r="H25" s="136" t="s">
        <v>4176</v>
      </c>
      <c r="I25" s="136" t="s">
        <v>4043</v>
      </c>
      <c r="J25" s="136" t="s">
        <v>4177</v>
      </c>
      <c r="K25" s="136">
        <v>73.0</v>
      </c>
      <c r="L25" s="136">
        <v>71.0</v>
      </c>
      <c r="M25" s="136">
        <v>31.3</v>
      </c>
      <c r="N25" s="136">
        <v>0.0</v>
      </c>
      <c r="O25" s="137">
        <v>31.3</v>
      </c>
      <c r="P25" s="136">
        <v>100.0</v>
      </c>
      <c r="Q25" s="136">
        <v>31.3</v>
      </c>
      <c r="R25" s="136" t="s">
        <v>4045</v>
      </c>
      <c r="S25" s="136">
        <v>35.71429</v>
      </c>
      <c r="T25" s="136">
        <v>2.0</v>
      </c>
      <c r="U25" s="138">
        <v>45747.74859953704</v>
      </c>
      <c r="V25" s="139"/>
      <c r="W25" s="140"/>
      <c r="X25" s="140"/>
      <c r="Y25" s="140"/>
      <c r="Z25" s="140"/>
    </row>
    <row r="26">
      <c r="A26" s="135" t="s">
        <v>4178</v>
      </c>
      <c r="B26" s="136" t="s">
        <v>4179</v>
      </c>
      <c r="C26" s="136" t="s">
        <v>4180</v>
      </c>
      <c r="D26" s="136" t="s">
        <v>4181</v>
      </c>
      <c r="E26" s="136">
        <v>2025.0</v>
      </c>
      <c r="F26" s="136" t="s">
        <v>4182</v>
      </c>
      <c r="G26" s="136" t="s">
        <v>4041</v>
      </c>
      <c r="H26" s="136" t="s">
        <v>4183</v>
      </c>
      <c r="I26" s="136" t="s">
        <v>4043</v>
      </c>
      <c r="J26" s="136" t="s">
        <v>4184</v>
      </c>
      <c r="K26" s="136">
        <v>73.0</v>
      </c>
      <c r="L26" s="136">
        <v>71.0</v>
      </c>
      <c r="M26" s="136">
        <v>44.16667</v>
      </c>
      <c r="N26" s="136">
        <v>0.0</v>
      </c>
      <c r="O26" s="137">
        <v>44.16667</v>
      </c>
      <c r="P26" s="136">
        <v>100.0</v>
      </c>
      <c r="Q26" s="136">
        <v>44.16667</v>
      </c>
      <c r="R26" s="136" t="s">
        <v>4045</v>
      </c>
      <c r="S26" s="136">
        <v>54.28571</v>
      </c>
      <c r="T26" s="136">
        <v>1.0</v>
      </c>
      <c r="U26" s="138">
        <v>45746.92273148148</v>
      </c>
      <c r="V26" s="139"/>
      <c r="W26" s="140"/>
      <c r="X26" s="140"/>
      <c r="Y26" s="140"/>
      <c r="Z26" s="140"/>
    </row>
    <row r="27">
      <c r="A27" s="135" t="s">
        <v>4185</v>
      </c>
      <c r="B27" s="136" t="s">
        <v>3717</v>
      </c>
      <c r="C27" s="136" t="s">
        <v>3720</v>
      </c>
      <c r="D27" s="136" t="s">
        <v>3714</v>
      </c>
      <c r="E27" s="136">
        <v>2025.0</v>
      </c>
      <c r="F27" s="136" t="s">
        <v>4182</v>
      </c>
      <c r="G27" s="136" t="s">
        <v>4041</v>
      </c>
      <c r="H27" s="136" t="s">
        <v>4186</v>
      </c>
      <c r="I27" s="136" t="s">
        <v>4043</v>
      </c>
      <c r="J27" s="136" t="s">
        <v>4187</v>
      </c>
      <c r="K27" s="136">
        <v>73.0</v>
      </c>
      <c r="L27" s="136">
        <v>71.0</v>
      </c>
      <c r="M27" s="136">
        <v>19.13333</v>
      </c>
      <c r="N27" s="136">
        <v>0.0</v>
      </c>
      <c r="O27" s="137">
        <v>19.13333</v>
      </c>
      <c r="P27" s="136">
        <v>100.0</v>
      </c>
      <c r="Q27" s="136">
        <v>19.13333</v>
      </c>
      <c r="R27" s="136" t="s">
        <v>4045</v>
      </c>
      <c r="S27" s="136">
        <v>20.0</v>
      </c>
      <c r="T27" s="136">
        <v>2.0</v>
      </c>
      <c r="U27" s="138">
        <v>45746.55465277778</v>
      </c>
      <c r="V27" s="139"/>
      <c r="W27" s="140"/>
      <c r="X27" s="140"/>
      <c r="Y27" s="140"/>
      <c r="Z27" s="140"/>
    </row>
    <row r="28">
      <c r="A28" s="135" t="s">
        <v>4188</v>
      </c>
      <c r="B28" s="136" t="s">
        <v>4189</v>
      </c>
      <c r="C28" s="136" t="s">
        <v>4190</v>
      </c>
      <c r="D28" s="136" t="s">
        <v>4191</v>
      </c>
      <c r="E28" s="136">
        <v>2025.0</v>
      </c>
      <c r="F28" s="136" t="s">
        <v>4182</v>
      </c>
      <c r="G28" s="136" t="s">
        <v>4041</v>
      </c>
      <c r="H28" s="136" t="s">
        <v>4192</v>
      </c>
      <c r="I28" s="136" t="s">
        <v>4043</v>
      </c>
      <c r="J28" s="136" t="s">
        <v>4193</v>
      </c>
      <c r="K28" s="136">
        <v>73.0</v>
      </c>
      <c r="L28" s="136">
        <v>32.0</v>
      </c>
      <c r="M28" s="136">
        <v>9.0</v>
      </c>
      <c r="N28" s="136">
        <v>0.0</v>
      </c>
      <c r="O28" s="137">
        <v>9.0</v>
      </c>
      <c r="P28" s="136">
        <v>100.0</v>
      </c>
      <c r="Q28" s="136">
        <v>9.0</v>
      </c>
      <c r="R28" s="136" t="s">
        <v>4045</v>
      </c>
      <c r="S28" s="136">
        <v>28.125</v>
      </c>
      <c r="T28" s="136">
        <v>0.0</v>
      </c>
      <c r="U28" s="138">
        <v>45746.92700231481</v>
      </c>
      <c r="V28" s="139"/>
      <c r="W28" s="140"/>
      <c r="X28" s="140"/>
      <c r="Y28" s="140"/>
      <c r="Z28" s="140"/>
    </row>
    <row r="29">
      <c r="A29" s="135" t="s">
        <v>4194</v>
      </c>
      <c r="B29" s="136" t="s">
        <v>4195</v>
      </c>
      <c r="C29" s="136" t="s">
        <v>4196</v>
      </c>
      <c r="D29" s="136" t="s">
        <v>4197</v>
      </c>
      <c r="E29" s="136">
        <v>2025.0</v>
      </c>
      <c r="F29" s="136" t="s">
        <v>4182</v>
      </c>
      <c r="G29" s="136" t="s">
        <v>4041</v>
      </c>
      <c r="H29" s="136" t="s">
        <v>4198</v>
      </c>
      <c r="I29" s="136" t="s">
        <v>4043</v>
      </c>
      <c r="J29" s="136" t="s">
        <v>4199</v>
      </c>
      <c r="K29" s="136">
        <v>73.0</v>
      </c>
      <c r="L29" s="136">
        <v>73.0</v>
      </c>
      <c r="M29" s="136">
        <v>69.76667</v>
      </c>
      <c r="N29" s="136">
        <v>0.0</v>
      </c>
      <c r="O29" s="137">
        <v>69.76667</v>
      </c>
      <c r="P29" s="136">
        <v>100.0</v>
      </c>
      <c r="Q29" s="136">
        <v>69.76667</v>
      </c>
      <c r="R29" s="136" t="s">
        <v>4200</v>
      </c>
      <c r="S29" s="136">
        <v>75.64103</v>
      </c>
      <c r="T29" s="136">
        <v>3.0</v>
      </c>
      <c r="U29" s="138">
        <v>45745.740277777775</v>
      </c>
      <c r="V29" s="139"/>
      <c r="W29" s="140"/>
      <c r="X29" s="140"/>
      <c r="Y29" s="140"/>
      <c r="Z29" s="140"/>
    </row>
    <row r="30">
      <c r="A30" s="135" t="s">
        <v>4201</v>
      </c>
      <c r="B30" s="136" t="s">
        <v>4202</v>
      </c>
      <c r="C30" s="136" t="s">
        <v>4203</v>
      </c>
      <c r="D30" s="136" t="s">
        <v>4204</v>
      </c>
      <c r="E30" s="136">
        <v>2025.0</v>
      </c>
      <c r="F30" s="136" t="s">
        <v>4182</v>
      </c>
      <c r="G30" s="136" t="s">
        <v>4041</v>
      </c>
      <c r="H30" s="136" t="s">
        <v>4205</v>
      </c>
      <c r="I30" s="136" t="s">
        <v>4043</v>
      </c>
      <c r="J30" s="136" t="s">
        <v>4206</v>
      </c>
      <c r="K30" s="136">
        <v>73.0</v>
      </c>
      <c r="L30" s="136">
        <v>70.0</v>
      </c>
      <c r="M30" s="136">
        <v>35.36667</v>
      </c>
      <c r="N30" s="136">
        <v>0.0</v>
      </c>
      <c r="O30" s="137">
        <v>35.36667</v>
      </c>
      <c r="P30" s="136">
        <v>100.0</v>
      </c>
      <c r="Q30" s="136">
        <v>35.36667</v>
      </c>
      <c r="R30" s="136" t="s">
        <v>4045</v>
      </c>
      <c r="S30" s="136">
        <v>47.82609</v>
      </c>
      <c r="T30" s="136">
        <v>1.0</v>
      </c>
      <c r="U30" s="138">
        <v>45746.93840277778</v>
      </c>
      <c r="V30" s="139"/>
      <c r="W30" s="140"/>
      <c r="X30" s="140"/>
      <c r="Y30" s="140"/>
      <c r="Z30" s="140"/>
    </row>
    <row r="31">
      <c r="A31" s="135" t="s">
        <v>4207</v>
      </c>
      <c r="B31" s="136" t="s">
        <v>4208</v>
      </c>
      <c r="C31" s="136" t="s">
        <v>4209</v>
      </c>
      <c r="D31" s="136" t="s">
        <v>4210</v>
      </c>
      <c r="E31" s="136">
        <v>2025.0</v>
      </c>
      <c r="F31" s="136" t="s">
        <v>4182</v>
      </c>
      <c r="G31" s="136" t="s">
        <v>4041</v>
      </c>
      <c r="H31" s="136" t="s">
        <v>4211</v>
      </c>
      <c r="I31" s="136" t="s">
        <v>4043</v>
      </c>
      <c r="J31" s="136" t="s">
        <v>4212</v>
      </c>
      <c r="K31" s="136">
        <v>73.0</v>
      </c>
      <c r="L31" s="136">
        <v>54.0</v>
      </c>
      <c r="M31" s="136">
        <v>30.0</v>
      </c>
      <c r="N31" s="136">
        <v>0.0</v>
      </c>
      <c r="O31" s="137">
        <v>30.0</v>
      </c>
      <c r="P31" s="136">
        <v>100.0</v>
      </c>
      <c r="Q31" s="136">
        <v>30.0</v>
      </c>
      <c r="R31" s="136" t="s">
        <v>4045</v>
      </c>
      <c r="S31" s="136">
        <v>49.0566</v>
      </c>
      <c r="T31" s="136">
        <v>2.0</v>
      </c>
      <c r="U31" s="138">
        <v>45746.472592592596</v>
      </c>
      <c r="V31" s="139"/>
      <c r="W31" s="140"/>
      <c r="X31" s="140"/>
      <c r="Y31" s="140"/>
      <c r="Z31" s="140"/>
    </row>
    <row r="32">
      <c r="A32" s="135" t="s">
        <v>4213</v>
      </c>
      <c r="B32" s="136" t="s">
        <v>4214</v>
      </c>
      <c r="C32" s="136" t="s">
        <v>4215</v>
      </c>
      <c r="D32" s="136" t="s">
        <v>4216</v>
      </c>
      <c r="E32" s="136">
        <v>2025.0</v>
      </c>
      <c r="F32" s="136" t="s">
        <v>4182</v>
      </c>
      <c r="G32" s="136" t="s">
        <v>4041</v>
      </c>
      <c r="H32" s="136" t="s">
        <v>4217</v>
      </c>
      <c r="I32" s="136" t="s">
        <v>4043</v>
      </c>
      <c r="J32" s="136" t="s">
        <v>4218</v>
      </c>
      <c r="K32" s="136">
        <v>73.0</v>
      </c>
      <c r="L32" s="136">
        <v>71.0</v>
      </c>
      <c r="M32" s="136">
        <v>48.43333</v>
      </c>
      <c r="N32" s="136">
        <v>0.0</v>
      </c>
      <c r="O32" s="137">
        <v>48.43333</v>
      </c>
      <c r="P32" s="136">
        <v>100.0</v>
      </c>
      <c r="Q32" s="136">
        <v>48.43333</v>
      </c>
      <c r="R32" s="136" t="s">
        <v>4045</v>
      </c>
      <c r="S32" s="136">
        <v>60.0</v>
      </c>
      <c r="T32" s="136">
        <v>2.0</v>
      </c>
      <c r="U32" s="138">
        <v>45746.93761574074</v>
      </c>
      <c r="V32" s="139"/>
      <c r="W32" s="140"/>
      <c r="X32" s="140"/>
      <c r="Y32" s="140"/>
      <c r="Z32" s="140"/>
    </row>
    <row r="33">
      <c r="A33" s="135" t="s">
        <v>4219</v>
      </c>
      <c r="B33" s="136" t="s">
        <v>4220</v>
      </c>
      <c r="C33" s="136" t="s">
        <v>4221</v>
      </c>
      <c r="D33" s="136" t="s">
        <v>4222</v>
      </c>
      <c r="E33" s="136">
        <v>2025.0</v>
      </c>
      <c r="F33" s="136" t="s">
        <v>4182</v>
      </c>
      <c r="G33" s="136" t="s">
        <v>4041</v>
      </c>
      <c r="H33" s="136" t="s">
        <v>4223</v>
      </c>
      <c r="I33" s="136" t="s">
        <v>4043</v>
      </c>
      <c r="J33" s="136" t="s">
        <v>4224</v>
      </c>
      <c r="K33" s="136">
        <v>73.0</v>
      </c>
      <c r="L33" s="136">
        <v>71.0</v>
      </c>
      <c r="M33" s="136">
        <v>37.0</v>
      </c>
      <c r="N33" s="136">
        <v>0.0</v>
      </c>
      <c r="O33" s="137">
        <v>37.0</v>
      </c>
      <c r="P33" s="136">
        <v>100.0</v>
      </c>
      <c r="Q33" s="136">
        <v>37.0</v>
      </c>
      <c r="R33" s="136" t="s">
        <v>4045</v>
      </c>
      <c r="S33" s="136">
        <v>48.57143</v>
      </c>
      <c r="T33" s="136">
        <v>2.0</v>
      </c>
      <c r="U33" s="138">
        <v>45746.925844907404</v>
      </c>
      <c r="V33" s="139"/>
      <c r="W33" s="140"/>
      <c r="X33" s="140"/>
      <c r="Y33" s="140"/>
      <c r="Z33" s="140"/>
    </row>
    <row r="34">
      <c r="A34" s="135" t="s">
        <v>4225</v>
      </c>
      <c r="B34" s="136" t="s">
        <v>4226</v>
      </c>
      <c r="C34" s="136" t="s">
        <v>4227</v>
      </c>
      <c r="D34" s="136" t="s">
        <v>4228</v>
      </c>
      <c r="E34" s="136">
        <v>2025.0</v>
      </c>
      <c r="F34" s="136" t="s">
        <v>4182</v>
      </c>
      <c r="G34" s="136" t="s">
        <v>4041</v>
      </c>
      <c r="H34" s="136" t="s">
        <v>4229</v>
      </c>
      <c r="I34" s="136" t="s">
        <v>4043</v>
      </c>
      <c r="J34" s="136" t="s">
        <v>4230</v>
      </c>
      <c r="K34" s="136">
        <v>73.0</v>
      </c>
      <c r="L34" s="136">
        <v>70.0</v>
      </c>
      <c r="M34" s="136">
        <v>28.86667</v>
      </c>
      <c r="N34" s="136">
        <v>0.0</v>
      </c>
      <c r="O34" s="137">
        <v>28.86667</v>
      </c>
      <c r="P34" s="136">
        <v>100.0</v>
      </c>
      <c r="Q34" s="136">
        <v>28.86667</v>
      </c>
      <c r="R34" s="136" t="s">
        <v>4045</v>
      </c>
      <c r="S34" s="136">
        <v>34.78261</v>
      </c>
      <c r="T34" s="136">
        <v>1.0</v>
      </c>
      <c r="U34" s="138">
        <v>45746.957766203705</v>
      </c>
      <c r="V34" s="139"/>
      <c r="W34" s="140"/>
      <c r="X34" s="140"/>
      <c r="Y34" s="140"/>
      <c r="Z34" s="140"/>
    </row>
    <row r="35">
      <c r="A35" s="135" t="s">
        <v>4231</v>
      </c>
      <c r="B35" s="136" t="s">
        <v>4232</v>
      </c>
      <c r="C35" s="136" t="s">
        <v>4233</v>
      </c>
      <c r="D35" s="136" t="s">
        <v>4234</v>
      </c>
      <c r="E35" s="136">
        <v>2025.0</v>
      </c>
      <c r="F35" s="136" t="s">
        <v>4182</v>
      </c>
      <c r="G35" s="136" t="s">
        <v>4041</v>
      </c>
      <c r="H35" s="136" t="s">
        <v>4235</v>
      </c>
      <c r="I35" s="136" t="s">
        <v>4043</v>
      </c>
      <c r="J35" s="136" t="s">
        <v>4236</v>
      </c>
      <c r="K35" s="136">
        <v>73.0</v>
      </c>
      <c r="L35" s="136">
        <v>69.0</v>
      </c>
      <c r="M35" s="136">
        <v>18.4</v>
      </c>
      <c r="N35" s="136">
        <v>0.0</v>
      </c>
      <c r="O35" s="137">
        <v>18.4</v>
      </c>
      <c r="P35" s="136">
        <v>100.0</v>
      </c>
      <c r="Q35" s="136">
        <v>18.4</v>
      </c>
      <c r="R35" s="136" t="s">
        <v>4045</v>
      </c>
      <c r="S35" s="136">
        <v>19.11765</v>
      </c>
      <c r="T35" s="136">
        <v>4.0</v>
      </c>
      <c r="U35" s="138">
        <v>45747.97219907407</v>
      </c>
      <c r="V35" s="139"/>
      <c r="W35" s="140"/>
      <c r="X35" s="140"/>
      <c r="Y35" s="140"/>
      <c r="Z35" s="140"/>
    </row>
    <row r="36">
      <c r="A36" s="135" t="s">
        <v>4237</v>
      </c>
      <c r="B36" s="136" t="s">
        <v>4238</v>
      </c>
      <c r="C36" s="136" t="s">
        <v>4239</v>
      </c>
      <c r="D36" s="136" t="s">
        <v>4240</v>
      </c>
      <c r="E36" s="136">
        <v>2025.0</v>
      </c>
      <c r="F36" s="136" t="s">
        <v>4182</v>
      </c>
      <c r="G36" s="136" t="s">
        <v>4041</v>
      </c>
      <c r="H36" s="136" t="s">
        <v>4241</v>
      </c>
      <c r="I36" s="136" t="s">
        <v>4043</v>
      </c>
      <c r="J36" s="136" t="s">
        <v>4242</v>
      </c>
      <c r="K36" s="136">
        <v>73.0</v>
      </c>
      <c r="L36" s="136">
        <v>69.0</v>
      </c>
      <c r="M36" s="136">
        <v>47.96667</v>
      </c>
      <c r="N36" s="136">
        <v>0.0</v>
      </c>
      <c r="O36" s="137">
        <v>47.96667</v>
      </c>
      <c r="P36" s="136">
        <v>100.0</v>
      </c>
      <c r="Q36" s="136">
        <v>47.96667</v>
      </c>
      <c r="R36" s="136" t="s">
        <v>4045</v>
      </c>
      <c r="S36" s="136">
        <v>61.76471</v>
      </c>
      <c r="T36" s="136">
        <v>2.0</v>
      </c>
      <c r="U36" s="138">
        <v>45746.98378472222</v>
      </c>
      <c r="V36" s="139"/>
      <c r="W36" s="140"/>
      <c r="X36" s="140"/>
      <c r="Y36" s="140"/>
      <c r="Z36" s="140"/>
    </row>
    <row r="37">
      <c r="A37" s="135" t="s">
        <v>4243</v>
      </c>
      <c r="B37" s="136" t="s">
        <v>4244</v>
      </c>
      <c r="C37" s="136" t="s">
        <v>3960</v>
      </c>
      <c r="D37" s="136" t="s">
        <v>3954</v>
      </c>
      <c r="E37" s="136">
        <v>2025.0</v>
      </c>
      <c r="F37" s="136" t="s">
        <v>4182</v>
      </c>
      <c r="G37" s="136" t="s">
        <v>4041</v>
      </c>
      <c r="H37" s="136" t="s">
        <v>4245</v>
      </c>
      <c r="I37" s="136" t="s">
        <v>4043</v>
      </c>
      <c r="J37" s="136" t="s">
        <v>4246</v>
      </c>
      <c r="K37" s="136">
        <v>73.0</v>
      </c>
      <c r="L37" s="136">
        <v>25.0</v>
      </c>
      <c r="M37" s="136">
        <v>12.83333</v>
      </c>
      <c r="N37" s="136">
        <v>0.0</v>
      </c>
      <c r="O37" s="137">
        <v>12.83333</v>
      </c>
      <c r="P37" s="136">
        <v>100.0</v>
      </c>
      <c r="Q37" s="136">
        <v>12.83333</v>
      </c>
      <c r="R37" s="136" t="s">
        <v>4045</v>
      </c>
      <c r="S37" s="136">
        <v>29.16667</v>
      </c>
      <c r="T37" s="136">
        <v>1.0</v>
      </c>
      <c r="U37" s="138">
        <v>45746.976064814815</v>
      </c>
      <c r="V37" s="139"/>
      <c r="W37" s="140"/>
      <c r="X37" s="140"/>
      <c r="Y37" s="140"/>
      <c r="Z37" s="140"/>
    </row>
    <row r="38">
      <c r="A38" s="135" t="s">
        <v>4247</v>
      </c>
      <c r="B38" s="136" t="s">
        <v>4248</v>
      </c>
      <c r="C38" s="136" t="s">
        <v>4249</v>
      </c>
      <c r="D38" s="136" t="s">
        <v>4250</v>
      </c>
      <c r="E38" s="136">
        <v>2025.0</v>
      </c>
      <c r="F38" s="136" t="s">
        <v>4251</v>
      </c>
      <c r="G38" s="136" t="s">
        <v>4041</v>
      </c>
      <c r="H38" s="136" t="s">
        <v>4252</v>
      </c>
      <c r="I38" s="136" t="s">
        <v>4043</v>
      </c>
      <c r="J38" s="136" t="s">
        <v>4253</v>
      </c>
      <c r="K38" s="136">
        <v>73.0</v>
      </c>
      <c r="L38" s="136">
        <v>41.0</v>
      </c>
      <c r="M38" s="136">
        <v>8.0</v>
      </c>
      <c r="N38" s="136">
        <v>0.0</v>
      </c>
      <c r="O38" s="137">
        <v>8.0</v>
      </c>
      <c r="P38" s="136">
        <v>100.0</v>
      </c>
      <c r="Q38" s="136">
        <v>8.0</v>
      </c>
      <c r="R38" s="136" t="s">
        <v>4045</v>
      </c>
      <c r="S38" s="136">
        <v>19.5122</v>
      </c>
      <c r="T38" s="136">
        <v>5.0</v>
      </c>
      <c r="U38" s="138">
        <v>45746.916712962964</v>
      </c>
      <c r="V38" s="139"/>
      <c r="W38" s="140"/>
      <c r="X38" s="140"/>
      <c r="Y38" s="140"/>
      <c r="Z38" s="140"/>
    </row>
    <row r="39">
      <c r="A39" s="135" t="s">
        <v>4254</v>
      </c>
      <c r="B39" s="136" t="s">
        <v>4255</v>
      </c>
      <c r="C39" s="136" t="s">
        <v>4256</v>
      </c>
      <c r="D39" s="136" t="s">
        <v>4257</v>
      </c>
      <c r="E39" s="136">
        <v>2025.0</v>
      </c>
      <c r="F39" s="136" t="s">
        <v>4251</v>
      </c>
      <c r="G39" s="136" t="s">
        <v>4041</v>
      </c>
      <c r="H39" s="136" t="s">
        <v>4258</v>
      </c>
      <c r="I39" s="136" t="s">
        <v>4152</v>
      </c>
      <c r="J39" s="136" t="s">
        <v>4153</v>
      </c>
      <c r="K39" s="136" t="s">
        <v>1003</v>
      </c>
      <c r="L39" s="136" t="s">
        <v>1003</v>
      </c>
      <c r="M39" s="136" t="s">
        <v>1003</v>
      </c>
      <c r="N39" s="136" t="s">
        <v>1003</v>
      </c>
      <c r="O39" s="137" t="s">
        <v>1003</v>
      </c>
      <c r="P39" s="136" t="s">
        <v>1003</v>
      </c>
      <c r="Q39" s="136" t="s">
        <v>1003</v>
      </c>
      <c r="R39" s="136" t="s">
        <v>1003</v>
      </c>
      <c r="S39" s="136" t="s">
        <v>1003</v>
      </c>
      <c r="T39" s="136">
        <v>0.0</v>
      </c>
      <c r="U39" s="136" t="s">
        <v>1003</v>
      </c>
      <c r="V39" s="139"/>
      <c r="W39" s="140"/>
      <c r="X39" s="140"/>
      <c r="Y39" s="140"/>
      <c r="Z39" s="140"/>
    </row>
    <row r="40">
      <c r="A40" s="135" t="s">
        <v>4259</v>
      </c>
      <c r="B40" s="136" t="s">
        <v>4260</v>
      </c>
      <c r="C40" s="136" t="s">
        <v>4261</v>
      </c>
      <c r="D40" s="136" t="s">
        <v>4262</v>
      </c>
      <c r="E40" s="136">
        <v>2025.0</v>
      </c>
      <c r="F40" s="136" t="s">
        <v>4251</v>
      </c>
      <c r="G40" s="136" t="s">
        <v>4041</v>
      </c>
      <c r="H40" s="136" t="s">
        <v>4263</v>
      </c>
      <c r="I40" s="136" t="s">
        <v>4043</v>
      </c>
      <c r="J40" s="136" t="s">
        <v>4264</v>
      </c>
      <c r="K40" s="136">
        <v>73.0</v>
      </c>
      <c r="L40" s="136">
        <v>71.0</v>
      </c>
      <c r="M40" s="136">
        <v>48.9</v>
      </c>
      <c r="N40" s="136">
        <v>0.0</v>
      </c>
      <c r="O40" s="137">
        <v>48.9</v>
      </c>
      <c r="P40" s="136">
        <v>100.0</v>
      </c>
      <c r="Q40" s="136">
        <v>48.9</v>
      </c>
      <c r="R40" s="136" t="s">
        <v>4045</v>
      </c>
      <c r="S40" s="136">
        <v>65.71429</v>
      </c>
      <c r="T40" s="136">
        <v>6.0</v>
      </c>
      <c r="U40" s="138">
        <v>45747.45961805555</v>
      </c>
      <c r="V40" s="139"/>
      <c r="W40" s="140"/>
      <c r="X40" s="140"/>
      <c r="Y40" s="140"/>
      <c r="Z40" s="140"/>
    </row>
    <row r="41">
      <c r="A41" s="135" t="s">
        <v>4265</v>
      </c>
      <c r="B41" s="136" t="s">
        <v>4266</v>
      </c>
      <c r="C41" s="136" t="s">
        <v>4267</v>
      </c>
      <c r="D41" s="136" t="s">
        <v>4268</v>
      </c>
      <c r="E41" s="136">
        <v>2025.0</v>
      </c>
      <c r="F41" s="136" t="s">
        <v>4251</v>
      </c>
      <c r="G41" s="136" t="s">
        <v>4041</v>
      </c>
      <c r="H41" s="136" t="s">
        <v>4269</v>
      </c>
      <c r="I41" s="136" t="s">
        <v>4043</v>
      </c>
      <c r="J41" s="136" t="s">
        <v>4270</v>
      </c>
      <c r="K41" s="136">
        <v>73.0</v>
      </c>
      <c r="L41" s="136">
        <v>71.0</v>
      </c>
      <c r="M41" s="136">
        <v>51.66667</v>
      </c>
      <c r="N41" s="136">
        <v>0.0</v>
      </c>
      <c r="O41" s="137">
        <v>51.66667</v>
      </c>
      <c r="P41" s="136">
        <v>100.0</v>
      </c>
      <c r="Q41" s="136">
        <v>51.66667</v>
      </c>
      <c r="R41" s="136" t="s">
        <v>4045</v>
      </c>
      <c r="S41" s="136">
        <v>70.0</v>
      </c>
      <c r="T41" s="136">
        <v>1.0</v>
      </c>
      <c r="U41" s="138">
        <v>45747.72130787037</v>
      </c>
      <c r="V41" s="139"/>
      <c r="W41" s="140"/>
      <c r="X41" s="140"/>
      <c r="Y41" s="140"/>
      <c r="Z41" s="140"/>
    </row>
    <row r="42">
      <c r="A42" s="135" t="s">
        <v>4271</v>
      </c>
      <c r="B42" s="136" t="s">
        <v>4272</v>
      </c>
      <c r="C42" s="136" t="s">
        <v>4273</v>
      </c>
      <c r="D42" s="136" t="s">
        <v>4274</v>
      </c>
      <c r="E42" s="136">
        <v>2025.0</v>
      </c>
      <c r="F42" s="136" t="s">
        <v>4251</v>
      </c>
      <c r="G42" s="136" t="s">
        <v>4041</v>
      </c>
      <c r="H42" s="136" t="s">
        <v>4275</v>
      </c>
      <c r="I42" s="136" t="s">
        <v>4043</v>
      </c>
      <c r="J42" s="136" t="s">
        <v>4276</v>
      </c>
      <c r="K42" s="136">
        <v>73.0</v>
      </c>
      <c r="L42" s="136">
        <v>68.0</v>
      </c>
      <c r="M42" s="136">
        <v>16.0</v>
      </c>
      <c r="N42" s="136">
        <v>0.0</v>
      </c>
      <c r="O42" s="137">
        <v>16.0</v>
      </c>
      <c r="P42" s="136">
        <v>100.0</v>
      </c>
      <c r="Q42" s="136">
        <v>16.0</v>
      </c>
      <c r="R42" s="136" t="s">
        <v>4045</v>
      </c>
      <c r="S42" s="136">
        <v>23.52941</v>
      </c>
      <c r="T42" s="136">
        <v>0.0</v>
      </c>
      <c r="U42" s="138">
        <v>45747.9246412037</v>
      </c>
      <c r="V42" s="139"/>
      <c r="W42" s="140"/>
      <c r="X42" s="140"/>
      <c r="Y42" s="140"/>
      <c r="Z42" s="140"/>
    </row>
    <row r="43">
      <c r="A43" s="135" t="s">
        <v>4277</v>
      </c>
      <c r="B43" s="136" t="s">
        <v>4278</v>
      </c>
      <c r="C43" s="136" t="s">
        <v>1968</v>
      </c>
      <c r="D43" s="136" t="s">
        <v>4279</v>
      </c>
      <c r="E43" s="136">
        <v>2025.0</v>
      </c>
      <c r="F43" s="136" t="s">
        <v>3655</v>
      </c>
      <c r="G43" s="136" t="s">
        <v>4041</v>
      </c>
      <c r="H43" s="136" t="s">
        <v>4280</v>
      </c>
      <c r="I43" s="136" t="s">
        <v>4043</v>
      </c>
      <c r="J43" s="136" t="s">
        <v>4281</v>
      </c>
      <c r="K43" s="136">
        <v>73.0</v>
      </c>
      <c r="L43" s="136">
        <v>71.0</v>
      </c>
      <c r="M43" s="136">
        <v>47.56667</v>
      </c>
      <c r="N43" s="136">
        <v>0.0</v>
      </c>
      <c r="O43" s="137">
        <v>47.56667</v>
      </c>
      <c r="P43" s="136">
        <v>100.0</v>
      </c>
      <c r="Q43" s="136">
        <v>47.56667</v>
      </c>
      <c r="R43" s="136" t="s">
        <v>4045</v>
      </c>
      <c r="S43" s="136">
        <v>49.31507</v>
      </c>
      <c r="T43" s="136">
        <v>3.0</v>
      </c>
      <c r="U43" s="138">
        <v>45747.4537037037</v>
      </c>
      <c r="V43" s="139"/>
      <c r="W43" s="140"/>
      <c r="X43" s="140"/>
      <c r="Y43" s="140"/>
      <c r="Z43" s="140"/>
    </row>
    <row r="44">
      <c r="A44" s="135" t="s">
        <v>4282</v>
      </c>
      <c r="B44" s="136" t="s">
        <v>4283</v>
      </c>
      <c r="C44" s="136" t="s">
        <v>4284</v>
      </c>
      <c r="D44" s="136" t="s">
        <v>4285</v>
      </c>
      <c r="E44" s="136">
        <v>2025.0</v>
      </c>
      <c r="F44" s="136" t="s">
        <v>3655</v>
      </c>
      <c r="G44" s="136" t="s">
        <v>4041</v>
      </c>
      <c r="H44" s="136" t="s">
        <v>4286</v>
      </c>
      <c r="I44" s="136" t="s">
        <v>4043</v>
      </c>
      <c r="J44" s="136" t="s">
        <v>4287</v>
      </c>
      <c r="K44" s="136">
        <v>73.0</v>
      </c>
      <c r="L44" s="136">
        <v>71.0</v>
      </c>
      <c r="M44" s="136">
        <v>51.83333</v>
      </c>
      <c r="N44" s="136">
        <v>0.0</v>
      </c>
      <c r="O44" s="137">
        <v>51.83333</v>
      </c>
      <c r="P44" s="136">
        <v>100.0</v>
      </c>
      <c r="Q44" s="136">
        <v>51.83333</v>
      </c>
      <c r="R44" s="136" t="s">
        <v>4045</v>
      </c>
      <c r="S44" s="136">
        <v>67.14286</v>
      </c>
      <c r="T44" s="136">
        <v>1.0</v>
      </c>
      <c r="U44" s="138">
        <v>45747.679560185185</v>
      </c>
      <c r="V44" s="139"/>
      <c r="W44" s="140"/>
      <c r="X44" s="140"/>
      <c r="Y44" s="140"/>
      <c r="Z44" s="140"/>
    </row>
    <row r="45">
      <c r="A45" s="135" t="s">
        <v>4288</v>
      </c>
      <c r="B45" s="136" t="s">
        <v>3653</v>
      </c>
      <c r="C45" s="136" t="s">
        <v>4289</v>
      </c>
      <c r="D45" s="136" t="s">
        <v>3651</v>
      </c>
      <c r="E45" s="136">
        <v>2025.0</v>
      </c>
      <c r="F45" s="136" t="s">
        <v>3655</v>
      </c>
      <c r="G45" s="136" t="s">
        <v>4041</v>
      </c>
      <c r="H45" s="136" t="s">
        <v>4290</v>
      </c>
      <c r="I45" s="136" t="s">
        <v>4043</v>
      </c>
      <c r="J45" s="136" t="s">
        <v>4291</v>
      </c>
      <c r="K45" s="136">
        <v>73.0</v>
      </c>
      <c r="L45" s="136">
        <v>44.0</v>
      </c>
      <c r="M45" s="136">
        <v>37.13333</v>
      </c>
      <c r="N45" s="136">
        <v>0.0</v>
      </c>
      <c r="O45" s="137">
        <v>37.13333</v>
      </c>
      <c r="P45" s="136">
        <v>100.0</v>
      </c>
      <c r="Q45" s="136">
        <v>37.13333</v>
      </c>
      <c r="R45" s="136" t="s">
        <v>4045</v>
      </c>
      <c r="S45" s="136">
        <v>67.3913</v>
      </c>
      <c r="T45" s="136">
        <v>1.0</v>
      </c>
      <c r="U45" s="138">
        <v>45746.58980324074</v>
      </c>
      <c r="V45" s="139"/>
      <c r="W45" s="140"/>
      <c r="X45" s="140"/>
      <c r="Y45" s="140"/>
      <c r="Z45" s="140"/>
    </row>
    <row r="46">
      <c r="A46" s="135" t="s">
        <v>4292</v>
      </c>
      <c r="B46" s="136" t="s">
        <v>4293</v>
      </c>
      <c r="C46" s="136" t="s">
        <v>4294</v>
      </c>
      <c r="D46" s="136" t="s">
        <v>4295</v>
      </c>
      <c r="E46" s="136">
        <v>2025.0</v>
      </c>
      <c r="F46" s="136" t="s">
        <v>3655</v>
      </c>
      <c r="G46" s="136" t="s">
        <v>4041</v>
      </c>
      <c r="H46" s="136" t="s">
        <v>4296</v>
      </c>
      <c r="I46" s="136" t="s">
        <v>4043</v>
      </c>
      <c r="J46" s="136" t="s">
        <v>4297</v>
      </c>
      <c r="K46" s="136">
        <v>73.0</v>
      </c>
      <c r="L46" s="136">
        <v>71.0</v>
      </c>
      <c r="M46" s="136">
        <v>56.83333</v>
      </c>
      <c r="N46" s="136">
        <v>0.0</v>
      </c>
      <c r="O46" s="137">
        <v>56.83333</v>
      </c>
      <c r="P46" s="136">
        <v>100.0</v>
      </c>
      <c r="Q46" s="136">
        <v>56.83333</v>
      </c>
      <c r="R46" s="136" t="s">
        <v>4045</v>
      </c>
      <c r="S46" s="136">
        <v>72.85714</v>
      </c>
      <c r="T46" s="136">
        <v>1.0</v>
      </c>
      <c r="U46" s="138">
        <v>45747.55700231482</v>
      </c>
      <c r="V46" s="139"/>
      <c r="W46" s="140"/>
      <c r="X46" s="140"/>
      <c r="Y46" s="140"/>
      <c r="Z46" s="140"/>
    </row>
    <row r="47">
      <c r="A47" s="135" t="s">
        <v>4298</v>
      </c>
      <c r="B47" s="136" t="s">
        <v>4299</v>
      </c>
      <c r="C47" s="136" t="s">
        <v>4300</v>
      </c>
      <c r="D47" s="136" t="s">
        <v>4301</v>
      </c>
      <c r="E47" s="136">
        <v>2025.0</v>
      </c>
      <c r="F47" s="136" t="s">
        <v>3655</v>
      </c>
      <c r="G47" s="136" t="s">
        <v>4041</v>
      </c>
      <c r="H47" s="136" t="s">
        <v>4302</v>
      </c>
      <c r="I47" s="136" t="s">
        <v>4043</v>
      </c>
      <c r="J47" s="136" t="s">
        <v>4303</v>
      </c>
      <c r="K47" s="136">
        <v>73.0</v>
      </c>
      <c r="L47" s="136">
        <v>54.0</v>
      </c>
      <c r="M47" s="136">
        <v>31.0</v>
      </c>
      <c r="N47" s="136">
        <v>0.0</v>
      </c>
      <c r="O47" s="137">
        <v>31.0</v>
      </c>
      <c r="P47" s="136">
        <v>100.0</v>
      </c>
      <c r="Q47" s="136">
        <v>31.0</v>
      </c>
      <c r="R47" s="136" t="s">
        <v>4045</v>
      </c>
      <c r="S47" s="136">
        <v>57.40741</v>
      </c>
      <c r="T47" s="136">
        <v>1.0</v>
      </c>
      <c r="U47" s="138">
        <v>45745.82171296296</v>
      </c>
      <c r="V47" s="139"/>
      <c r="W47" s="140"/>
      <c r="X47" s="140"/>
      <c r="Y47" s="140"/>
      <c r="Z47" s="140"/>
    </row>
    <row r="48">
      <c r="A48" s="135" t="s">
        <v>4304</v>
      </c>
      <c r="B48" s="136" t="s">
        <v>4305</v>
      </c>
      <c r="C48" s="136" t="s">
        <v>4306</v>
      </c>
      <c r="D48" s="136" t="s">
        <v>4307</v>
      </c>
      <c r="E48" s="136">
        <v>2025.0</v>
      </c>
      <c r="F48" s="136" t="s">
        <v>3655</v>
      </c>
      <c r="G48" s="136" t="s">
        <v>4041</v>
      </c>
      <c r="H48" s="136" t="s">
        <v>4308</v>
      </c>
      <c r="I48" s="136" t="s">
        <v>4043</v>
      </c>
      <c r="J48" s="136" t="s">
        <v>4309</v>
      </c>
      <c r="K48" s="136">
        <v>73.0</v>
      </c>
      <c r="L48" s="136">
        <v>71.0</v>
      </c>
      <c r="M48" s="136">
        <v>39.33333</v>
      </c>
      <c r="N48" s="136">
        <v>0.0</v>
      </c>
      <c r="O48" s="137">
        <v>39.33333</v>
      </c>
      <c r="P48" s="136">
        <v>100.0</v>
      </c>
      <c r="Q48" s="136">
        <v>39.33333</v>
      </c>
      <c r="R48" s="136" t="s">
        <v>4045</v>
      </c>
      <c r="S48" s="136">
        <v>51.42857</v>
      </c>
      <c r="T48" s="136">
        <v>2.0</v>
      </c>
      <c r="U48" s="138">
        <v>45747.74040509259</v>
      </c>
      <c r="V48" s="139"/>
      <c r="W48" s="140"/>
      <c r="X48" s="140"/>
      <c r="Y48" s="140"/>
      <c r="Z48" s="140"/>
    </row>
    <row r="49">
      <c r="A49" s="135" t="s">
        <v>4310</v>
      </c>
      <c r="B49" s="136" t="s">
        <v>4311</v>
      </c>
      <c r="C49" s="136" t="s">
        <v>4312</v>
      </c>
      <c r="D49" s="136" t="s">
        <v>4313</v>
      </c>
      <c r="E49" s="136">
        <v>2025.0</v>
      </c>
      <c r="F49" s="136" t="s">
        <v>3655</v>
      </c>
      <c r="G49" s="136" t="s">
        <v>4041</v>
      </c>
      <c r="H49" s="136" t="s">
        <v>4314</v>
      </c>
      <c r="I49" s="136" t="s">
        <v>4043</v>
      </c>
      <c r="J49" s="136" t="s">
        <v>4315</v>
      </c>
      <c r="K49" s="136">
        <v>73.0</v>
      </c>
      <c r="L49" s="136">
        <v>70.0</v>
      </c>
      <c r="M49" s="136">
        <v>15.0</v>
      </c>
      <c r="N49" s="136">
        <v>0.0</v>
      </c>
      <c r="O49" s="137">
        <v>15.0</v>
      </c>
      <c r="P49" s="136">
        <v>100.0</v>
      </c>
      <c r="Q49" s="136">
        <v>15.0</v>
      </c>
      <c r="R49" s="136" t="s">
        <v>4045</v>
      </c>
      <c r="S49" s="136">
        <v>21.42857</v>
      </c>
      <c r="T49" s="136">
        <v>1.0</v>
      </c>
      <c r="U49" s="138">
        <v>45746.20800925926</v>
      </c>
      <c r="V49" s="139"/>
      <c r="W49" s="140"/>
      <c r="X49" s="140"/>
      <c r="Y49" s="140"/>
      <c r="Z49" s="140"/>
    </row>
    <row r="50">
      <c r="A50" s="135" t="s">
        <v>4316</v>
      </c>
      <c r="B50" s="136" t="s">
        <v>4317</v>
      </c>
      <c r="C50" s="136" t="s">
        <v>4318</v>
      </c>
      <c r="D50" s="136" t="s">
        <v>4319</v>
      </c>
      <c r="E50" s="136">
        <v>2025.0</v>
      </c>
      <c r="F50" s="136" t="s">
        <v>3655</v>
      </c>
      <c r="G50" s="136" t="s">
        <v>4041</v>
      </c>
      <c r="H50" s="136" t="s">
        <v>4320</v>
      </c>
      <c r="I50" s="136" t="s">
        <v>4043</v>
      </c>
      <c r="J50" s="136" t="s">
        <v>4321</v>
      </c>
      <c r="K50" s="136">
        <v>73.0</v>
      </c>
      <c r="L50" s="136">
        <v>71.0</v>
      </c>
      <c r="M50" s="136">
        <v>40.13333</v>
      </c>
      <c r="N50" s="136">
        <v>0.0</v>
      </c>
      <c r="O50" s="137">
        <v>40.13333</v>
      </c>
      <c r="P50" s="136">
        <v>100.0</v>
      </c>
      <c r="Q50" s="136">
        <v>40.13333</v>
      </c>
      <c r="R50" s="136" t="s">
        <v>4045</v>
      </c>
      <c r="S50" s="136">
        <v>55.71429</v>
      </c>
      <c r="T50" s="136">
        <v>1.0</v>
      </c>
      <c r="U50" s="138">
        <v>45746.47510416667</v>
      </c>
      <c r="V50" s="139"/>
      <c r="W50" s="140"/>
      <c r="X50" s="140"/>
      <c r="Y50" s="140"/>
      <c r="Z50" s="140"/>
    </row>
    <row r="51">
      <c r="A51" s="135" t="s">
        <v>4322</v>
      </c>
      <c r="B51" s="136" t="s">
        <v>4323</v>
      </c>
      <c r="C51" s="136" t="s">
        <v>4324</v>
      </c>
      <c r="D51" s="136" t="s">
        <v>4325</v>
      </c>
      <c r="E51" s="136">
        <v>2025.0</v>
      </c>
      <c r="F51" s="136" t="s">
        <v>3655</v>
      </c>
      <c r="G51" s="136" t="s">
        <v>4041</v>
      </c>
      <c r="H51" s="136" t="s">
        <v>4326</v>
      </c>
      <c r="I51" s="136" t="s">
        <v>4043</v>
      </c>
      <c r="J51" s="136" t="s">
        <v>4327</v>
      </c>
      <c r="K51" s="136">
        <v>73.0</v>
      </c>
      <c r="L51" s="136">
        <v>67.0</v>
      </c>
      <c r="M51" s="136">
        <v>45.43333</v>
      </c>
      <c r="N51" s="136">
        <v>0.0</v>
      </c>
      <c r="O51" s="137">
        <v>45.43333</v>
      </c>
      <c r="P51" s="136">
        <v>100.0</v>
      </c>
      <c r="Q51" s="136">
        <v>45.43333</v>
      </c>
      <c r="R51" s="136" t="s">
        <v>4045</v>
      </c>
      <c r="S51" s="136">
        <v>62.12121</v>
      </c>
      <c r="T51" s="136">
        <v>3.0</v>
      </c>
      <c r="U51" s="138">
        <v>45745.96162037037</v>
      </c>
      <c r="V51" s="139"/>
      <c r="W51" s="140"/>
      <c r="X51" s="140"/>
      <c r="Y51" s="140"/>
      <c r="Z51" s="140"/>
    </row>
    <row r="52">
      <c r="A52" s="135" t="s">
        <v>4328</v>
      </c>
      <c r="B52" s="136" t="s">
        <v>4329</v>
      </c>
      <c r="C52" s="136" t="s">
        <v>4330</v>
      </c>
      <c r="D52" s="136" t="s">
        <v>4331</v>
      </c>
      <c r="E52" s="136">
        <v>2025.0</v>
      </c>
      <c r="F52" s="136" t="s">
        <v>3655</v>
      </c>
      <c r="G52" s="136" t="s">
        <v>4041</v>
      </c>
      <c r="H52" s="136" t="s">
        <v>4332</v>
      </c>
      <c r="I52" s="136" t="s">
        <v>4043</v>
      </c>
      <c r="J52" s="136" t="s">
        <v>4333</v>
      </c>
      <c r="K52" s="136">
        <v>73.0</v>
      </c>
      <c r="L52" s="136">
        <v>46.0</v>
      </c>
      <c r="M52" s="136">
        <v>35.8</v>
      </c>
      <c r="N52" s="136">
        <v>0.0</v>
      </c>
      <c r="O52" s="137">
        <v>35.8</v>
      </c>
      <c r="P52" s="136">
        <v>100.0</v>
      </c>
      <c r="Q52" s="136">
        <v>35.8</v>
      </c>
      <c r="R52" s="136" t="s">
        <v>4045</v>
      </c>
      <c r="S52" s="136">
        <v>66.66667</v>
      </c>
      <c r="T52" s="136">
        <v>6.0</v>
      </c>
      <c r="U52" s="138">
        <v>45747.738854166666</v>
      </c>
      <c r="V52" s="139"/>
      <c r="W52" s="140"/>
      <c r="X52" s="140"/>
      <c r="Y52" s="140"/>
      <c r="Z52" s="140"/>
    </row>
    <row r="53">
      <c r="A53" s="135" t="s">
        <v>4334</v>
      </c>
      <c r="B53" s="136" t="s">
        <v>4335</v>
      </c>
      <c r="C53" s="136" t="s">
        <v>4336</v>
      </c>
      <c r="D53" s="136" t="s">
        <v>4337</v>
      </c>
      <c r="E53" s="136">
        <v>2025.0</v>
      </c>
      <c r="F53" s="136" t="s">
        <v>3655</v>
      </c>
      <c r="G53" s="136" t="s">
        <v>4041</v>
      </c>
      <c r="H53" s="136" t="s">
        <v>4338</v>
      </c>
      <c r="I53" s="136" t="s">
        <v>4043</v>
      </c>
      <c r="J53" s="136" t="s">
        <v>4339</v>
      </c>
      <c r="K53" s="136">
        <v>73.0</v>
      </c>
      <c r="L53" s="136">
        <v>42.0</v>
      </c>
      <c r="M53" s="136">
        <v>29.93333</v>
      </c>
      <c r="N53" s="136">
        <v>0.0</v>
      </c>
      <c r="O53" s="137">
        <v>29.93333</v>
      </c>
      <c r="P53" s="136">
        <v>100.0</v>
      </c>
      <c r="Q53" s="136">
        <v>29.93333</v>
      </c>
      <c r="R53" s="136" t="s">
        <v>4045</v>
      </c>
      <c r="S53" s="136">
        <v>60.97561</v>
      </c>
      <c r="T53" s="136">
        <v>6.0</v>
      </c>
      <c r="U53" s="138">
        <v>45746.914351851854</v>
      </c>
      <c r="V53" s="139"/>
      <c r="W53" s="140"/>
      <c r="X53" s="140"/>
      <c r="Y53" s="140"/>
      <c r="Z53" s="140"/>
    </row>
    <row r="54">
      <c r="A54" s="135" t="s">
        <v>4340</v>
      </c>
      <c r="B54" s="136" t="s">
        <v>4341</v>
      </c>
      <c r="C54" s="136" t="s">
        <v>4342</v>
      </c>
      <c r="D54" s="136" t="s">
        <v>4343</v>
      </c>
      <c r="E54" s="136">
        <v>2025.0</v>
      </c>
      <c r="F54" s="136" t="s">
        <v>3655</v>
      </c>
      <c r="G54" s="136" t="s">
        <v>4041</v>
      </c>
      <c r="H54" s="136" t="s">
        <v>4344</v>
      </c>
      <c r="I54" s="136" t="s">
        <v>4043</v>
      </c>
      <c r="J54" s="136" t="s">
        <v>4345</v>
      </c>
      <c r="K54" s="136">
        <v>73.0</v>
      </c>
      <c r="L54" s="136">
        <v>71.0</v>
      </c>
      <c r="M54" s="136">
        <v>32.63333</v>
      </c>
      <c r="N54" s="136">
        <v>0.0</v>
      </c>
      <c r="O54" s="137">
        <v>32.63333</v>
      </c>
      <c r="P54" s="136">
        <v>100.0</v>
      </c>
      <c r="Q54" s="136">
        <v>32.63333</v>
      </c>
      <c r="R54" s="136" t="s">
        <v>4045</v>
      </c>
      <c r="S54" s="136">
        <v>40.0</v>
      </c>
      <c r="T54" s="136">
        <v>5.0</v>
      </c>
      <c r="U54" s="138">
        <v>45746.92799768518</v>
      </c>
      <c r="V54" s="139"/>
      <c r="W54" s="140"/>
      <c r="X54" s="140"/>
      <c r="Y54" s="140"/>
      <c r="Z54" s="140"/>
    </row>
    <row r="55">
      <c r="A55" s="135" t="s">
        <v>4346</v>
      </c>
      <c r="B55" s="136" t="s">
        <v>4347</v>
      </c>
      <c r="C55" s="136" t="s">
        <v>4348</v>
      </c>
      <c r="D55" s="136" t="s">
        <v>4349</v>
      </c>
      <c r="E55" s="136">
        <v>2025.0</v>
      </c>
      <c r="F55" s="136" t="s">
        <v>3771</v>
      </c>
      <c r="G55" s="136" t="s">
        <v>4041</v>
      </c>
      <c r="H55" s="136" t="s">
        <v>4350</v>
      </c>
      <c r="I55" s="136" t="s">
        <v>4043</v>
      </c>
      <c r="J55" s="136" t="s">
        <v>4351</v>
      </c>
      <c r="K55" s="136">
        <v>73.0</v>
      </c>
      <c r="L55" s="136">
        <v>70.0</v>
      </c>
      <c r="M55" s="136">
        <v>42.0</v>
      </c>
      <c r="N55" s="136">
        <v>0.0</v>
      </c>
      <c r="O55" s="137">
        <v>42.0</v>
      </c>
      <c r="P55" s="136">
        <v>100.0</v>
      </c>
      <c r="Q55" s="136">
        <v>42.0</v>
      </c>
      <c r="R55" s="136" t="s">
        <v>4045</v>
      </c>
      <c r="S55" s="136">
        <v>60.0</v>
      </c>
      <c r="T55" s="136">
        <v>4.0</v>
      </c>
      <c r="U55" s="138">
        <v>45745.92503472222</v>
      </c>
      <c r="V55" s="139"/>
      <c r="W55" s="140"/>
      <c r="X55" s="140"/>
      <c r="Y55" s="140"/>
      <c r="Z55" s="140"/>
    </row>
    <row r="56">
      <c r="A56" s="135" t="s">
        <v>4352</v>
      </c>
      <c r="B56" s="136" t="s">
        <v>4353</v>
      </c>
      <c r="C56" s="136" t="s">
        <v>4354</v>
      </c>
      <c r="D56" s="136" t="s">
        <v>4355</v>
      </c>
      <c r="E56" s="136">
        <v>2025.0</v>
      </c>
      <c r="F56" s="136" t="s">
        <v>3771</v>
      </c>
      <c r="G56" s="136" t="s">
        <v>4041</v>
      </c>
      <c r="H56" s="136" t="s">
        <v>4356</v>
      </c>
      <c r="I56" s="136" t="s">
        <v>4043</v>
      </c>
      <c r="J56" s="136" t="s">
        <v>4357</v>
      </c>
      <c r="K56" s="136">
        <v>73.0</v>
      </c>
      <c r="L56" s="136">
        <v>71.0</v>
      </c>
      <c r="M56" s="136">
        <v>39.86667</v>
      </c>
      <c r="N56" s="136">
        <v>0.0</v>
      </c>
      <c r="O56" s="137">
        <v>39.86667</v>
      </c>
      <c r="P56" s="136">
        <v>100.0</v>
      </c>
      <c r="Q56" s="136">
        <v>39.86667</v>
      </c>
      <c r="R56" s="136" t="s">
        <v>4045</v>
      </c>
      <c r="S56" s="136">
        <v>52.85714</v>
      </c>
      <c r="T56" s="136">
        <v>1.0</v>
      </c>
      <c r="U56" s="138">
        <v>45746.98957175926</v>
      </c>
      <c r="V56" s="139"/>
      <c r="W56" s="140"/>
      <c r="X56" s="140"/>
      <c r="Y56" s="140"/>
      <c r="Z56" s="140"/>
    </row>
    <row r="57">
      <c r="A57" s="135" t="s">
        <v>4358</v>
      </c>
      <c r="B57" s="136" t="s">
        <v>3770</v>
      </c>
      <c r="C57" s="136" t="s">
        <v>3772</v>
      </c>
      <c r="D57" s="136" t="s">
        <v>3768</v>
      </c>
      <c r="E57" s="136">
        <v>2025.0</v>
      </c>
      <c r="F57" s="136" t="s">
        <v>3771</v>
      </c>
      <c r="G57" s="136" t="s">
        <v>4041</v>
      </c>
      <c r="H57" s="136" t="s">
        <v>4359</v>
      </c>
      <c r="I57" s="136" t="s">
        <v>4043</v>
      </c>
      <c r="J57" s="136" t="s">
        <v>4360</v>
      </c>
      <c r="K57" s="136">
        <v>73.0</v>
      </c>
      <c r="L57" s="136">
        <v>72.0</v>
      </c>
      <c r="M57" s="136">
        <v>55.03333</v>
      </c>
      <c r="N57" s="136">
        <v>0.0</v>
      </c>
      <c r="O57" s="137">
        <v>55.03333</v>
      </c>
      <c r="P57" s="136">
        <v>100.0</v>
      </c>
      <c r="Q57" s="136">
        <v>55.03333</v>
      </c>
      <c r="R57" s="136" t="s">
        <v>4045</v>
      </c>
      <c r="S57" s="136">
        <v>67.56757</v>
      </c>
      <c r="T57" s="136">
        <v>3.0</v>
      </c>
      <c r="U57" s="138">
        <v>45745.90290509259</v>
      </c>
      <c r="V57" s="139"/>
      <c r="W57" s="140"/>
      <c r="X57" s="140"/>
      <c r="Y57" s="140"/>
      <c r="Z57" s="140"/>
    </row>
    <row r="58">
      <c r="A58" s="135" t="s">
        <v>4361</v>
      </c>
      <c r="B58" s="136" t="s">
        <v>4362</v>
      </c>
      <c r="C58" s="136" t="s">
        <v>4363</v>
      </c>
      <c r="D58" s="136" t="s">
        <v>4364</v>
      </c>
      <c r="E58" s="136">
        <v>2025.0</v>
      </c>
      <c r="F58" s="136" t="s">
        <v>3771</v>
      </c>
      <c r="G58" s="136" t="s">
        <v>4041</v>
      </c>
      <c r="H58" s="136" t="s">
        <v>4365</v>
      </c>
      <c r="I58" s="136" t="s">
        <v>4043</v>
      </c>
      <c r="J58" s="136" t="s">
        <v>4366</v>
      </c>
      <c r="K58" s="136">
        <v>73.0</v>
      </c>
      <c r="L58" s="136">
        <v>72.0</v>
      </c>
      <c r="M58" s="136">
        <v>64.63333</v>
      </c>
      <c r="N58" s="136">
        <v>0.0</v>
      </c>
      <c r="O58" s="137">
        <v>64.63333</v>
      </c>
      <c r="P58" s="136">
        <v>100.0</v>
      </c>
      <c r="Q58" s="136">
        <v>64.63333</v>
      </c>
      <c r="R58" s="136" t="s">
        <v>4200</v>
      </c>
      <c r="S58" s="136">
        <v>70.27027</v>
      </c>
      <c r="T58" s="136">
        <v>0.0</v>
      </c>
      <c r="U58" s="138">
        <v>45745.85605324074</v>
      </c>
      <c r="V58" s="139"/>
      <c r="W58" s="140"/>
      <c r="X58" s="140"/>
      <c r="Y58" s="140"/>
      <c r="Z58" s="140"/>
    </row>
    <row r="59">
      <c r="A59" s="135" t="s">
        <v>4367</v>
      </c>
      <c r="B59" s="136" t="s">
        <v>4368</v>
      </c>
      <c r="C59" s="136" t="s">
        <v>4369</v>
      </c>
      <c r="D59" s="136" t="s">
        <v>4370</v>
      </c>
      <c r="E59" s="136">
        <v>2025.0</v>
      </c>
      <c r="F59" s="136" t="s">
        <v>3771</v>
      </c>
      <c r="G59" s="136" t="s">
        <v>4041</v>
      </c>
      <c r="H59" s="136" t="s">
        <v>4371</v>
      </c>
      <c r="I59" s="136" t="s">
        <v>4043</v>
      </c>
      <c r="J59" s="136" t="s">
        <v>4372</v>
      </c>
      <c r="K59" s="136">
        <v>73.0</v>
      </c>
      <c r="L59" s="136">
        <v>71.0</v>
      </c>
      <c r="M59" s="136">
        <v>58.6</v>
      </c>
      <c r="N59" s="136">
        <v>0.0</v>
      </c>
      <c r="O59" s="137">
        <v>58.6</v>
      </c>
      <c r="P59" s="136">
        <v>100.0</v>
      </c>
      <c r="Q59" s="136">
        <v>58.6</v>
      </c>
      <c r="R59" s="136" t="s">
        <v>4045</v>
      </c>
      <c r="S59" s="136">
        <v>75.71429</v>
      </c>
      <c r="T59" s="136">
        <v>5.0</v>
      </c>
      <c r="U59" s="138">
        <v>45746.930752314816</v>
      </c>
      <c r="V59" s="139"/>
      <c r="W59" s="140"/>
      <c r="X59" s="140"/>
      <c r="Y59" s="140"/>
      <c r="Z59" s="140"/>
    </row>
    <row r="60">
      <c r="A60" s="135" t="s">
        <v>4373</v>
      </c>
      <c r="B60" s="136" t="s">
        <v>4374</v>
      </c>
      <c r="C60" s="136" t="s">
        <v>4375</v>
      </c>
      <c r="D60" s="136" t="s">
        <v>4376</v>
      </c>
      <c r="E60" s="136">
        <v>2025.0</v>
      </c>
      <c r="F60" s="136" t="s">
        <v>3771</v>
      </c>
      <c r="G60" s="136" t="s">
        <v>4041</v>
      </c>
      <c r="H60" s="136" t="s">
        <v>4377</v>
      </c>
      <c r="I60" s="136" t="s">
        <v>4152</v>
      </c>
      <c r="J60" s="136" t="s">
        <v>4153</v>
      </c>
      <c r="K60" s="136" t="s">
        <v>1003</v>
      </c>
      <c r="L60" s="136" t="s">
        <v>1003</v>
      </c>
      <c r="M60" s="136" t="s">
        <v>1003</v>
      </c>
      <c r="N60" s="136" t="s">
        <v>1003</v>
      </c>
      <c r="O60" s="137" t="s">
        <v>1003</v>
      </c>
      <c r="P60" s="136" t="s">
        <v>1003</v>
      </c>
      <c r="Q60" s="136" t="s">
        <v>1003</v>
      </c>
      <c r="R60" s="136" t="s">
        <v>1003</v>
      </c>
      <c r="S60" s="136" t="s">
        <v>1003</v>
      </c>
      <c r="T60" s="136">
        <v>0.0</v>
      </c>
      <c r="U60" s="136" t="s">
        <v>1003</v>
      </c>
      <c r="V60" s="139"/>
      <c r="W60" s="140"/>
      <c r="X60" s="140"/>
      <c r="Y60" s="140"/>
      <c r="Z60" s="140"/>
    </row>
    <row r="61">
      <c r="A61" s="135" t="s">
        <v>4378</v>
      </c>
      <c r="B61" s="136" t="s">
        <v>4379</v>
      </c>
      <c r="C61" s="136" t="s">
        <v>3788</v>
      </c>
      <c r="D61" s="136" t="s">
        <v>3784</v>
      </c>
      <c r="E61" s="136">
        <v>2025.0</v>
      </c>
      <c r="F61" s="136" t="s">
        <v>3771</v>
      </c>
      <c r="G61" s="136" t="s">
        <v>4041</v>
      </c>
      <c r="H61" s="136" t="s">
        <v>4380</v>
      </c>
      <c r="I61" s="136" t="s">
        <v>4043</v>
      </c>
      <c r="J61" s="136" t="s">
        <v>4381</v>
      </c>
      <c r="K61" s="136">
        <v>73.0</v>
      </c>
      <c r="L61" s="136">
        <v>72.0</v>
      </c>
      <c r="M61" s="136">
        <v>68.16667</v>
      </c>
      <c r="N61" s="136">
        <v>0.0</v>
      </c>
      <c r="O61" s="137">
        <v>68.16667</v>
      </c>
      <c r="P61" s="136">
        <v>100.0</v>
      </c>
      <c r="Q61" s="136">
        <v>68.16667</v>
      </c>
      <c r="R61" s="136" t="s">
        <v>4200</v>
      </c>
      <c r="S61" s="136">
        <v>78.37838</v>
      </c>
      <c r="T61" s="136">
        <v>2.0</v>
      </c>
      <c r="U61" s="138">
        <v>45746.66028935185</v>
      </c>
      <c r="V61" s="139"/>
      <c r="W61" s="140"/>
      <c r="X61" s="140"/>
      <c r="Y61" s="140"/>
      <c r="Z61" s="140"/>
    </row>
    <row r="62">
      <c r="A62" s="135" t="s">
        <v>4382</v>
      </c>
      <c r="B62" s="136" t="s">
        <v>4383</v>
      </c>
      <c r="C62" s="136" t="s">
        <v>4384</v>
      </c>
      <c r="D62" s="136" t="s">
        <v>4385</v>
      </c>
      <c r="E62" s="136">
        <v>2025.0</v>
      </c>
      <c r="F62" s="136" t="s">
        <v>3771</v>
      </c>
      <c r="G62" s="136" t="s">
        <v>4041</v>
      </c>
      <c r="H62" s="136" t="s">
        <v>4386</v>
      </c>
      <c r="I62" s="136" t="s">
        <v>4043</v>
      </c>
      <c r="J62" s="136" t="s">
        <v>4387</v>
      </c>
      <c r="K62" s="136">
        <v>73.0</v>
      </c>
      <c r="L62" s="136">
        <v>71.0</v>
      </c>
      <c r="M62" s="136">
        <v>51.5</v>
      </c>
      <c r="N62" s="136">
        <v>0.0</v>
      </c>
      <c r="O62" s="137">
        <v>51.5</v>
      </c>
      <c r="P62" s="136">
        <v>100.0</v>
      </c>
      <c r="Q62" s="136">
        <v>51.5</v>
      </c>
      <c r="R62" s="136" t="s">
        <v>4045</v>
      </c>
      <c r="S62" s="136">
        <v>67.56757</v>
      </c>
      <c r="T62" s="136">
        <v>3.0</v>
      </c>
      <c r="U62" s="138">
        <v>45746.54247685185</v>
      </c>
      <c r="V62" s="139"/>
      <c r="W62" s="140"/>
      <c r="X62" s="140"/>
      <c r="Y62" s="140"/>
      <c r="Z62" s="140"/>
    </row>
    <row r="63">
      <c r="A63" s="135" t="s">
        <v>4388</v>
      </c>
      <c r="B63" s="136" t="s">
        <v>4389</v>
      </c>
      <c r="C63" s="136" t="s">
        <v>4390</v>
      </c>
      <c r="D63" s="136" t="s">
        <v>4391</v>
      </c>
      <c r="E63" s="136">
        <v>2025.0</v>
      </c>
      <c r="F63" s="136" t="s">
        <v>3771</v>
      </c>
      <c r="G63" s="136" t="s">
        <v>4041</v>
      </c>
      <c r="H63" s="136" t="s">
        <v>4392</v>
      </c>
      <c r="I63" s="136" t="s">
        <v>4043</v>
      </c>
      <c r="J63" s="136" t="s">
        <v>4393</v>
      </c>
      <c r="K63" s="136">
        <v>73.0</v>
      </c>
      <c r="L63" s="136">
        <v>71.0</v>
      </c>
      <c r="M63" s="136">
        <v>54.0</v>
      </c>
      <c r="N63" s="136">
        <v>0.0</v>
      </c>
      <c r="O63" s="137">
        <v>54.0</v>
      </c>
      <c r="P63" s="136">
        <v>100.0</v>
      </c>
      <c r="Q63" s="136">
        <v>54.0</v>
      </c>
      <c r="R63" s="136" t="s">
        <v>4045</v>
      </c>
      <c r="S63" s="136">
        <v>64.86487</v>
      </c>
      <c r="T63" s="136">
        <v>2.0</v>
      </c>
      <c r="U63" s="138">
        <v>45746.75734953704</v>
      </c>
      <c r="V63" s="139"/>
      <c r="W63" s="140"/>
      <c r="X63" s="140"/>
      <c r="Y63" s="140"/>
      <c r="Z63" s="140"/>
    </row>
    <row r="64">
      <c r="A64" s="135" t="s">
        <v>4394</v>
      </c>
      <c r="B64" s="136" t="s">
        <v>4395</v>
      </c>
      <c r="C64" s="136" t="s">
        <v>4396</v>
      </c>
      <c r="D64" s="136" t="s">
        <v>4397</v>
      </c>
      <c r="E64" s="136">
        <v>2025.0</v>
      </c>
      <c r="F64" s="136" t="s">
        <v>3771</v>
      </c>
      <c r="G64" s="136" t="s">
        <v>4041</v>
      </c>
      <c r="H64" s="136" t="s">
        <v>4398</v>
      </c>
      <c r="I64" s="136" t="s">
        <v>4043</v>
      </c>
      <c r="J64" s="136" t="s">
        <v>4399</v>
      </c>
      <c r="K64" s="136">
        <v>73.0</v>
      </c>
      <c r="L64" s="136">
        <v>72.0</v>
      </c>
      <c r="M64" s="136">
        <v>48.86667</v>
      </c>
      <c r="N64" s="136">
        <v>0.0</v>
      </c>
      <c r="O64" s="137">
        <v>48.86667</v>
      </c>
      <c r="P64" s="136">
        <v>100.0</v>
      </c>
      <c r="Q64" s="136">
        <v>48.86667</v>
      </c>
      <c r="R64" s="136" t="s">
        <v>4045</v>
      </c>
      <c r="S64" s="136">
        <v>54.05405</v>
      </c>
      <c r="T64" s="136">
        <v>1.0</v>
      </c>
      <c r="U64" s="138">
        <v>45747.37652777778</v>
      </c>
      <c r="V64" s="139"/>
      <c r="W64" s="140"/>
      <c r="X64" s="140"/>
      <c r="Y64" s="140"/>
      <c r="Z64" s="140"/>
    </row>
    <row r="65">
      <c r="A65" s="135" t="s">
        <v>4400</v>
      </c>
      <c r="B65" s="136" t="s">
        <v>4401</v>
      </c>
      <c r="C65" s="136" t="s">
        <v>4402</v>
      </c>
      <c r="D65" s="136" t="s">
        <v>4403</v>
      </c>
      <c r="E65" s="136">
        <v>2025.0</v>
      </c>
      <c r="F65" s="136" t="s">
        <v>3771</v>
      </c>
      <c r="G65" s="136" t="s">
        <v>4041</v>
      </c>
      <c r="H65" s="136" t="s">
        <v>4404</v>
      </c>
      <c r="I65" s="136" t="s">
        <v>4043</v>
      </c>
      <c r="J65" s="136" t="s">
        <v>4405</v>
      </c>
      <c r="K65" s="136">
        <v>73.0</v>
      </c>
      <c r="L65" s="136">
        <v>70.0</v>
      </c>
      <c r="M65" s="136">
        <v>29.0</v>
      </c>
      <c r="N65" s="136">
        <v>0.0</v>
      </c>
      <c r="O65" s="137">
        <v>29.0</v>
      </c>
      <c r="P65" s="136">
        <v>100.0</v>
      </c>
      <c r="Q65" s="136">
        <v>29.0</v>
      </c>
      <c r="R65" s="136" t="s">
        <v>4045</v>
      </c>
      <c r="S65" s="136">
        <v>41.42857</v>
      </c>
      <c r="T65" s="136">
        <v>1.0</v>
      </c>
      <c r="U65" s="138">
        <v>45747.58446759259</v>
      </c>
      <c r="V65" s="139"/>
      <c r="W65" s="140"/>
      <c r="X65" s="140"/>
      <c r="Y65" s="140"/>
      <c r="Z65" s="140"/>
    </row>
    <row r="66">
      <c r="A66" s="135" t="s">
        <v>4406</v>
      </c>
      <c r="B66" s="136" t="s">
        <v>4407</v>
      </c>
      <c r="C66" s="136" t="s">
        <v>4408</v>
      </c>
      <c r="D66" s="136" t="s">
        <v>4409</v>
      </c>
      <c r="E66" s="136">
        <v>2025.0</v>
      </c>
      <c r="F66" s="136" t="s">
        <v>3771</v>
      </c>
      <c r="G66" s="136" t="s">
        <v>4041</v>
      </c>
      <c r="H66" s="136" t="s">
        <v>4410</v>
      </c>
      <c r="I66" s="136" t="s">
        <v>4043</v>
      </c>
      <c r="J66" s="136" t="s">
        <v>4411</v>
      </c>
      <c r="K66" s="136">
        <v>73.0</v>
      </c>
      <c r="L66" s="136">
        <v>1.0</v>
      </c>
      <c r="M66" s="136">
        <v>1.0</v>
      </c>
      <c r="N66" s="136">
        <v>0.0</v>
      </c>
      <c r="O66" s="137">
        <v>1.0</v>
      </c>
      <c r="P66" s="136">
        <v>100.0</v>
      </c>
      <c r="Q66" s="136">
        <v>1.0</v>
      </c>
      <c r="R66" s="136" t="s">
        <v>4045</v>
      </c>
      <c r="S66" s="136">
        <v>100.0</v>
      </c>
      <c r="T66" s="136">
        <v>1.0</v>
      </c>
      <c r="U66" s="138">
        <v>45746.9906712963</v>
      </c>
      <c r="V66" s="139"/>
      <c r="W66" s="140"/>
      <c r="X66" s="140"/>
      <c r="Y66" s="140"/>
      <c r="Z66" s="140"/>
    </row>
    <row r="67">
      <c r="A67" s="135" t="s">
        <v>4412</v>
      </c>
      <c r="B67" s="136" t="s">
        <v>3809</v>
      </c>
      <c r="C67" s="136" t="s">
        <v>4413</v>
      </c>
      <c r="D67" s="136" t="s">
        <v>3806</v>
      </c>
      <c r="E67" s="136">
        <v>2025.0</v>
      </c>
      <c r="F67" s="136" t="s">
        <v>3771</v>
      </c>
      <c r="G67" s="136" t="s">
        <v>4041</v>
      </c>
      <c r="H67" s="136" t="s">
        <v>4414</v>
      </c>
      <c r="I67" s="136" t="s">
        <v>4043</v>
      </c>
      <c r="J67" s="136" t="s">
        <v>4415</v>
      </c>
      <c r="K67" s="136">
        <v>73.0</v>
      </c>
      <c r="L67" s="136">
        <v>61.0</v>
      </c>
      <c r="M67" s="136">
        <v>58.43333</v>
      </c>
      <c r="N67" s="136">
        <v>0.0</v>
      </c>
      <c r="O67" s="137">
        <v>58.43333</v>
      </c>
      <c r="P67" s="136">
        <v>100.0</v>
      </c>
      <c r="Q67" s="136">
        <v>58.43333</v>
      </c>
      <c r="R67" s="136" t="s">
        <v>4045</v>
      </c>
      <c r="S67" s="136">
        <v>76.19048</v>
      </c>
      <c r="T67" s="136">
        <v>3.0</v>
      </c>
      <c r="U67" s="138">
        <v>45747.504537037035</v>
      </c>
      <c r="V67" s="139"/>
      <c r="W67" s="140"/>
      <c r="X67" s="140"/>
      <c r="Y67" s="140"/>
      <c r="Z67" s="140"/>
    </row>
    <row r="68">
      <c r="A68" s="135" t="s">
        <v>4416</v>
      </c>
      <c r="B68" s="136" t="s">
        <v>4417</v>
      </c>
      <c r="C68" s="136" t="s">
        <v>4418</v>
      </c>
      <c r="D68" s="136" t="s">
        <v>4419</v>
      </c>
      <c r="E68" s="136">
        <v>2025.0</v>
      </c>
      <c r="F68" s="136" t="s">
        <v>3771</v>
      </c>
      <c r="G68" s="136" t="s">
        <v>4041</v>
      </c>
      <c r="H68" s="136" t="s">
        <v>4420</v>
      </c>
      <c r="I68" s="136" t="s">
        <v>4043</v>
      </c>
      <c r="J68" s="136" t="s">
        <v>4421</v>
      </c>
      <c r="K68" s="136">
        <v>73.0</v>
      </c>
      <c r="L68" s="136">
        <v>71.0</v>
      </c>
      <c r="M68" s="136">
        <v>38.26667</v>
      </c>
      <c r="N68" s="136">
        <v>0.0</v>
      </c>
      <c r="O68" s="137">
        <v>38.26667</v>
      </c>
      <c r="P68" s="136">
        <v>100.0</v>
      </c>
      <c r="Q68" s="136">
        <v>38.26667</v>
      </c>
      <c r="R68" s="136" t="s">
        <v>4045</v>
      </c>
      <c r="S68" s="136">
        <v>47.14286</v>
      </c>
      <c r="T68" s="136">
        <v>2.0</v>
      </c>
      <c r="U68" s="138">
        <v>45746.746828703705</v>
      </c>
      <c r="V68" s="139"/>
      <c r="W68" s="140"/>
      <c r="X68" s="140"/>
      <c r="Y68" s="140"/>
      <c r="Z68" s="140"/>
    </row>
    <row r="69">
      <c r="A69" s="135" t="s">
        <v>4422</v>
      </c>
      <c r="B69" s="136" t="s">
        <v>4423</v>
      </c>
      <c r="C69" s="136" t="s">
        <v>3979</v>
      </c>
      <c r="D69" s="136" t="s">
        <v>3973</v>
      </c>
      <c r="E69" s="136">
        <v>2025.0</v>
      </c>
      <c r="F69" s="136" t="s">
        <v>3771</v>
      </c>
      <c r="G69" s="136" t="s">
        <v>4041</v>
      </c>
      <c r="H69" s="136" t="s">
        <v>4424</v>
      </c>
      <c r="I69" s="136" t="s">
        <v>4043</v>
      </c>
      <c r="J69" s="136" t="s">
        <v>4425</v>
      </c>
      <c r="K69" s="136">
        <v>73.0</v>
      </c>
      <c r="L69" s="136">
        <v>72.0</v>
      </c>
      <c r="M69" s="136">
        <v>34.33333</v>
      </c>
      <c r="N69" s="136">
        <v>0.0</v>
      </c>
      <c r="O69" s="137">
        <v>34.33333</v>
      </c>
      <c r="P69" s="136">
        <v>100.0</v>
      </c>
      <c r="Q69" s="136">
        <v>34.33333</v>
      </c>
      <c r="R69" s="136" t="s">
        <v>4045</v>
      </c>
      <c r="S69" s="136">
        <v>35.13514</v>
      </c>
      <c r="T69" s="136">
        <v>1.0</v>
      </c>
      <c r="U69" s="138">
        <v>45746.936944444446</v>
      </c>
      <c r="V69" s="139"/>
      <c r="W69" s="140"/>
      <c r="X69" s="140"/>
      <c r="Y69" s="140"/>
      <c r="Z69" s="140"/>
    </row>
    <row r="70">
      <c r="A70" s="135" t="s">
        <v>4426</v>
      </c>
      <c r="B70" s="136" t="s">
        <v>4427</v>
      </c>
      <c r="C70" s="136" t="s">
        <v>4428</v>
      </c>
      <c r="D70" s="136" t="s">
        <v>4429</v>
      </c>
      <c r="E70" s="136">
        <v>2025.0</v>
      </c>
      <c r="F70" s="136" t="s">
        <v>3771</v>
      </c>
      <c r="G70" s="136" t="s">
        <v>4041</v>
      </c>
      <c r="H70" s="136" t="s">
        <v>4430</v>
      </c>
      <c r="I70" s="136" t="s">
        <v>4043</v>
      </c>
      <c r="J70" s="136" t="s">
        <v>4431</v>
      </c>
      <c r="K70" s="136">
        <v>73.0</v>
      </c>
      <c r="L70" s="136">
        <v>72.0</v>
      </c>
      <c r="M70" s="136">
        <v>50.16667</v>
      </c>
      <c r="N70" s="136">
        <v>0.0</v>
      </c>
      <c r="O70" s="137">
        <v>50.16667</v>
      </c>
      <c r="P70" s="136">
        <v>100.0</v>
      </c>
      <c r="Q70" s="136">
        <v>50.16667</v>
      </c>
      <c r="R70" s="136" t="s">
        <v>4045</v>
      </c>
      <c r="S70" s="136">
        <v>56.75676</v>
      </c>
      <c r="T70" s="136">
        <v>2.0</v>
      </c>
      <c r="U70" s="138">
        <v>45745.87998842593</v>
      </c>
      <c r="V70" s="139"/>
      <c r="W70" s="140"/>
      <c r="X70" s="140"/>
      <c r="Y70" s="140"/>
      <c r="Z70" s="140"/>
    </row>
    <row r="71">
      <c r="A71" s="135" t="s">
        <v>4432</v>
      </c>
      <c r="B71" s="136" t="s">
        <v>3986</v>
      </c>
      <c r="C71" s="136" t="s">
        <v>3988</v>
      </c>
      <c r="D71" s="136" t="s">
        <v>3983</v>
      </c>
      <c r="E71" s="136">
        <v>2025.0</v>
      </c>
      <c r="F71" s="136" t="s">
        <v>3771</v>
      </c>
      <c r="G71" s="136" t="s">
        <v>4041</v>
      </c>
      <c r="H71" s="136" t="s">
        <v>4433</v>
      </c>
      <c r="I71" s="136" t="s">
        <v>4043</v>
      </c>
      <c r="J71" s="136" t="s">
        <v>4434</v>
      </c>
      <c r="K71" s="136">
        <v>73.0</v>
      </c>
      <c r="L71" s="136">
        <v>71.0</v>
      </c>
      <c r="M71" s="136">
        <v>29.23333</v>
      </c>
      <c r="N71" s="136">
        <v>0.0</v>
      </c>
      <c r="O71" s="137">
        <v>29.23333</v>
      </c>
      <c r="P71" s="136">
        <v>100.0</v>
      </c>
      <c r="Q71" s="136">
        <v>29.23333</v>
      </c>
      <c r="R71" s="136" t="s">
        <v>4045</v>
      </c>
      <c r="S71" s="136">
        <v>34.28571</v>
      </c>
      <c r="T71" s="136">
        <v>2.0</v>
      </c>
      <c r="U71" s="138">
        <v>45747.47796296296</v>
      </c>
      <c r="V71" s="139"/>
      <c r="W71" s="140"/>
      <c r="X71" s="140"/>
      <c r="Y71" s="140"/>
      <c r="Z71" s="140"/>
    </row>
    <row r="72">
      <c r="A72" s="135" t="s">
        <v>4435</v>
      </c>
      <c r="B72" s="136" t="s">
        <v>4436</v>
      </c>
      <c r="C72" s="136" t="s">
        <v>1100</v>
      </c>
      <c r="D72" s="136" t="s">
        <v>88</v>
      </c>
      <c r="E72" s="136">
        <v>2025.0</v>
      </c>
      <c r="F72" s="136" t="s">
        <v>1006</v>
      </c>
      <c r="G72" s="136" t="s">
        <v>4041</v>
      </c>
      <c r="H72" s="136" t="s">
        <v>4437</v>
      </c>
      <c r="I72" s="136" t="s">
        <v>4043</v>
      </c>
      <c r="J72" s="136" t="s">
        <v>4438</v>
      </c>
      <c r="K72" s="136">
        <v>73.0</v>
      </c>
      <c r="L72" s="136">
        <v>68.0</v>
      </c>
      <c r="M72" s="136">
        <v>34.53333</v>
      </c>
      <c r="N72" s="136">
        <v>0.0</v>
      </c>
      <c r="O72" s="137">
        <v>34.53333</v>
      </c>
      <c r="P72" s="136">
        <v>100.0</v>
      </c>
      <c r="Q72" s="136">
        <v>34.53333</v>
      </c>
      <c r="R72" s="136" t="s">
        <v>4045</v>
      </c>
      <c r="S72" s="136">
        <v>38.57143</v>
      </c>
      <c r="T72" s="136">
        <v>2.0</v>
      </c>
      <c r="U72" s="138">
        <v>45746.586701388886</v>
      </c>
      <c r="V72" s="139"/>
      <c r="W72" s="140"/>
      <c r="X72" s="140"/>
      <c r="Y72" s="140"/>
      <c r="Z72" s="140"/>
    </row>
    <row r="73">
      <c r="A73" s="135" t="s">
        <v>4439</v>
      </c>
      <c r="B73" s="136" t="s">
        <v>93</v>
      </c>
      <c r="C73" s="136" t="s">
        <v>1107</v>
      </c>
      <c r="D73" s="136" t="s">
        <v>92</v>
      </c>
      <c r="E73" s="136">
        <v>2025.0</v>
      </c>
      <c r="F73" s="136" t="s">
        <v>1006</v>
      </c>
      <c r="G73" s="136" t="s">
        <v>4041</v>
      </c>
      <c r="H73" s="136" t="s">
        <v>4440</v>
      </c>
      <c r="I73" s="136" t="s">
        <v>4043</v>
      </c>
      <c r="J73" s="136" t="s">
        <v>4441</v>
      </c>
      <c r="K73" s="136">
        <v>73.0</v>
      </c>
      <c r="L73" s="136">
        <v>71.0</v>
      </c>
      <c r="M73" s="136">
        <v>63.63333</v>
      </c>
      <c r="N73" s="136">
        <v>0.0</v>
      </c>
      <c r="O73" s="137">
        <v>63.63333</v>
      </c>
      <c r="P73" s="136">
        <v>100.0</v>
      </c>
      <c r="Q73" s="136">
        <v>63.63333</v>
      </c>
      <c r="R73" s="136" t="s">
        <v>4200</v>
      </c>
      <c r="S73" s="136">
        <v>82.85714</v>
      </c>
      <c r="T73" s="136">
        <v>1.0</v>
      </c>
      <c r="U73" s="138">
        <v>45746.96790509259</v>
      </c>
      <c r="V73" s="139"/>
      <c r="W73" s="140"/>
      <c r="X73" s="140"/>
      <c r="Y73" s="140"/>
      <c r="Z73" s="140"/>
    </row>
    <row r="74">
      <c r="A74" s="135" t="s">
        <v>4442</v>
      </c>
      <c r="B74" s="136" t="s">
        <v>108</v>
      </c>
      <c r="C74" s="136" t="s">
        <v>4443</v>
      </c>
      <c r="D74" s="136" t="s">
        <v>107</v>
      </c>
      <c r="E74" s="136">
        <v>2025.0</v>
      </c>
      <c r="F74" s="136" t="s">
        <v>1006</v>
      </c>
      <c r="G74" s="136" t="s">
        <v>4041</v>
      </c>
      <c r="H74" s="136" t="s">
        <v>4444</v>
      </c>
      <c r="I74" s="136" t="s">
        <v>4043</v>
      </c>
      <c r="J74" s="136" t="s">
        <v>4445</v>
      </c>
      <c r="K74" s="136">
        <v>73.0</v>
      </c>
      <c r="L74" s="136">
        <v>71.0</v>
      </c>
      <c r="M74" s="136">
        <v>27.03333</v>
      </c>
      <c r="N74" s="136">
        <v>0.0</v>
      </c>
      <c r="O74" s="137">
        <v>27.03333</v>
      </c>
      <c r="P74" s="136">
        <v>100.0</v>
      </c>
      <c r="Q74" s="136">
        <v>27.03333</v>
      </c>
      <c r="R74" s="136" t="s">
        <v>4045</v>
      </c>
      <c r="S74" s="136">
        <v>30.0</v>
      </c>
      <c r="T74" s="136">
        <v>1.0</v>
      </c>
      <c r="U74" s="138">
        <v>45747.94474537037</v>
      </c>
      <c r="V74" s="139"/>
      <c r="W74" s="140"/>
      <c r="X74" s="140"/>
      <c r="Y74" s="140"/>
      <c r="Z74" s="140"/>
    </row>
    <row r="75">
      <c r="A75" s="135" t="s">
        <v>4446</v>
      </c>
      <c r="B75" s="136" t="s">
        <v>129</v>
      </c>
      <c r="C75" s="136" t="s">
        <v>1195</v>
      </c>
      <c r="D75" s="136" t="s">
        <v>128</v>
      </c>
      <c r="E75" s="136">
        <v>2025.0</v>
      </c>
      <c r="F75" s="136" t="s">
        <v>1006</v>
      </c>
      <c r="G75" s="136" t="s">
        <v>4041</v>
      </c>
      <c r="H75" s="136" t="s">
        <v>4447</v>
      </c>
      <c r="I75" s="136" t="s">
        <v>4043</v>
      </c>
      <c r="J75" s="136" t="s">
        <v>4448</v>
      </c>
      <c r="K75" s="136">
        <v>73.0</v>
      </c>
      <c r="L75" s="136">
        <v>60.0</v>
      </c>
      <c r="M75" s="136">
        <v>53.73333</v>
      </c>
      <c r="N75" s="136">
        <v>0.0</v>
      </c>
      <c r="O75" s="137">
        <v>53.73333</v>
      </c>
      <c r="P75" s="136">
        <v>100.0</v>
      </c>
      <c r="Q75" s="136">
        <v>53.73333</v>
      </c>
      <c r="R75" s="136" t="s">
        <v>4045</v>
      </c>
      <c r="S75" s="136">
        <v>81.35593</v>
      </c>
      <c r="T75" s="136">
        <v>1.0</v>
      </c>
      <c r="U75" s="138">
        <v>45746.91920138889</v>
      </c>
      <c r="V75" s="139"/>
      <c r="W75" s="140"/>
      <c r="X75" s="140"/>
      <c r="Y75" s="140"/>
      <c r="Z75" s="140"/>
    </row>
    <row r="76">
      <c r="A76" s="135" t="s">
        <v>4449</v>
      </c>
      <c r="B76" s="136" t="s">
        <v>135</v>
      </c>
      <c r="C76" s="136" t="s">
        <v>1210</v>
      </c>
      <c r="D76" s="136" t="s">
        <v>134</v>
      </c>
      <c r="E76" s="136">
        <v>2025.0</v>
      </c>
      <c r="F76" s="136" t="s">
        <v>1006</v>
      </c>
      <c r="G76" s="136" t="s">
        <v>4041</v>
      </c>
      <c r="H76" s="136" t="s">
        <v>4450</v>
      </c>
      <c r="I76" s="136" t="s">
        <v>4043</v>
      </c>
      <c r="J76" s="136" t="s">
        <v>4451</v>
      </c>
      <c r="K76" s="136">
        <v>73.0</v>
      </c>
      <c r="L76" s="136">
        <v>70.0</v>
      </c>
      <c r="M76" s="136">
        <v>23.33333</v>
      </c>
      <c r="N76" s="136">
        <v>0.0</v>
      </c>
      <c r="O76" s="137">
        <v>23.33333</v>
      </c>
      <c r="P76" s="136">
        <v>100.0</v>
      </c>
      <c r="Q76" s="136">
        <v>23.33333</v>
      </c>
      <c r="R76" s="136" t="s">
        <v>4045</v>
      </c>
      <c r="S76" s="136">
        <v>30.43478</v>
      </c>
      <c r="T76" s="136">
        <v>0.0</v>
      </c>
      <c r="U76" s="138">
        <v>45747.53857638889</v>
      </c>
      <c r="V76" s="139"/>
      <c r="W76" s="140"/>
      <c r="X76" s="140"/>
      <c r="Y76" s="140"/>
      <c r="Z76" s="140"/>
    </row>
    <row r="77">
      <c r="A77" s="135" t="s">
        <v>4452</v>
      </c>
      <c r="B77" s="136" t="s">
        <v>4453</v>
      </c>
      <c r="C77" s="136" t="s">
        <v>4454</v>
      </c>
      <c r="D77" s="136" t="s">
        <v>4455</v>
      </c>
      <c r="E77" s="136">
        <v>2025.0</v>
      </c>
      <c r="F77" s="136" t="s">
        <v>1006</v>
      </c>
      <c r="G77" s="136" t="s">
        <v>4041</v>
      </c>
      <c r="H77" s="136" t="s">
        <v>4456</v>
      </c>
      <c r="I77" s="136" t="s">
        <v>4043</v>
      </c>
      <c r="J77" s="136" t="s">
        <v>4457</v>
      </c>
      <c r="K77" s="136">
        <v>73.0</v>
      </c>
      <c r="L77" s="136">
        <v>71.0</v>
      </c>
      <c r="M77" s="136">
        <v>48.53333</v>
      </c>
      <c r="N77" s="136">
        <v>0.0</v>
      </c>
      <c r="O77" s="137">
        <v>48.53333</v>
      </c>
      <c r="P77" s="136">
        <v>100.0</v>
      </c>
      <c r="Q77" s="136">
        <v>48.53333</v>
      </c>
      <c r="R77" s="136" t="s">
        <v>4045</v>
      </c>
      <c r="S77" s="136">
        <v>61.42857</v>
      </c>
      <c r="T77" s="136">
        <v>1.0</v>
      </c>
      <c r="U77" s="138">
        <v>45747.477002314816</v>
      </c>
      <c r="V77" s="139"/>
      <c r="W77" s="140"/>
      <c r="X77" s="140"/>
      <c r="Y77" s="140"/>
      <c r="Z77" s="140"/>
    </row>
    <row r="78">
      <c r="A78" s="135" t="s">
        <v>4458</v>
      </c>
      <c r="B78" s="136" t="s">
        <v>4459</v>
      </c>
      <c r="C78" s="136" t="s">
        <v>1268</v>
      </c>
      <c r="D78" s="136" t="s">
        <v>4460</v>
      </c>
      <c r="E78" s="136">
        <v>2025.0</v>
      </c>
      <c r="F78" s="136" t="s">
        <v>1006</v>
      </c>
      <c r="G78" s="136" t="s">
        <v>4041</v>
      </c>
      <c r="H78" s="136" t="s">
        <v>4461</v>
      </c>
      <c r="I78" s="136" t="s">
        <v>4043</v>
      </c>
      <c r="J78" s="136" t="s">
        <v>4462</v>
      </c>
      <c r="K78" s="136">
        <v>73.0</v>
      </c>
      <c r="L78" s="136">
        <v>71.0</v>
      </c>
      <c r="M78" s="136">
        <v>62.73333</v>
      </c>
      <c r="N78" s="136">
        <v>0.0</v>
      </c>
      <c r="O78" s="137">
        <v>62.73333</v>
      </c>
      <c r="P78" s="136">
        <v>100.0</v>
      </c>
      <c r="Q78" s="136">
        <v>62.73333</v>
      </c>
      <c r="R78" s="136" t="s">
        <v>4200</v>
      </c>
      <c r="S78" s="136">
        <v>82.85714</v>
      </c>
      <c r="T78" s="136">
        <v>4.0</v>
      </c>
      <c r="U78" s="138">
        <v>45746.55826388889</v>
      </c>
      <c r="V78" s="139"/>
      <c r="W78" s="140"/>
      <c r="X78" s="140"/>
      <c r="Y78" s="140"/>
      <c r="Z78" s="140"/>
    </row>
    <row r="79">
      <c r="A79" s="135" t="s">
        <v>4463</v>
      </c>
      <c r="B79" s="136" t="s">
        <v>161</v>
      </c>
      <c r="C79" s="136" t="s">
        <v>1282</v>
      </c>
      <c r="D79" s="136" t="s">
        <v>160</v>
      </c>
      <c r="E79" s="136">
        <v>2025.0</v>
      </c>
      <c r="F79" s="136" t="s">
        <v>1006</v>
      </c>
      <c r="G79" s="136" t="s">
        <v>4041</v>
      </c>
      <c r="H79" s="136" t="s">
        <v>4464</v>
      </c>
      <c r="I79" s="136" t="s">
        <v>4043</v>
      </c>
      <c r="J79" s="136" t="s">
        <v>4465</v>
      </c>
      <c r="K79" s="136">
        <v>73.0</v>
      </c>
      <c r="L79" s="136">
        <v>51.0</v>
      </c>
      <c r="M79" s="136">
        <v>21.0</v>
      </c>
      <c r="N79" s="136">
        <v>0.0</v>
      </c>
      <c r="O79" s="137">
        <v>21.0</v>
      </c>
      <c r="P79" s="136">
        <v>100.0</v>
      </c>
      <c r="Q79" s="136">
        <v>21.0</v>
      </c>
      <c r="R79" s="136" t="s">
        <v>4045</v>
      </c>
      <c r="S79" s="136">
        <v>41.17647</v>
      </c>
      <c r="T79" s="136">
        <v>4.0</v>
      </c>
      <c r="U79" s="138">
        <v>45746.55631944445</v>
      </c>
      <c r="V79" s="139"/>
      <c r="W79" s="140"/>
      <c r="X79" s="140"/>
      <c r="Y79" s="140"/>
      <c r="Z79" s="140"/>
    </row>
    <row r="80">
      <c r="A80" s="135" t="s">
        <v>4466</v>
      </c>
      <c r="B80" s="136" t="s">
        <v>4467</v>
      </c>
      <c r="C80" s="136" t="s">
        <v>1289</v>
      </c>
      <c r="D80" s="136" t="s">
        <v>4468</v>
      </c>
      <c r="E80" s="136">
        <v>2025.0</v>
      </c>
      <c r="F80" s="136" t="s">
        <v>1006</v>
      </c>
      <c r="G80" s="136" t="s">
        <v>4041</v>
      </c>
      <c r="H80" s="136" t="s">
        <v>4469</v>
      </c>
      <c r="I80" s="136" t="s">
        <v>4043</v>
      </c>
      <c r="J80" s="136" t="s">
        <v>4470</v>
      </c>
      <c r="K80" s="136">
        <v>73.0</v>
      </c>
      <c r="L80" s="136">
        <v>70.0</v>
      </c>
      <c r="M80" s="136">
        <v>16.0</v>
      </c>
      <c r="N80" s="136">
        <v>0.0</v>
      </c>
      <c r="O80" s="137">
        <v>16.0</v>
      </c>
      <c r="P80" s="136">
        <v>100.0</v>
      </c>
      <c r="Q80" s="136">
        <v>16.0</v>
      </c>
      <c r="R80" s="136" t="s">
        <v>4045</v>
      </c>
      <c r="S80" s="136">
        <v>22.85714</v>
      </c>
      <c r="T80" s="136">
        <v>5.0</v>
      </c>
      <c r="U80" s="138">
        <v>45746.47016203704</v>
      </c>
      <c r="V80" s="139"/>
      <c r="W80" s="140"/>
      <c r="X80" s="140"/>
      <c r="Y80" s="140"/>
      <c r="Z80" s="140"/>
    </row>
    <row r="81">
      <c r="A81" s="135" t="s">
        <v>4471</v>
      </c>
      <c r="B81" s="136" t="s">
        <v>4472</v>
      </c>
      <c r="C81" s="136" t="s">
        <v>1297</v>
      </c>
      <c r="D81" s="136" t="s">
        <v>165</v>
      </c>
      <c r="E81" s="136">
        <v>2025.0</v>
      </c>
      <c r="F81" s="136" t="s">
        <v>1006</v>
      </c>
      <c r="G81" s="136" t="s">
        <v>4041</v>
      </c>
      <c r="H81" s="136" t="s">
        <v>4473</v>
      </c>
      <c r="I81" s="136" t="s">
        <v>4043</v>
      </c>
      <c r="J81" s="136" t="s">
        <v>4474</v>
      </c>
      <c r="K81" s="136">
        <v>73.0</v>
      </c>
      <c r="L81" s="136">
        <v>72.0</v>
      </c>
      <c r="M81" s="136">
        <v>40.33333</v>
      </c>
      <c r="N81" s="136">
        <v>0.0</v>
      </c>
      <c r="O81" s="137">
        <v>40.33333</v>
      </c>
      <c r="P81" s="136">
        <v>100.0</v>
      </c>
      <c r="Q81" s="136">
        <v>40.33333</v>
      </c>
      <c r="R81" s="136" t="s">
        <v>4045</v>
      </c>
      <c r="S81" s="136">
        <v>45.94595</v>
      </c>
      <c r="T81" s="136">
        <v>5.0</v>
      </c>
      <c r="U81" s="138">
        <v>45747.49980324074</v>
      </c>
      <c r="V81" s="139"/>
      <c r="W81" s="140"/>
      <c r="X81" s="140"/>
      <c r="Y81" s="140"/>
      <c r="Z81" s="140"/>
    </row>
    <row r="82">
      <c r="A82" s="135" t="s">
        <v>4475</v>
      </c>
      <c r="B82" s="136" t="s">
        <v>180</v>
      </c>
      <c r="C82" s="136" t="s">
        <v>1342</v>
      </c>
      <c r="D82" s="136" t="s">
        <v>4476</v>
      </c>
      <c r="E82" s="136">
        <v>2025.0</v>
      </c>
      <c r="F82" s="136" t="s">
        <v>1006</v>
      </c>
      <c r="G82" s="136" t="s">
        <v>4041</v>
      </c>
      <c r="H82" s="136" t="s">
        <v>4477</v>
      </c>
      <c r="I82" s="136" t="s">
        <v>4043</v>
      </c>
      <c r="J82" s="136" t="s">
        <v>4478</v>
      </c>
      <c r="K82" s="136">
        <v>73.0</v>
      </c>
      <c r="L82" s="136">
        <v>71.0</v>
      </c>
      <c r="M82" s="136">
        <v>38.0</v>
      </c>
      <c r="N82" s="136">
        <v>0.0</v>
      </c>
      <c r="O82" s="137">
        <v>38.0</v>
      </c>
      <c r="P82" s="136">
        <v>100.0</v>
      </c>
      <c r="Q82" s="136">
        <v>38.0</v>
      </c>
      <c r="R82" s="136" t="s">
        <v>4045</v>
      </c>
      <c r="S82" s="136">
        <v>45.71429</v>
      </c>
      <c r="T82" s="136">
        <v>2.0</v>
      </c>
      <c r="U82" s="138">
        <v>45747.57013888889</v>
      </c>
      <c r="V82" s="139"/>
      <c r="W82" s="140"/>
      <c r="X82" s="140"/>
      <c r="Y82" s="140"/>
      <c r="Z82" s="140"/>
    </row>
    <row r="83">
      <c r="A83" s="135" t="s">
        <v>4479</v>
      </c>
      <c r="B83" s="136" t="s">
        <v>193</v>
      </c>
      <c r="C83" s="136" t="s">
        <v>1377</v>
      </c>
      <c r="D83" s="136" t="s">
        <v>192</v>
      </c>
      <c r="E83" s="136">
        <v>2025.0</v>
      </c>
      <c r="F83" s="136" t="s">
        <v>1006</v>
      </c>
      <c r="G83" s="136" t="s">
        <v>4041</v>
      </c>
      <c r="H83" s="136" t="s">
        <v>4480</v>
      </c>
      <c r="I83" s="136" t="s">
        <v>4043</v>
      </c>
      <c r="J83" s="136" t="s">
        <v>4481</v>
      </c>
      <c r="K83" s="136">
        <v>73.0</v>
      </c>
      <c r="L83" s="136">
        <v>25.0</v>
      </c>
      <c r="M83" s="136">
        <v>5.0</v>
      </c>
      <c r="N83" s="136">
        <v>0.0</v>
      </c>
      <c r="O83" s="137">
        <v>5.0</v>
      </c>
      <c r="P83" s="136">
        <v>100.0</v>
      </c>
      <c r="Q83" s="136">
        <v>5.0</v>
      </c>
      <c r="R83" s="136" t="s">
        <v>4045</v>
      </c>
      <c r="S83" s="136">
        <v>20.0</v>
      </c>
      <c r="T83" s="136">
        <v>1.0</v>
      </c>
      <c r="U83" s="138">
        <v>45748.1718287037</v>
      </c>
      <c r="V83" s="139"/>
      <c r="W83" s="140"/>
      <c r="X83" s="140"/>
      <c r="Y83" s="140"/>
      <c r="Z83" s="140"/>
    </row>
    <row r="84">
      <c r="A84" s="135" t="s">
        <v>4482</v>
      </c>
      <c r="B84" s="136" t="s">
        <v>4483</v>
      </c>
      <c r="C84" s="136" t="s">
        <v>1406</v>
      </c>
      <c r="D84" s="136" t="s">
        <v>202</v>
      </c>
      <c r="E84" s="136">
        <v>2025.0</v>
      </c>
      <c r="F84" s="136" t="s">
        <v>1006</v>
      </c>
      <c r="G84" s="136" t="s">
        <v>4041</v>
      </c>
      <c r="H84" s="136" t="s">
        <v>4484</v>
      </c>
      <c r="I84" s="136" t="s">
        <v>4043</v>
      </c>
      <c r="J84" s="136" t="s">
        <v>4485</v>
      </c>
      <c r="K84" s="136">
        <v>73.0</v>
      </c>
      <c r="L84" s="136">
        <v>73.0</v>
      </c>
      <c r="M84" s="136">
        <v>47.33333</v>
      </c>
      <c r="N84" s="136">
        <v>0.0</v>
      </c>
      <c r="O84" s="137">
        <v>47.33333</v>
      </c>
      <c r="P84" s="136">
        <v>100.0</v>
      </c>
      <c r="Q84" s="136">
        <v>47.33333</v>
      </c>
      <c r="R84" s="136" t="s">
        <v>4045</v>
      </c>
      <c r="S84" s="136">
        <v>48.71795</v>
      </c>
      <c r="T84" s="136">
        <v>2.0</v>
      </c>
      <c r="U84" s="138">
        <v>45748.46512731481</v>
      </c>
      <c r="V84" s="139"/>
      <c r="W84" s="140"/>
      <c r="X84" s="140"/>
      <c r="Y84" s="140"/>
      <c r="Z84" s="140"/>
    </row>
    <row r="85">
      <c r="A85" s="135" t="s">
        <v>4486</v>
      </c>
      <c r="B85" s="136" t="s">
        <v>219</v>
      </c>
      <c r="C85" s="136" t="s">
        <v>1451</v>
      </c>
      <c r="D85" s="136" t="s">
        <v>218</v>
      </c>
      <c r="E85" s="136">
        <v>2025.0</v>
      </c>
      <c r="F85" s="136" t="s">
        <v>1006</v>
      </c>
      <c r="G85" s="136" t="s">
        <v>4041</v>
      </c>
      <c r="H85" s="136" t="s">
        <v>4487</v>
      </c>
      <c r="I85" s="136" t="s">
        <v>4043</v>
      </c>
      <c r="J85" s="136" t="s">
        <v>4488</v>
      </c>
      <c r="K85" s="136">
        <v>73.0</v>
      </c>
      <c r="L85" s="136">
        <v>72.0</v>
      </c>
      <c r="M85" s="136">
        <v>52.43333</v>
      </c>
      <c r="N85" s="136">
        <v>0.0</v>
      </c>
      <c r="O85" s="137">
        <v>52.43333</v>
      </c>
      <c r="P85" s="136">
        <v>100.0</v>
      </c>
      <c r="Q85" s="136">
        <v>52.43333</v>
      </c>
      <c r="R85" s="136" t="s">
        <v>4045</v>
      </c>
      <c r="S85" s="136">
        <v>59.45946</v>
      </c>
      <c r="T85" s="136">
        <v>2.0</v>
      </c>
      <c r="U85" s="138">
        <v>45746.911041666666</v>
      </c>
      <c r="V85" s="139"/>
      <c r="W85" s="140"/>
      <c r="X85" s="140"/>
      <c r="Y85" s="140"/>
      <c r="Z85" s="140"/>
    </row>
    <row r="86">
      <c r="A86" s="135" t="s">
        <v>4489</v>
      </c>
      <c r="B86" s="136" t="s">
        <v>230</v>
      </c>
      <c r="C86" s="136" t="s">
        <v>1480</v>
      </c>
      <c r="D86" s="136" t="s">
        <v>229</v>
      </c>
      <c r="E86" s="136">
        <v>2025.0</v>
      </c>
      <c r="F86" s="136" t="s">
        <v>1006</v>
      </c>
      <c r="G86" s="136" t="s">
        <v>4041</v>
      </c>
      <c r="H86" s="136" t="s">
        <v>4490</v>
      </c>
      <c r="I86" s="136" t="s">
        <v>4043</v>
      </c>
      <c r="J86" s="136" t="s">
        <v>4491</v>
      </c>
      <c r="K86" s="136">
        <v>73.0</v>
      </c>
      <c r="L86" s="136">
        <v>71.0</v>
      </c>
      <c r="M86" s="136">
        <v>28.56667</v>
      </c>
      <c r="N86" s="136">
        <v>0.0</v>
      </c>
      <c r="O86" s="137">
        <v>28.56667</v>
      </c>
      <c r="P86" s="136">
        <v>100.0</v>
      </c>
      <c r="Q86" s="136">
        <v>28.56667</v>
      </c>
      <c r="R86" s="136" t="s">
        <v>4045</v>
      </c>
      <c r="S86" s="136">
        <v>32.85714</v>
      </c>
      <c r="T86" s="136">
        <v>3.0</v>
      </c>
      <c r="U86" s="138">
        <v>45747.4771875</v>
      </c>
      <c r="V86" s="139"/>
      <c r="W86" s="140"/>
      <c r="X86" s="140"/>
      <c r="Y86" s="140"/>
      <c r="Z86" s="140"/>
    </row>
    <row r="87">
      <c r="A87" s="135" t="s">
        <v>4492</v>
      </c>
      <c r="B87" s="136" t="s">
        <v>4493</v>
      </c>
      <c r="C87" s="136" t="s">
        <v>1487</v>
      </c>
      <c r="D87" s="136" t="s">
        <v>232</v>
      </c>
      <c r="E87" s="136">
        <v>2025.0</v>
      </c>
      <c r="F87" s="136" t="s">
        <v>1006</v>
      </c>
      <c r="G87" s="136" t="s">
        <v>4041</v>
      </c>
      <c r="H87" s="136" t="s">
        <v>4494</v>
      </c>
      <c r="I87" s="136" t="s">
        <v>4043</v>
      </c>
      <c r="J87" s="136" t="s">
        <v>4495</v>
      </c>
      <c r="K87" s="136">
        <v>73.0</v>
      </c>
      <c r="L87" s="136">
        <v>41.0</v>
      </c>
      <c r="M87" s="136">
        <v>13.33333</v>
      </c>
      <c r="N87" s="136">
        <v>0.0</v>
      </c>
      <c r="O87" s="137">
        <v>13.33333</v>
      </c>
      <c r="P87" s="136">
        <v>100.0</v>
      </c>
      <c r="Q87" s="136">
        <v>13.33333</v>
      </c>
      <c r="R87" s="136" t="s">
        <v>4045</v>
      </c>
      <c r="S87" s="136">
        <v>20.0</v>
      </c>
      <c r="T87" s="136">
        <v>6.0</v>
      </c>
      <c r="U87" s="138">
        <v>45747.940347222226</v>
      </c>
      <c r="V87" s="139"/>
      <c r="W87" s="140"/>
      <c r="X87" s="140"/>
      <c r="Y87" s="140"/>
      <c r="Z87" s="140"/>
    </row>
    <row r="88">
      <c r="A88" s="135" t="s">
        <v>4496</v>
      </c>
      <c r="B88" s="136" t="s">
        <v>273</v>
      </c>
      <c r="C88" s="136" t="s">
        <v>1608</v>
      </c>
      <c r="D88" s="136" t="s">
        <v>4497</v>
      </c>
      <c r="E88" s="136">
        <v>2025.0</v>
      </c>
      <c r="F88" s="136" t="s">
        <v>1006</v>
      </c>
      <c r="G88" s="136" t="s">
        <v>4041</v>
      </c>
      <c r="H88" s="136" t="s">
        <v>4498</v>
      </c>
      <c r="I88" s="136" t="s">
        <v>4043</v>
      </c>
      <c r="J88" s="136" t="s">
        <v>4199</v>
      </c>
      <c r="K88" s="136">
        <v>73.0</v>
      </c>
      <c r="L88" s="136">
        <v>73.0</v>
      </c>
      <c r="M88" s="136">
        <v>32.63333</v>
      </c>
      <c r="N88" s="136">
        <v>0.0</v>
      </c>
      <c r="O88" s="137">
        <v>32.63333</v>
      </c>
      <c r="P88" s="136">
        <v>100.0</v>
      </c>
      <c r="Q88" s="136">
        <v>32.63333</v>
      </c>
      <c r="R88" s="136" t="s">
        <v>4045</v>
      </c>
      <c r="S88" s="136">
        <v>34.61539</v>
      </c>
      <c r="T88" s="136">
        <v>1.0</v>
      </c>
      <c r="U88" s="138">
        <v>45746.55554398148</v>
      </c>
      <c r="V88" s="139"/>
      <c r="W88" s="140"/>
      <c r="X88" s="140"/>
      <c r="Y88" s="140"/>
      <c r="Z88" s="140"/>
    </row>
    <row r="89">
      <c r="A89" s="135" t="s">
        <v>4499</v>
      </c>
      <c r="B89" s="136" t="s">
        <v>4500</v>
      </c>
      <c r="C89" s="136" t="s">
        <v>1627</v>
      </c>
      <c r="D89" s="136" t="s">
        <v>279</v>
      </c>
      <c r="E89" s="136">
        <v>2025.0</v>
      </c>
      <c r="F89" s="136" t="s">
        <v>1006</v>
      </c>
      <c r="G89" s="136" t="s">
        <v>4041</v>
      </c>
      <c r="H89" s="136" t="s">
        <v>4501</v>
      </c>
      <c r="I89" s="136" t="s">
        <v>4043</v>
      </c>
      <c r="J89" s="136" t="s">
        <v>4502</v>
      </c>
      <c r="K89" s="136">
        <v>73.0</v>
      </c>
      <c r="L89" s="136">
        <v>72.0</v>
      </c>
      <c r="M89" s="136">
        <v>66.0</v>
      </c>
      <c r="N89" s="136">
        <v>0.0</v>
      </c>
      <c r="O89" s="137">
        <v>66.0</v>
      </c>
      <c r="P89" s="136">
        <v>100.0</v>
      </c>
      <c r="Q89" s="136">
        <v>66.0</v>
      </c>
      <c r="R89" s="136" t="s">
        <v>4200</v>
      </c>
      <c r="S89" s="136">
        <v>76.92308</v>
      </c>
      <c r="T89" s="136">
        <v>2.0</v>
      </c>
      <c r="U89" s="138">
        <v>45747.849224537036</v>
      </c>
      <c r="V89" s="139"/>
      <c r="W89" s="140"/>
      <c r="X89" s="140"/>
      <c r="Y89" s="140"/>
      <c r="Z89" s="140"/>
    </row>
    <row r="90">
      <c r="A90" s="135" t="s">
        <v>4503</v>
      </c>
      <c r="B90" s="136" t="s">
        <v>300</v>
      </c>
      <c r="C90" s="136" t="s">
        <v>1684</v>
      </c>
      <c r="D90" s="136" t="s">
        <v>4504</v>
      </c>
      <c r="E90" s="136">
        <v>2025.0</v>
      </c>
      <c r="F90" s="136" t="s">
        <v>1006</v>
      </c>
      <c r="G90" s="136" t="s">
        <v>4041</v>
      </c>
      <c r="H90" s="136" t="s">
        <v>4505</v>
      </c>
      <c r="I90" s="136" t="s">
        <v>4043</v>
      </c>
      <c r="J90" s="136" t="s">
        <v>4506</v>
      </c>
      <c r="K90" s="136">
        <v>73.0</v>
      </c>
      <c r="L90" s="136">
        <v>72.0</v>
      </c>
      <c r="M90" s="136">
        <v>43.56667</v>
      </c>
      <c r="N90" s="136">
        <v>0.0</v>
      </c>
      <c r="O90" s="137">
        <v>43.56667</v>
      </c>
      <c r="P90" s="136">
        <v>100.0</v>
      </c>
      <c r="Q90" s="136">
        <v>43.56667</v>
      </c>
      <c r="R90" s="136" t="s">
        <v>4045</v>
      </c>
      <c r="S90" s="136">
        <v>54.92958</v>
      </c>
      <c r="T90" s="136">
        <v>1.0</v>
      </c>
      <c r="U90" s="138">
        <v>45746.92283564815</v>
      </c>
      <c r="V90" s="139"/>
      <c r="W90" s="140"/>
      <c r="X90" s="140"/>
      <c r="Y90" s="140"/>
      <c r="Z90" s="140"/>
    </row>
    <row r="91">
      <c r="A91" s="135" t="s">
        <v>4507</v>
      </c>
      <c r="B91" s="136" t="s">
        <v>302</v>
      </c>
      <c r="C91" s="136" t="s">
        <v>1690</v>
      </c>
      <c r="D91" s="136" t="s">
        <v>301</v>
      </c>
      <c r="E91" s="136">
        <v>2025.0</v>
      </c>
      <c r="F91" s="136" t="s">
        <v>1006</v>
      </c>
      <c r="G91" s="136" t="s">
        <v>4041</v>
      </c>
      <c r="H91" s="136" t="s">
        <v>4508</v>
      </c>
      <c r="I91" s="136" t="s">
        <v>4043</v>
      </c>
      <c r="J91" s="136" t="s">
        <v>4509</v>
      </c>
      <c r="K91" s="136">
        <v>73.0</v>
      </c>
      <c r="L91" s="136">
        <v>14.0</v>
      </c>
      <c r="M91" s="136">
        <v>8.0</v>
      </c>
      <c r="N91" s="136">
        <v>0.0</v>
      </c>
      <c r="O91" s="137">
        <v>8.0</v>
      </c>
      <c r="P91" s="136">
        <v>100.0</v>
      </c>
      <c r="Q91" s="136">
        <v>8.0</v>
      </c>
      <c r="R91" s="136" t="s">
        <v>4045</v>
      </c>
      <c r="S91" s="136">
        <v>57.14286</v>
      </c>
      <c r="T91" s="136">
        <v>3.0</v>
      </c>
      <c r="U91" s="138">
        <v>45747.51556712963</v>
      </c>
      <c r="V91" s="139"/>
      <c r="W91" s="140"/>
      <c r="X91" s="140"/>
      <c r="Y91" s="140"/>
      <c r="Z91" s="140"/>
    </row>
    <row r="92">
      <c r="A92" s="135" t="s">
        <v>4510</v>
      </c>
      <c r="B92" s="136" t="s">
        <v>354</v>
      </c>
      <c r="C92" s="136" t="s">
        <v>4511</v>
      </c>
      <c r="D92" s="136" t="s">
        <v>353</v>
      </c>
      <c r="E92" s="136">
        <v>2025.0</v>
      </c>
      <c r="F92" s="136" t="s">
        <v>1006</v>
      </c>
      <c r="G92" s="136" t="s">
        <v>4041</v>
      </c>
      <c r="H92" s="136" t="s">
        <v>4512</v>
      </c>
      <c r="I92" s="136" t="s">
        <v>4043</v>
      </c>
      <c r="J92" s="136" t="s">
        <v>4513</v>
      </c>
      <c r="K92" s="136">
        <v>73.0</v>
      </c>
      <c r="L92" s="136">
        <v>71.0</v>
      </c>
      <c r="M92" s="136">
        <v>47.03333</v>
      </c>
      <c r="N92" s="136">
        <v>0.0</v>
      </c>
      <c r="O92" s="137">
        <v>47.03333</v>
      </c>
      <c r="P92" s="136">
        <v>100.0</v>
      </c>
      <c r="Q92" s="136">
        <v>47.03333</v>
      </c>
      <c r="R92" s="136" t="s">
        <v>4045</v>
      </c>
      <c r="S92" s="136">
        <v>58.57143</v>
      </c>
      <c r="T92" s="136">
        <v>2.0</v>
      </c>
      <c r="U92" s="138">
        <v>45748.57530092593</v>
      </c>
      <c r="V92" s="139"/>
      <c r="W92" s="140"/>
      <c r="X92" s="140"/>
      <c r="Y92" s="140"/>
      <c r="Z92" s="140"/>
    </row>
    <row r="93">
      <c r="A93" s="135" t="s">
        <v>4514</v>
      </c>
      <c r="B93" s="136" t="s">
        <v>356</v>
      </c>
      <c r="C93" s="136" t="s">
        <v>1836</v>
      </c>
      <c r="D93" s="136" t="s">
        <v>355</v>
      </c>
      <c r="E93" s="136">
        <v>2025.0</v>
      </c>
      <c r="F93" s="136" t="s">
        <v>1006</v>
      </c>
      <c r="G93" s="136" t="s">
        <v>4041</v>
      </c>
      <c r="H93" s="136" t="s">
        <v>4515</v>
      </c>
      <c r="I93" s="136" t="s">
        <v>4043</v>
      </c>
      <c r="J93" s="136" t="s">
        <v>4516</v>
      </c>
      <c r="K93" s="136">
        <v>73.0</v>
      </c>
      <c r="L93" s="136">
        <v>71.0</v>
      </c>
      <c r="M93" s="136">
        <v>23.83333</v>
      </c>
      <c r="N93" s="136">
        <v>0.0</v>
      </c>
      <c r="O93" s="137">
        <v>23.83333</v>
      </c>
      <c r="P93" s="136">
        <v>100.0</v>
      </c>
      <c r="Q93" s="136">
        <v>23.83333</v>
      </c>
      <c r="R93" s="136" t="s">
        <v>4045</v>
      </c>
      <c r="S93" s="136">
        <v>32.85714</v>
      </c>
      <c r="T93" s="136">
        <v>1.0</v>
      </c>
      <c r="U93" s="138">
        <v>45746.92638888889</v>
      </c>
      <c r="V93" s="139"/>
      <c r="W93" s="140"/>
      <c r="X93" s="140"/>
      <c r="Y93" s="140"/>
      <c r="Z93" s="140"/>
    </row>
    <row r="94">
      <c r="A94" s="135" t="s">
        <v>4517</v>
      </c>
      <c r="B94" s="136" t="s">
        <v>364</v>
      </c>
      <c r="C94" s="136" t="s">
        <v>1858</v>
      </c>
      <c r="D94" s="136" t="s">
        <v>4518</v>
      </c>
      <c r="E94" s="136">
        <v>2025.0</v>
      </c>
      <c r="F94" s="136" t="s">
        <v>1006</v>
      </c>
      <c r="G94" s="136" t="s">
        <v>4041</v>
      </c>
      <c r="H94" s="136" t="s">
        <v>4519</v>
      </c>
      <c r="I94" s="136" t="s">
        <v>4043</v>
      </c>
      <c r="J94" s="136" t="s">
        <v>4520</v>
      </c>
      <c r="K94" s="136">
        <v>73.0</v>
      </c>
      <c r="L94" s="136">
        <v>70.0</v>
      </c>
      <c r="M94" s="136">
        <v>49.66667</v>
      </c>
      <c r="N94" s="136">
        <v>0.0</v>
      </c>
      <c r="O94" s="137">
        <v>49.66667</v>
      </c>
      <c r="P94" s="136">
        <v>100.0</v>
      </c>
      <c r="Q94" s="136">
        <v>49.66667</v>
      </c>
      <c r="R94" s="136" t="s">
        <v>4045</v>
      </c>
      <c r="S94" s="136">
        <v>62.31884</v>
      </c>
      <c r="T94" s="136">
        <v>2.0</v>
      </c>
      <c r="U94" s="138">
        <v>45746.70681712963</v>
      </c>
      <c r="V94" s="139"/>
      <c r="W94" s="140"/>
      <c r="X94" s="140"/>
      <c r="Y94" s="140"/>
      <c r="Z94" s="140"/>
    </row>
    <row r="95">
      <c r="A95" s="135" t="s">
        <v>4521</v>
      </c>
      <c r="B95" s="136" t="s">
        <v>368</v>
      </c>
      <c r="C95" s="136" t="s">
        <v>1866</v>
      </c>
      <c r="D95" s="136" t="s">
        <v>4522</v>
      </c>
      <c r="E95" s="136">
        <v>2025.0</v>
      </c>
      <c r="F95" s="136" t="s">
        <v>1006</v>
      </c>
      <c r="G95" s="136" t="s">
        <v>4041</v>
      </c>
      <c r="H95" s="136" t="s">
        <v>4523</v>
      </c>
      <c r="I95" s="136" t="s">
        <v>4043</v>
      </c>
      <c r="J95" s="136" t="s">
        <v>4524</v>
      </c>
      <c r="K95" s="136">
        <v>73.0</v>
      </c>
      <c r="L95" s="136">
        <v>71.0</v>
      </c>
      <c r="M95" s="136">
        <v>29.53333</v>
      </c>
      <c r="N95" s="136">
        <v>0.0</v>
      </c>
      <c r="O95" s="137">
        <v>29.53333</v>
      </c>
      <c r="P95" s="136">
        <v>100.0</v>
      </c>
      <c r="Q95" s="136">
        <v>29.53333</v>
      </c>
      <c r="R95" s="136" t="s">
        <v>4045</v>
      </c>
      <c r="S95" s="136">
        <v>23.68421</v>
      </c>
      <c r="T95" s="136">
        <v>1.0</v>
      </c>
      <c r="U95" s="138">
        <v>45747.49462962963</v>
      </c>
      <c r="V95" s="139"/>
      <c r="W95" s="140"/>
      <c r="X95" s="140"/>
      <c r="Y95" s="140"/>
      <c r="Z95" s="140"/>
    </row>
    <row r="96">
      <c r="A96" s="135" t="s">
        <v>4525</v>
      </c>
      <c r="B96" s="136" t="s">
        <v>396</v>
      </c>
      <c r="C96" s="136" t="s">
        <v>1954</v>
      </c>
      <c r="D96" s="136" t="s">
        <v>395</v>
      </c>
      <c r="E96" s="136">
        <v>2025.0</v>
      </c>
      <c r="F96" s="136" t="s">
        <v>1006</v>
      </c>
      <c r="G96" s="136" t="s">
        <v>4041</v>
      </c>
      <c r="H96" s="136" t="s">
        <v>4526</v>
      </c>
      <c r="I96" s="136" t="s">
        <v>4043</v>
      </c>
      <c r="J96" s="136" t="s">
        <v>4527</v>
      </c>
      <c r="K96" s="136">
        <v>73.0</v>
      </c>
      <c r="L96" s="136">
        <v>72.0</v>
      </c>
      <c r="M96" s="136">
        <v>66.66667</v>
      </c>
      <c r="N96" s="136">
        <v>0.0</v>
      </c>
      <c r="O96" s="137">
        <v>66.66667</v>
      </c>
      <c r="P96" s="136">
        <v>100.0</v>
      </c>
      <c r="Q96" s="136">
        <v>66.66667</v>
      </c>
      <c r="R96" s="136" t="s">
        <v>4200</v>
      </c>
      <c r="S96" s="136">
        <v>74.32432</v>
      </c>
      <c r="T96" s="136">
        <v>1.0</v>
      </c>
      <c r="U96" s="138">
        <v>45746.72206018519</v>
      </c>
      <c r="V96" s="139"/>
      <c r="W96" s="140"/>
      <c r="X96" s="140"/>
      <c r="Y96" s="140"/>
      <c r="Z96" s="140"/>
    </row>
    <row r="97">
      <c r="A97" s="135" t="s">
        <v>4528</v>
      </c>
      <c r="B97" s="136" t="s">
        <v>398</v>
      </c>
      <c r="C97" s="136" t="s">
        <v>4529</v>
      </c>
      <c r="D97" s="136" t="s">
        <v>397</v>
      </c>
      <c r="E97" s="136">
        <v>2025.0</v>
      </c>
      <c r="F97" s="136" t="s">
        <v>1006</v>
      </c>
      <c r="G97" s="136" t="s">
        <v>4041</v>
      </c>
      <c r="H97" s="136" t="s">
        <v>4530</v>
      </c>
      <c r="I97" s="136" t="s">
        <v>4043</v>
      </c>
      <c r="J97" s="136" t="s">
        <v>4531</v>
      </c>
      <c r="K97" s="136">
        <v>73.0</v>
      </c>
      <c r="L97" s="136">
        <v>73.0</v>
      </c>
      <c r="M97" s="136">
        <v>68.23333</v>
      </c>
      <c r="N97" s="136">
        <v>0.0</v>
      </c>
      <c r="O97" s="137">
        <v>68.23333</v>
      </c>
      <c r="P97" s="136">
        <v>100.0</v>
      </c>
      <c r="Q97" s="136">
        <v>68.23333</v>
      </c>
      <c r="R97" s="136" t="s">
        <v>4200</v>
      </c>
      <c r="S97" s="136">
        <v>73.07692</v>
      </c>
      <c r="T97" s="136">
        <v>1.0</v>
      </c>
      <c r="U97" s="138">
        <v>45745.92172453704</v>
      </c>
      <c r="V97" s="139"/>
      <c r="W97" s="140"/>
      <c r="X97" s="140"/>
      <c r="Y97" s="140"/>
      <c r="Z97" s="140"/>
    </row>
    <row r="98">
      <c r="A98" s="135" t="s">
        <v>4532</v>
      </c>
      <c r="B98" s="136" t="s">
        <v>411</v>
      </c>
      <c r="C98" s="136" t="s">
        <v>1998</v>
      </c>
      <c r="D98" s="136" t="s">
        <v>410</v>
      </c>
      <c r="E98" s="136">
        <v>2025.0</v>
      </c>
      <c r="F98" s="136" t="s">
        <v>1006</v>
      </c>
      <c r="G98" s="136" t="s">
        <v>4041</v>
      </c>
      <c r="H98" s="136" t="s">
        <v>4533</v>
      </c>
      <c r="I98" s="136" t="s">
        <v>4043</v>
      </c>
      <c r="J98" s="136" t="s">
        <v>4044</v>
      </c>
      <c r="K98" s="136">
        <v>73.0</v>
      </c>
      <c r="L98" s="136">
        <v>72.0</v>
      </c>
      <c r="M98" s="136">
        <v>55.7</v>
      </c>
      <c r="N98" s="136">
        <v>0.0</v>
      </c>
      <c r="O98" s="137">
        <v>55.7</v>
      </c>
      <c r="P98" s="136">
        <v>100.0</v>
      </c>
      <c r="Q98" s="136">
        <v>55.7</v>
      </c>
      <c r="R98" s="136" t="s">
        <v>4045</v>
      </c>
      <c r="S98" s="136">
        <v>59.45946</v>
      </c>
      <c r="T98" s="136">
        <v>2.0</v>
      </c>
      <c r="U98" s="138">
        <v>45746.942094907405</v>
      </c>
      <c r="V98" s="139"/>
      <c r="W98" s="140"/>
      <c r="X98" s="140"/>
      <c r="Y98" s="140"/>
      <c r="Z98" s="140"/>
    </row>
    <row r="99">
      <c r="A99" s="135" t="s">
        <v>4534</v>
      </c>
      <c r="B99" s="136" t="s">
        <v>483</v>
      </c>
      <c r="C99" s="136" t="s">
        <v>2192</v>
      </c>
      <c r="D99" s="136" t="s">
        <v>482</v>
      </c>
      <c r="E99" s="136">
        <v>2025.0</v>
      </c>
      <c r="F99" s="136" t="s">
        <v>1006</v>
      </c>
      <c r="G99" s="136" t="s">
        <v>4041</v>
      </c>
      <c r="H99" s="136" t="s">
        <v>4535</v>
      </c>
      <c r="I99" s="136" t="s">
        <v>4043</v>
      </c>
      <c r="J99" s="136" t="s">
        <v>4536</v>
      </c>
      <c r="K99" s="136">
        <v>73.0</v>
      </c>
      <c r="L99" s="136">
        <v>71.0</v>
      </c>
      <c r="M99" s="136">
        <v>52.43333</v>
      </c>
      <c r="N99" s="136">
        <v>0.0</v>
      </c>
      <c r="O99" s="137">
        <v>52.43333</v>
      </c>
      <c r="P99" s="136">
        <v>100.0</v>
      </c>
      <c r="Q99" s="136">
        <v>52.43333</v>
      </c>
      <c r="R99" s="136" t="s">
        <v>4045</v>
      </c>
      <c r="S99" s="136">
        <v>67.14286</v>
      </c>
      <c r="T99" s="136">
        <v>2.0</v>
      </c>
      <c r="U99" s="138">
        <v>45746.793229166666</v>
      </c>
      <c r="V99" s="139"/>
      <c r="W99" s="140"/>
      <c r="X99" s="140"/>
      <c r="Y99" s="140"/>
      <c r="Z99" s="140"/>
    </row>
    <row r="100">
      <c r="A100" s="135" t="s">
        <v>4537</v>
      </c>
      <c r="B100" s="136" t="s">
        <v>498</v>
      </c>
      <c r="C100" s="136" t="s">
        <v>2238</v>
      </c>
      <c r="D100" s="136" t="s">
        <v>4538</v>
      </c>
      <c r="E100" s="136">
        <v>2025.0</v>
      </c>
      <c r="F100" s="136" t="s">
        <v>1006</v>
      </c>
      <c r="G100" s="136" t="s">
        <v>4041</v>
      </c>
      <c r="H100" s="136" t="s">
        <v>4539</v>
      </c>
      <c r="I100" s="136" t="s">
        <v>4043</v>
      </c>
      <c r="J100" s="136" t="s">
        <v>4540</v>
      </c>
      <c r="K100" s="136">
        <v>73.0</v>
      </c>
      <c r="L100" s="136">
        <v>71.0</v>
      </c>
      <c r="M100" s="136">
        <v>34.8</v>
      </c>
      <c r="N100" s="136">
        <v>0.0</v>
      </c>
      <c r="O100" s="137">
        <v>34.8</v>
      </c>
      <c r="P100" s="136">
        <v>100.0</v>
      </c>
      <c r="Q100" s="136">
        <v>34.8</v>
      </c>
      <c r="R100" s="136" t="s">
        <v>4045</v>
      </c>
      <c r="S100" s="136">
        <v>41.42857</v>
      </c>
      <c r="T100" s="136">
        <v>1.0</v>
      </c>
      <c r="U100" s="138">
        <v>45746.937476851854</v>
      </c>
      <c r="V100" s="139"/>
      <c r="W100" s="140"/>
      <c r="X100" s="140"/>
      <c r="Y100" s="140"/>
      <c r="Z100" s="140"/>
    </row>
    <row r="101">
      <c r="A101" s="135" t="s">
        <v>4541</v>
      </c>
      <c r="B101" s="136" t="s">
        <v>502</v>
      </c>
      <c r="C101" s="136" t="s">
        <v>2252</v>
      </c>
      <c r="D101" s="136" t="s">
        <v>4542</v>
      </c>
      <c r="E101" s="136">
        <v>2025.0</v>
      </c>
      <c r="F101" s="136" t="s">
        <v>1006</v>
      </c>
      <c r="G101" s="136" t="s">
        <v>4041</v>
      </c>
      <c r="H101" s="136" t="s">
        <v>4543</v>
      </c>
      <c r="I101" s="136" t="s">
        <v>4043</v>
      </c>
      <c r="J101" s="136" t="s">
        <v>4544</v>
      </c>
      <c r="K101" s="136">
        <v>73.0</v>
      </c>
      <c r="L101" s="136">
        <v>72.0</v>
      </c>
      <c r="M101" s="136">
        <v>41.83333</v>
      </c>
      <c r="N101" s="136">
        <v>0.0</v>
      </c>
      <c r="O101" s="137">
        <v>41.83333</v>
      </c>
      <c r="P101" s="136">
        <v>100.0</v>
      </c>
      <c r="Q101" s="136">
        <v>41.83333</v>
      </c>
      <c r="R101" s="136" t="s">
        <v>4045</v>
      </c>
      <c r="S101" s="136">
        <v>55.40541</v>
      </c>
      <c r="T101" s="136">
        <v>1.0</v>
      </c>
      <c r="U101" s="138">
        <v>45746.92438657407</v>
      </c>
      <c r="V101" s="139"/>
      <c r="W101" s="140"/>
      <c r="X101" s="140"/>
      <c r="Y101" s="140"/>
      <c r="Z101" s="140"/>
    </row>
    <row r="102">
      <c r="A102" s="135" t="s">
        <v>4545</v>
      </c>
      <c r="B102" s="136" t="s">
        <v>550</v>
      </c>
      <c r="C102" s="136" t="s">
        <v>2392</v>
      </c>
      <c r="D102" s="136" t="s">
        <v>549</v>
      </c>
      <c r="E102" s="136">
        <v>2025.0</v>
      </c>
      <c r="F102" s="136" t="s">
        <v>1006</v>
      </c>
      <c r="G102" s="136" t="s">
        <v>4041</v>
      </c>
      <c r="H102" s="136" t="s">
        <v>4546</v>
      </c>
      <c r="I102" s="136" t="s">
        <v>4043</v>
      </c>
      <c r="J102" s="136" t="s">
        <v>4547</v>
      </c>
      <c r="K102" s="136">
        <v>73.0</v>
      </c>
      <c r="L102" s="136">
        <v>73.0</v>
      </c>
      <c r="M102" s="136">
        <v>76.83333</v>
      </c>
      <c r="N102" s="136">
        <v>0.0</v>
      </c>
      <c r="O102" s="137">
        <v>76.83333</v>
      </c>
      <c r="P102" s="136">
        <v>100.0</v>
      </c>
      <c r="Q102" s="136">
        <v>76.83333</v>
      </c>
      <c r="R102" s="136" t="s">
        <v>4200</v>
      </c>
      <c r="S102" s="136">
        <v>83.33333</v>
      </c>
      <c r="T102" s="136">
        <v>2.0</v>
      </c>
      <c r="U102" s="138">
        <v>45746.93546296296</v>
      </c>
      <c r="V102" s="139"/>
      <c r="W102" s="140"/>
      <c r="X102" s="140"/>
      <c r="Y102" s="140"/>
      <c r="Z102" s="140"/>
    </row>
    <row r="103">
      <c r="A103" s="135" t="s">
        <v>4548</v>
      </c>
      <c r="B103" s="136" t="s">
        <v>552</v>
      </c>
      <c r="C103" s="136" t="s">
        <v>2399</v>
      </c>
      <c r="D103" s="136" t="s">
        <v>551</v>
      </c>
      <c r="E103" s="136">
        <v>2025.0</v>
      </c>
      <c r="F103" s="136" t="s">
        <v>1006</v>
      </c>
      <c r="G103" s="136" t="s">
        <v>4041</v>
      </c>
      <c r="H103" s="136" t="s">
        <v>4549</v>
      </c>
      <c r="I103" s="136" t="s">
        <v>4043</v>
      </c>
      <c r="J103" s="136" t="s">
        <v>4550</v>
      </c>
      <c r="K103" s="136">
        <v>73.0</v>
      </c>
      <c r="L103" s="136">
        <v>64.0</v>
      </c>
      <c r="M103" s="136">
        <v>34.16667</v>
      </c>
      <c r="N103" s="136">
        <v>0.0</v>
      </c>
      <c r="O103" s="137">
        <v>34.16667</v>
      </c>
      <c r="P103" s="136">
        <v>100.0</v>
      </c>
      <c r="Q103" s="136">
        <v>34.16667</v>
      </c>
      <c r="R103" s="136" t="s">
        <v>4045</v>
      </c>
      <c r="S103" s="136">
        <v>47.61905</v>
      </c>
      <c r="T103" s="136">
        <v>1.0</v>
      </c>
      <c r="U103" s="138">
        <v>45747.68858796296</v>
      </c>
      <c r="V103" s="139"/>
      <c r="W103" s="140"/>
      <c r="X103" s="140"/>
      <c r="Y103" s="140"/>
      <c r="Z103" s="140"/>
    </row>
    <row r="104">
      <c r="A104" s="135" t="s">
        <v>4551</v>
      </c>
      <c r="B104" s="136" t="s">
        <v>578</v>
      </c>
      <c r="C104" s="136" t="s">
        <v>2477</v>
      </c>
      <c r="D104" s="136" t="s">
        <v>577</v>
      </c>
      <c r="E104" s="136">
        <v>2025.0</v>
      </c>
      <c r="F104" s="136" t="s">
        <v>1006</v>
      </c>
      <c r="G104" s="136" t="s">
        <v>4041</v>
      </c>
      <c r="H104" s="136" t="s">
        <v>4552</v>
      </c>
      <c r="I104" s="136" t="s">
        <v>4043</v>
      </c>
      <c r="J104" s="136" t="s">
        <v>4281</v>
      </c>
      <c r="K104" s="136">
        <v>73.0</v>
      </c>
      <c r="L104" s="136">
        <v>72.0</v>
      </c>
      <c r="M104" s="136">
        <v>46.83333</v>
      </c>
      <c r="N104" s="136">
        <v>0.0</v>
      </c>
      <c r="O104" s="137">
        <v>46.83333</v>
      </c>
      <c r="P104" s="136">
        <v>100.0</v>
      </c>
      <c r="Q104" s="136">
        <v>46.83333</v>
      </c>
      <c r="R104" s="136" t="s">
        <v>4045</v>
      </c>
      <c r="S104" s="136">
        <v>52.7027</v>
      </c>
      <c r="T104" s="136">
        <v>1.0</v>
      </c>
      <c r="U104" s="138">
        <v>45748.65130787037</v>
      </c>
      <c r="V104" s="139"/>
      <c r="W104" s="140"/>
      <c r="X104" s="140"/>
      <c r="Y104" s="140"/>
      <c r="Z104" s="140"/>
    </row>
    <row r="105">
      <c r="A105" s="135" t="s">
        <v>4553</v>
      </c>
      <c r="B105" s="136" t="s">
        <v>603</v>
      </c>
      <c r="C105" s="136" t="s">
        <v>2558</v>
      </c>
      <c r="D105" s="136" t="s">
        <v>4554</v>
      </c>
      <c r="E105" s="136">
        <v>2025.0</v>
      </c>
      <c r="F105" s="136" t="s">
        <v>1006</v>
      </c>
      <c r="G105" s="136" t="s">
        <v>4041</v>
      </c>
      <c r="H105" s="136" t="s">
        <v>4555</v>
      </c>
      <c r="I105" s="136" t="s">
        <v>4043</v>
      </c>
      <c r="J105" s="136" t="s">
        <v>4556</v>
      </c>
      <c r="K105" s="136">
        <v>73.0</v>
      </c>
      <c r="L105" s="136">
        <v>72.0</v>
      </c>
      <c r="M105" s="136">
        <v>38.16667</v>
      </c>
      <c r="N105" s="136">
        <v>0.0</v>
      </c>
      <c r="O105" s="137">
        <v>38.16667</v>
      </c>
      <c r="P105" s="136">
        <v>100.0</v>
      </c>
      <c r="Q105" s="136">
        <v>38.16667</v>
      </c>
      <c r="R105" s="136" t="s">
        <v>4045</v>
      </c>
      <c r="S105" s="136">
        <v>43.24324</v>
      </c>
      <c r="T105" s="136">
        <v>4.0</v>
      </c>
      <c r="U105" s="138">
        <v>45746.68340277778</v>
      </c>
      <c r="V105" s="139"/>
      <c r="W105" s="140"/>
      <c r="X105" s="140"/>
      <c r="Y105" s="140"/>
      <c r="Z105" s="140"/>
    </row>
    <row r="106">
      <c r="A106" s="135" t="s">
        <v>4557</v>
      </c>
      <c r="B106" s="136" t="s">
        <v>4558</v>
      </c>
      <c r="C106" s="136" t="s">
        <v>2565</v>
      </c>
      <c r="D106" s="136" t="s">
        <v>605</v>
      </c>
      <c r="E106" s="136">
        <v>2025.0</v>
      </c>
      <c r="F106" s="136" t="s">
        <v>1006</v>
      </c>
      <c r="G106" s="136" t="s">
        <v>4041</v>
      </c>
      <c r="H106" s="136" t="s">
        <v>4559</v>
      </c>
      <c r="I106" s="136" t="s">
        <v>4043</v>
      </c>
      <c r="J106" s="136" t="s">
        <v>4253</v>
      </c>
      <c r="K106" s="136">
        <v>73.0</v>
      </c>
      <c r="L106" s="136">
        <v>70.0</v>
      </c>
      <c r="M106" s="136">
        <v>23.0</v>
      </c>
      <c r="N106" s="136">
        <v>0.0</v>
      </c>
      <c r="O106" s="137">
        <v>23.0</v>
      </c>
      <c r="P106" s="136">
        <v>100.0</v>
      </c>
      <c r="Q106" s="136">
        <v>23.0</v>
      </c>
      <c r="R106" s="136" t="s">
        <v>4045</v>
      </c>
      <c r="S106" s="136">
        <v>32.85714</v>
      </c>
      <c r="T106" s="136">
        <v>0.0</v>
      </c>
      <c r="U106" s="138">
        <v>45748.059016203704</v>
      </c>
      <c r="V106" s="139"/>
      <c r="W106" s="140"/>
      <c r="X106" s="140"/>
      <c r="Y106" s="140"/>
      <c r="Z106" s="140"/>
    </row>
    <row r="107">
      <c r="A107" s="135" t="s">
        <v>4560</v>
      </c>
      <c r="B107" s="136" t="s">
        <v>4561</v>
      </c>
      <c r="C107" s="136" t="s">
        <v>2592</v>
      </c>
      <c r="D107" s="136" t="s">
        <v>614</v>
      </c>
      <c r="E107" s="136">
        <v>2025.0</v>
      </c>
      <c r="F107" s="136" t="s">
        <v>1006</v>
      </c>
      <c r="G107" s="136" t="s">
        <v>4041</v>
      </c>
      <c r="H107" s="136" t="s">
        <v>4562</v>
      </c>
      <c r="I107" s="136" t="s">
        <v>4043</v>
      </c>
      <c r="J107" s="136" t="s">
        <v>4115</v>
      </c>
      <c r="K107" s="136">
        <v>73.0</v>
      </c>
      <c r="L107" s="136">
        <v>71.0</v>
      </c>
      <c r="M107" s="136">
        <v>51.6</v>
      </c>
      <c r="N107" s="136">
        <v>0.0</v>
      </c>
      <c r="O107" s="137">
        <v>51.6</v>
      </c>
      <c r="P107" s="136">
        <v>100.0</v>
      </c>
      <c r="Q107" s="136">
        <v>51.6</v>
      </c>
      <c r="R107" s="136" t="s">
        <v>4045</v>
      </c>
      <c r="S107" s="136">
        <v>67.14286</v>
      </c>
      <c r="T107" s="136">
        <v>1.0</v>
      </c>
      <c r="U107" s="138">
        <v>45747.48607638889</v>
      </c>
      <c r="V107" s="139"/>
      <c r="W107" s="140"/>
      <c r="X107" s="140"/>
      <c r="Y107" s="140"/>
      <c r="Z107" s="140"/>
    </row>
    <row r="108">
      <c r="A108" s="135" t="s">
        <v>4563</v>
      </c>
      <c r="B108" s="136" t="s">
        <v>624</v>
      </c>
      <c r="C108" s="136" t="s">
        <v>2611</v>
      </c>
      <c r="D108" s="136" t="s">
        <v>623</v>
      </c>
      <c r="E108" s="136">
        <v>2025.0</v>
      </c>
      <c r="F108" s="136" t="s">
        <v>1006</v>
      </c>
      <c r="G108" s="136" t="s">
        <v>4041</v>
      </c>
      <c r="H108" s="136" t="s">
        <v>4564</v>
      </c>
      <c r="I108" s="136" t="s">
        <v>4043</v>
      </c>
      <c r="J108" s="136" t="s">
        <v>4565</v>
      </c>
      <c r="K108" s="136">
        <v>73.0</v>
      </c>
      <c r="L108" s="136">
        <v>71.0</v>
      </c>
      <c r="M108" s="136">
        <v>34.86667</v>
      </c>
      <c r="N108" s="136">
        <v>0.0</v>
      </c>
      <c r="O108" s="137">
        <v>34.86667</v>
      </c>
      <c r="P108" s="136">
        <v>100.0</v>
      </c>
      <c r="Q108" s="136">
        <v>34.86667</v>
      </c>
      <c r="R108" s="136" t="s">
        <v>4045</v>
      </c>
      <c r="S108" s="136">
        <v>45.71429</v>
      </c>
      <c r="T108" s="136">
        <v>4.0</v>
      </c>
      <c r="U108" s="138">
        <v>45748.46439814815</v>
      </c>
      <c r="V108" s="139"/>
      <c r="W108" s="140"/>
      <c r="X108" s="140"/>
      <c r="Y108" s="140"/>
      <c r="Z108" s="140"/>
    </row>
    <row r="109">
      <c r="A109" s="135" t="s">
        <v>4566</v>
      </c>
      <c r="B109" s="136" t="s">
        <v>626</v>
      </c>
      <c r="C109" s="136" t="s">
        <v>2617</v>
      </c>
      <c r="D109" s="136" t="s">
        <v>625</v>
      </c>
      <c r="E109" s="136">
        <v>2025.0</v>
      </c>
      <c r="F109" s="136" t="s">
        <v>1006</v>
      </c>
      <c r="G109" s="136" t="s">
        <v>4041</v>
      </c>
      <c r="H109" s="136" t="s">
        <v>4567</v>
      </c>
      <c r="I109" s="136" t="s">
        <v>4043</v>
      </c>
      <c r="J109" s="136" t="s">
        <v>4568</v>
      </c>
      <c r="K109" s="136">
        <v>73.0</v>
      </c>
      <c r="L109" s="136">
        <v>72.0</v>
      </c>
      <c r="M109" s="136">
        <v>64.4</v>
      </c>
      <c r="N109" s="136">
        <v>0.0</v>
      </c>
      <c r="O109" s="137">
        <v>64.4</v>
      </c>
      <c r="P109" s="136">
        <v>100.0</v>
      </c>
      <c r="Q109" s="136">
        <v>64.4</v>
      </c>
      <c r="R109" s="136" t="s">
        <v>4200</v>
      </c>
      <c r="S109" s="136">
        <v>72.97297</v>
      </c>
      <c r="T109" s="136">
        <v>1.0</v>
      </c>
      <c r="U109" s="138">
        <v>45746.64096064815</v>
      </c>
      <c r="V109" s="139"/>
      <c r="W109" s="140"/>
      <c r="X109" s="140"/>
      <c r="Y109" s="140"/>
      <c r="Z109" s="140"/>
    </row>
    <row r="110">
      <c r="A110" s="135" t="s">
        <v>4569</v>
      </c>
      <c r="B110" s="136" t="s">
        <v>4570</v>
      </c>
      <c r="C110" s="136" t="s">
        <v>2629</v>
      </c>
      <c r="D110" s="136" t="s">
        <v>630</v>
      </c>
      <c r="E110" s="136">
        <v>2025.0</v>
      </c>
      <c r="F110" s="136" t="s">
        <v>1006</v>
      </c>
      <c r="G110" s="136" t="s">
        <v>4041</v>
      </c>
      <c r="H110" s="136" t="s">
        <v>4571</v>
      </c>
      <c r="I110" s="136" t="s">
        <v>4043</v>
      </c>
      <c r="J110" s="136" t="s">
        <v>4572</v>
      </c>
      <c r="K110" s="136">
        <v>73.0</v>
      </c>
      <c r="L110" s="136">
        <v>73.0</v>
      </c>
      <c r="M110" s="136">
        <v>60.2</v>
      </c>
      <c r="N110" s="136">
        <v>0.0</v>
      </c>
      <c r="O110" s="137">
        <v>60.2</v>
      </c>
      <c r="P110" s="136">
        <v>100.0</v>
      </c>
      <c r="Q110" s="136">
        <v>60.2</v>
      </c>
      <c r="R110" s="136" t="s">
        <v>4200</v>
      </c>
      <c r="S110" s="136">
        <v>62.82051</v>
      </c>
      <c r="T110" s="136">
        <v>2.0</v>
      </c>
      <c r="U110" s="138">
        <v>45746.939305555556</v>
      </c>
      <c r="V110" s="139"/>
      <c r="W110" s="140"/>
      <c r="X110" s="140"/>
      <c r="Y110" s="140"/>
      <c r="Z110" s="140"/>
    </row>
    <row r="111">
      <c r="A111" s="135" t="s">
        <v>4573</v>
      </c>
      <c r="B111" s="136" t="s">
        <v>4574</v>
      </c>
      <c r="C111" s="136" t="s">
        <v>2643</v>
      </c>
      <c r="D111" s="136" t="s">
        <v>4575</v>
      </c>
      <c r="E111" s="136">
        <v>2025.0</v>
      </c>
      <c r="F111" s="136" t="s">
        <v>1006</v>
      </c>
      <c r="G111" s="136" t="s">
        <v>4041</v>
      </c>
      <c r="H111" s="136" t="s">
        <v>4576</v>
      </c>
      <c r="I111" s="136" t="s">
        <v>4043</v>
      </c>
      <c r="J111" s="136" t="s">
        <v>4577</v>
      </c>
      <c r="K111" s="136">
        <v>73.0</v>
      </c>
      <c r="L111" s="136">
        <v>71.0</v>
      </c>
      <c r="M111" s="136">
        <v>31.7</v>
      </c>
      <c r="N111" s="136">
        <v>0.0</v>
      </c>
      <c r="O111" s="137">
        <v>31.7</v>
      </c>
      <c r="P111" s="136">
        <v>100.0</v>
      </c>
      <c r="Q111" s="136">
        <v>31.7</v>
      </c>
      <c r="R111" s="136" t="s">
        <v>4045</v>
      </c>
      <c r="S111" s="136">
        <v>37.14286</v>
      </c>
      <c r="T111" s="136">
        <v>2.0</v>
      </c>
      <c r="U111" s="138">
        <v>45745.8175</v>
      </c>
      <c r="V111" s="139"/>
      <c r="W111" s="140"/>
      <c r="X111" s="140"/>
      <c r="Y111" s="140"/>
      <c r="Z111" s="140"/>
    </row>
    <row r="112">
      <c r="A112" s="135" t="s">
        <v>4578</v>
      </c>
      <c r="B112" s="136" t="s">
        <v>643</v>
      </c>
      <c r="C112" s="136" t="s">
        <v>2663</v>
      </c>
      <c r="D112" s="136" t="s">
        <v>642</v>
      </c>
      <c r="E112" s="136">
        <v>2025.0</v>
      </c>
      <c r="F112" s="136" t="s">
        <v>1006</v>
      </c>
      <c r="G112" s="136" t="s">
        <v>4041</v>
      </c>
      <c r="H112" s="136" t="s">
        <v>4579</v>
      </c>
      <c r="I112" s="136" t="s">
        <v>4043</v>
      </c>
      <c r="J112" s="136" t="s">
        <v>4580</v>
      </c>
      <c r="K112" s="136">
        <v>73.0</v>
      </c>
      <c r="L112" s="136">
        <v>73.0</v>
      </c>
      <c r="M112" s="136">
        <v>72.26667</v>
      </c>
      <c r="N112" s="136">
        <v>0.0</v>
      </c>
      <c r="O112" s="137">
        <v>72.26667</v>
      </c>
      <c r="P112" s="136">
        <v>100.0</v>
      </c>
      <c r="Q112" s="136">
        <v>72.26667</v>
      </c>
      <c r="R112" s="136" t="s">
        <v>4200</v>
      </c>
      <c r="S112" s="136">
        <v>78.20513</v>
      </c>
      <c r="T112" s="136">
        <v>1.0</v>
      </c>
      <c r="U112" s="138">
        <v>45746.913136574076</v>
      </c>
      <c r="V112" s="139"/>
      <c r="W112" s="140"/>
      <c r="X112" s="140"/>
      <c r="Y112" s="140"/>
      <c r="Z112" s="140"/>
    </row>
    <row r="113">
      <c r="A113" s="135" t="s">
        <v>4581</v>
      </c>
      <c r="B113" s="136" t="s">
        <v>651</v>
      </c>
      <c r="C113" s="136" t="s">
        <v>4582</v>
      </c>
      <c r="D113" s="136" t="s">
        <v>650</v>
      </c>
      <c r="E113" s="136">
        <v>2025.0</v>
      </c>
      <c r="F113" s="136" t="s">
        <v>1006</v>
      </c>
      <c r="G113" s="136" t="s">
        <v>4041</v>
      </c>
      <c r="H113" s="136" t="s">
        <v>4583</v>
      </c>
      <c r="I113" s="136" t="s">
        <v>4043</v>
      </c>
      <c r="J113" s="136" t="s">
        <v>4097</v>
      </c>
      <c r="K113" s="136">
        <v>73.0</v>
      </c>
      <c r="L113" s="136">
        <v>70.0</v>
      </c>
      <c r="M113" s="136">
        <v>52.0</v>
      </c>
      <c r="N113" s="136">
        <v>0.0</v>
      </c>
      <c r="O113" s="137">
        <v>52.0</v>
      </c>
      <c r="P113" s="136">
        <v>100.0</v>
      </c>
      <c r="Q113" s="136">
        <v>52.0</v>
      </c>
      <c r="R113" s="136" t="s">
        <v>4045</v>
      </c>
      <c r="S113" s="136">
        <v>74.28571</v>
      </c>
      <c r="T113" s="136">
        <v>2.0</v>
      </c>
      <c r="U113" s="138">
        <v>45748.734143518515</v>
      </c>
      <c r="V113" s="139"/>
      <c r="W113" s="140"/>
      <c r="X113" s="140"/>
      <c r="Y113" s="140"/>
      <c r="Z113" s="140"/>
    </row>
    <row r="114">
      <c r="A114" s="135" t="s">
        <v>4584</v>
      </c>
      <c r="B114" s="136" t="s">
        <v>653</v>
      </c>
      <c r="C114" s="136" t="s">
        <v>4585</v>
      </c>
      <c r="D114" s="136" t="s">
        <v>652</v>
      </c>
      <c r="E114" s="136">
        <v>2025.0</v>
      </c>
      <c r="F114" s="136" t="s">
        <v>1006</v>
      </c>
      <c r="G114" s="136" t="s">
        <v>4041</v>
      </c>
      <c r="H114" s="136" t="s">
        <v>4586</v>
      </c>
      <c r="I114" s="136" t="s">
        <v>4043</v>
      </c>
      <c r="J114" s="136" t="s">
        <v>4587</v>
      </c>
      <c r="K114" s="136">
        <v>73.0</v>
      </c>
      <c r="L114" s="136">
        <v>71.0</v>
      </c>
      <c r="M114" s="136">
        <v>27.33333</v>
      </c>
      <c r="N114" s="136">
        <v>0.0</v>
      </c>
      <c r="O114" s="137">
        <v>27.33333</v>
      </c>
      <c r="P114" s="136">
        <v>100.0</v>
      </c>
      <c r="Q114" s="136">
        <v>27.33333</v>
      </c>
      <c r="R114" s="136" t="s">
        <v>4045</v>
      </c>
      <c r="S114" s="136">
        <v>34.28571</v>
      </c>
      <c r="T114" s="136">
        <v>1.0</v>
      </c>
      <c r="U114" s="138">
        <v>45748.02584490741</v>
      </c>
      <c r="V114" s="139"/>
      <c r="W114" s="140"/>
      <c r="X114" s="140"/>
      <c r="Y114" s="140"/>
      <c r="Z114" s="140"/>
    </row>
    <row r="115">
      <c r="A115" s="135" t="s">
        <v>4588</v>
      </c>
      <c r="B115" s="136" t="s">
        <v>672</v>
      </c>
      <c r="C115" s="136" t="s">
        <v>4589</v>
      </c>
      <c r="D115" s="136" t="s">
        <v>671</v>
      </c>
      <c r="E115" s="136">
        <v>2025.0</v>
      </c>
      <c r="F115" s="136" t="s">
        <v>1006</v>
      </c>
      <c r="G115" s="136" t="s">
        <v>4041</v>
      </c>
      <c r="H115" s="136" t="s">
        <v>4590</v>
      </c>
      <c r="I115" s="136" t="s">
        <v>4043</v>
      </c>
      <c r="J115" s="136" t="s">
        <v>4591</v>
      </c>
      <c r="K115" s="136">
        <v>73.0</v>
      </c>
      <c r="L115" s="136">
        <v>72.0</v>
      </c>
      <c r="M115" s="136">
        <v>46.76667</v>
      </c>
      <c r="N115" s="136">
        <v>0.0</v>
      </c>
      <c r="O115" s="137">
        <v>46.76667</v>
      </c>
      <c r="P115" s="136">
        <v>100.0</v>
      </c>
      <c r="Q115" s="136">
        <v>46.76667</v>
      </c>
      <c r="R115" s="136" t="s">
        <v>4045</v>
      </c>
      <c r="S115" s="136">
        <v>56.75676</v>
      </c>
      <c r="T115" s="136">
        <v>0.0</v>
      </c>
      <c r="U115" s="138">
        <v>45747.70106481481</v>
      </c>
      <c r="V115" s="139"/>
      <c r="W115" s="140"/>
      <c r="X115" s="140"/>
      <c r="Y115" s="140"/>
      <c r="Z115" s="140"/>
    </row>
    <row r="116">
      <c r="A116" s="135" t="s">
        <v>4592</v>
      </c>
      <c r="B116" s="136" t="s">
        <v>692</v>
      </c>
      <c r="C116" s="136" t="s">
        <v>2791</v>
      </c>
      <c r="D116" s="136" t="s">
        <v>691</v>
      </c>
      <c r="E116" s="136">
        <v>2025.0</v>
      </c>
      <c r="F116" s="136" t="s">
        <v>1006</v>
      </c>
      <c r="G116" s="136" t="s">
        <v>4041</v>
      </c>
      <c r="H116" s="136" t="s">
        <v>4593</v>
      </c>
      <c r="I116" s="136" t="s">
        <v>4043</v>
      </c>
      <c r="J116" s="136" t="s">
        <v>4594</v>
      </c>
      <c r="K116" s="136">
        <v>73.0</v>
      </c>
      <c r="L116" s="136">
        <v>71.0</v>
      </c>
      <c r="M116" s="136">
        <v>34.0</v>
      </c>
      <c r="N116" s="136">
        <v>0.0</v>
      </c>
      <c r="O116" s="137">
        <v>34.0</v>
      </c>
      <c r="P116" s="136">
        <v>100.0</v>
      </c>
      <c r="Q116" s="136">
        <v>34.0</v>
      </c>
      <c r="R116" s="136" t="s">
        <v>4045</v>
      </c>
      <c r="S116" s="136">
        <v>37.83784</v>
      </c>
      <c r="T116" s="136">
        <v>1.0</v>
      </c>
      <c r="U116" s="138">
        <v>45746.72719907408</v>
      </c>
      <c r="V116" s="139"/>
      <c r="W116" s="140"/>
      <c r="X116" s="140"/>
      <c r="Y116" s="140"/>
      <c r="Z116" s="140"/>
    </row>
    <row r="117">
      <c r="A117" s="135" t="s">
        <v>4595</v>
      </c>
      <c r="B117" s="136" t="s">
        <v>724</v>
      </c>
      <c r="C117" s="136" t="s">
        <v>4596</v>
      </c>
      <c r="D117" s="136" t="s">
        <v>4597</v>
      </c>
      <c r="E117" s="136">
        <v>2025.0</v>
      </c>
      <c r="F117" s="136" t="s">
        <v>1006</v>
      </c>
      <c r="G117" s="136" t="s">
        <v>4041</v>
      </c>
      <c r="H117" s="136" t="s">
        <v>4598</v>
      </c>
      <c r="I117" s="136" t="s">
        <v>4152</v>
      </c>
      <c r="J117" s="136" t="s">
        <v>4153</v>
      </c>
      <c r="K117" s="136" t="s">
        <v>1003</v>
      </c>
      <c r="L117" s="136" t="s">
        <v>1003</v>
      </c>
      <c r="M117" s="136" t="s">
        <v>1003</v>
      </c>
      <c r="N117" s="136" t="s">
        <v>1003</v>
      </c>
      <c r="O117" s="137" t="s">
        <v>1003</v>
      </c>
      <c r="P117" s="136" t="s">
        <v>1003</v>
      </c>
      <c r="Q117" s="136" t="s">
        <v>1003</v>
      </c>
      <c r="R117" s="136" t="s">
        <v>1003</v>
      </c>
      <c r="S117" s="136" t="s">
        <v>1003</v>
      </c>
      <c r="T117" s="136">
        <v>0.0</v>
      </c>
      <c r="U117" s="136" t="s">
        <v>1003</v>
      </c>
      <c r="V117" s="139"/>
      <c r="W117" s="140"/>
      <c r="X117" s="140"/>
      <c r="Y117" s="140"/>
      <c r="Z117" s="140"/>
    </row>
    <row r="118">
      <c r="A118" s="135" t="s">
        <v>4599</v>
      </c>
      <c r="B118" s="136" t="s">
        <v>728</v>
      </c>
      <c r="C118" s="136" t="s">
        <v>2884</v>
      </c>
      <c r="D118" s="136" t="s">
        <v>3505</v>
      </c>
      <c r="E118" s="136">
        <v>2025.0</v>
      </c>
      <c r="F118" s="136" t="s">
        <v>1006</v>
      </c>
      <c r="G118" s="136" t="s">
        <v>4041</v>
      </c>
      <c r="H118" s="136" t="s">
        <v>4600</v>
      </c>
      <c r="I118" s="136" t="s">
        <v>4043</v>
      </c>
      <c r="J118" s="136" t="s">
        <v>4601</v>
      </c>
      <c r="K118" s="136">
        <v>73.0</v>
      </c>
      <c r="L118" s="136">
        <v>71.0</v>
      </c>
      <c r="M118" s="136">
        <v>32.66667</v>
      </c>
      <c r="N118" s="136">
        <v>0.0</v>
      </c>
      <c r="O118" s="137">
        <v>32.66667</v>
      </c>
      <c r="P118" s="136">
        <v>100.0</v>
      </c>
      <c r="Q118" s="136">
        <v>32.66667</v>
      </c>
      <c r="R118" s="136" t="s">
        <v>4045</v>
      </c>
      <c r="S118" s="136">
        <v>38.57143</v>
      </c>
      <c r="T118" s="136">
        <v>1.0</v>
      </c>
      <c r="U118" s="138">
        <v>45746.92768518518</v>
      </c>
      <c r="V118" s="139"/>
      <c r="W118" s="140"/>
      <c r="X118" s="140"/>
      <c r="Y118" s="140"/>
      <c r="Z118" s="140"/>
    </row>
    <row r="119">
      <c r="A119" s="135" t="s">
        <v>4602</v>
      </c>
      <c r="B119" s="136" t="s">
        <v>778</v>
      </c>
      <c r="C119" s="136" t="s">
        <v>3020</v>
      </c>
      <c r="D119" s="136" t="s">
        <v>777</v>
      </c>
      <c r="E119" s="136">
        <v>2025.0</v>
      </c>
      <c r="F119" s="136" t="s">
        <v>1006</v>
      </c>
      <c r="G119" s="136" t="s">
        <v>4041</v>
      </c>
      <c r="H119" s="136" t="s">
        <v>4603</v>
      </c>
      <c r="I119" s="136" t="s">
        <v>4043</v>
      </c>
      <c r="J119" s="136" t="s">
        <v>4604</v>
      </c>
      <c r="K119" s="136">
        <v>73.0</v>
      </c>
      <c r="L119" s="136">
        <v>70.0</v>
      </c>
      <c r="M119" s="136">
        <v>61.3</v>
      </c>
      <c r="N119" s="136">
        <v>0.0</v>
      </c>
      <c r="O119" s="137">
        <v>61.3</v>
      </c>
      <c r="P119" s="136">
        <v>100.0</v>
      </c>
      <c r="Q119" s="136">
        <v>61.3</v>
      </c>
      <c r="R119" s="136" t="s">
        <v>4200</v>
      </c>
      <c r="S119" s="136">
        <v>84.05797</v>
      </c>
      <c r="T119" s="136">
        <v>1.0</v>
      </c>
      <c r="U119" s="138">
        <v>45746.916666666664</v>
      </c>
      <c r="V119" s="139"/>
      <c r="W119" s="140"/>
      <c r="X119" s="140"/>
      <c r="Y119" s="140"/>
      <c r="Z119" s="140"/>
    </row>
    <row r="120">
      <c r="A120" s="135" t="s">
        <v>4605</v>
      </c>
      <c r="B120" s="136" t="s">
        <v>4606</v>
      </c>
      <c r="C120" s="136" t="s">
        <v>3025</v>
      </c>
      <c r="D120" s="136" t="s">
        <v>4607</v>
      </c>
      <c r="E120" s="136">
        <v>2025.0</v>
      </c>
      <c r="F120" s="136" t="s">
        <v>1006</v>
      </c>
      <c r="G120" s="136" t="s">
        <v>4041</v>
      </c>
      <c r="H120" s="136" t="s">
        <v>4608</v>
      </c>
      <c r="I120" s="136" t="s">
        <v>4043</v>
      </c>
      <c r="J120" s="136" t="s">
        <v>4609</v>
      </c>
      <c r="K120" s="136">
        <v>73.0</v>
      </c>
      <c r="L120" s="136">
        <v>3.0</v>
      </c>
      <c r="M120" s="136">
        <v>2.0</v>
      </c>
      <c r="N120" s="136">
        <v>0.0</v>
      </c>
      <c r="O120" s="137">
        <v>2.0</v>
      </c>
      <c r="P120" s="136">
        <v>100.0</v>
      </c>
      <c r="Q120" s="136">
        <v>2.0</v>
      </c>
      <c r="R120" s="136" t="s">
        <v>4045</v>
      </c>
      <c r="S120" s="136">
        <v>66.66667</v>
      </c>
      <c r="T120" s="136">
        <v>1.0</v>
      </c>
      <c r="U120" s="138">
        <v>45747.72037037037</v>
      </c>
      <c r="V120" s="139"/>
      <c r="W120" s="140"/>
      <c r="X120" s="140"/>
      <c r="Y120" s="140"/>
      <c r="Z120" s="140"/>
    </row>
    <row r="121">
      <c r="A121" s="135" t="s">
        <v>4610</v>
      </c>
      <c r="B121" s="136" t="s">
        <v>789</v>
      </c>
      <c r="C121" s="136" t="s">
        <v>3053</v>
      </c>
      <c r="D121" s="136" t="s">
        <v>788</v>
      </c>
      <c r="E121" s="136">
        <v>2025.0</v>
      </c>
      <c r="F121" s="136" t="s">
        <v>1006</v>
      </c>
      <c r="G121" s="136" t="s">
        <v>4041</v>
      </c>
      <c r="H121" s="136" t="s">
        <v>4611</v>
      </c>
      <c r="I121" s="136" t="s">
        <v>4043</v>
      </c>
      <c r="J121" s="136" t="s">
        <v>4612</v>
      </c>
      <c r="K121" s="136">
        <v>73.0</v>
      </c>
      <c r="L121" s="136">
        <v>71.0</v>
      </c>
      <c r="M121" s="136">
        <v>53.6</v>
      </c>
      <c r="N121" s="136">
        <v>0.0</v>
      </c>
      <c r="O121" s="137">
        <v>53.6</v>
      </c>
      <c r="P121" s="136">
        <v>100.0</v>
      </c>
      <c r="Q121" s="136">
        <v>53.6</v>
      </c>
      <c r="R121" s="136" t="s">
        <v>4045</v>
      </c>
      <c r="S121" s="136">
        <v>68.57143</v>
      </c>
      <c r="T121" s="136">
        <v>1.0</v>
      </c>
      <c r="U121" s="138">
        <v>45747.685162037036</v>
      </c>
      <c r="V121" s="139"/>
      <c r="W121" s="140"/>
      <c r="X121" s="140"/>
      <c r="Y121" s="140"/>
      <c r="Z121" s="140"/>
    </row>
    <row r="122">
      <c r="A122" s="135" t="s">
        <v>4613</v>
      </c>
      <c r="B122" s="136" t="s">
        <v>796</v>
      </c>
      <c r="C122" s="136" t="s">
        <v>3071</v>
      </c>
      <c r="D122" s="136" t="s">
        <v>795</v>
      </c>
      <c r="E122" s="136">
        <v>2025.0</v>
      </c>
      <c r="F122" s="136" t="s">
        <v>1006</v>
      </c>
      <c r="G122" s="136" t="s">
        <v>4041</v>
      </c>
      <c r="H122" s="136" t="s">
        <v>4614</v>
      </c>
      <c r="I122" s="136" t="s">
        <v>4043</v>
      </c>
      <c r="J122" s="136" t="s">
        <v>4615</v>
      </c>
      <c r="K122" s="136">
        <v>73.0</v>
      </c>
      <c r="L122" s="136">
        <v>71.0</v>
      </c>
      <c r="M122" s="136">
        <v>26.96667</v>
      </c>
      <c r="N122" s="136">
        <v>0.0</v>
      </c>
      <c r="O122" s="137">
        <v>26.96667</v>
      </c>
      <c r="P122" s="136">
        <v>100.0</v>
      </c>
      <c r="Q122" s="136">
        <v>26.96667</v>
      </c>
      <c r="R122" s="136" t="s">
        <v>4045</v>
      </c>
      <c r="S122" s="136">
        <v>30.0</v>
      </c>
      <c r="T122" s="136">
        <v>1.0</v>
      </c>
      <c r="U122" s="138">
        <v>45746.99024305555</v>
      </c>
      <c r="V122" s="139"/>
      <c r="W122" s="140"/>
      <c r="X122" s="140"/>
      <c r="Y122" s="140"/>
      <c r="Z122" s="140"/>
    </row>
    <row r="123">
      <c r="A123" s="135" t="s">
        <v>4616</v>
      </c>
      <c r="B123" s="136" t="s">
        <v>807</v>
      </c>
      <c r="C123" s="136" t="s">
        <v>3106</v>
      </c>
      <c r="D123" s="136" t="s">
        <v>4617</v>
      </c>
      <c r="E123" s="136">
        <v>2025.0</v>
      </c>
      <c r="F123" s="136" t="s">
        <v>1006</v>
      </c>
      <c r="G123" s="136" t="s">
        <v>4041</v>
      </c>
      <c r="H123" s="136" t="s">
        <v>4618</v>
      </c>
      <c r="I123" s="136" t="s">
        <v>4043</v>
      </c>
      <c r="J123" s="136" t="s">
        <v>4619</v>
      </c>
      <c r="K123" s="136">
        <v>73.0</v>
      </c>
      <c r="L123" s="136">
        <v>3.0</v>
      </c>
      <c r="M123" s="136">
        <v>2.0</v>
      </c>
      <c r="N123" s="136">
        <v>0.0</v>
      </c>
      <c r="O123" s="137">
        <v>2.0</v>
      </c>
      <c r="P123" s="136">
        <v>100.0</v>
      </c>
      <c r="Q123" s="136">
        <v>2.0</v>
      </c>
      <c r="R123" s="136" t="s">
        <v>4045</v>
      </c>
      <c r="S123" s="136">
        <v>66.66667</v>
      </c>
      <c r="T123" s="136">
        <v>0.0</v>
      </c>
      <c r="U123" s="138">
        <v>45747.344039351854</v>
      </c>
      <c r="V123" s="139"/>
      <c r="W123" s="140"/>
      <c r="X123" s="140"/>
      <c r="Y123" s="140"/>
      <c r="Z123" s="140"/>
    </row>
    <row r="124">
      <c r="A124" s="135" t="s">
        <v>4620</v>
      </c>
      <c r="B124" s="136" t="s">
        <v>824</v>
      </c>
      <c r="C124" s="136" t="s">
        <v>3152</v>
      </c>
      <c r="D124" s="136" t="s">
        <v>823</v>
      </c>
      <c r="E124" s="136">
        <v>2025.0</v>
      </c>
      <c r="F124" s="136" t="s">
        <v>1006</v>
      </c>
      <c r="G124" s="136" t="s">
        <v>4041</v>
      </c>
      <c r="H124" s="136" t="s">
        <v>4621</v>
      </c>
      <c r="I124" s="136" t="s">
        <v>4043</v>
      </c>
      <c r="J124" s="136" t="s">
        <v>4622</v>
      </c>
      <c r="K124" s="136">
        <v>73.0</v>
      </c>
      <c r="L124" s="136">
        <v>70.0</v>
      </c>
      <c r="M124" s="136">
        <v>36.16667</v>
      </c>
      <c r="N124" s="136">
        <v>0.0</v>
      </c>
      <c r="O124" s="137">
        <v>36.16667</v>
      </c>
      <c r="P124" s="136">
        <v>100.0</v>
      </c>
      <c r="Q124" s="136">
        <v>36.16667</v>
      </c>
      <c r="R124" s="136" t="s">
        <v>4045</v>
      </c>
      <c r="S124" s="136">
        <v>43.47826</v>
      </c>
      <c r="T124" s="136">
        <v>1.0</v>
      </c>
      <c r="U124" s="138">
        <v>45747.700150462966</v>
      </c>
      <c r="V124" s="139"/>
      <c r="W124" s="140"/>
      <c r="X124" s="140"/>
      <c r="Y124" s="140"/>
      <c r="Z124" s="140"/>
    </row>
    <row r="125">
      <c r="A125" s="135" t="s">
        <v>4623</v>
      </c>
      <c r="B125" s="136" t="s">
        <v>826</v>
      </c>
      <c r="C125" s="136" t="s">
        <v>3159</v>
      </c>
      <c r="D125" s="136" t="s">
        <v>825</v>
      </c>
      <c r="E125" s="136">
        <v>2025.0</v>
      </c>
      <c r="F125" s="136" t="s">
        <v>1006</v>
      </c>
      <c r="G125" s="136" t="s">
        <v>4041</v>
      </c>
      <c r="H125" s="136" t="s">
        <v>4624</v>
      </c>
      <c r="I125" s="136" t="s">
        <v>4043</v>
      </c>
      <c r="J125" s="136" t="s">
        <v>4625</v>
      </c>
      <c r="K125" s="136">
        <v>73.0</v>
      </c>
      <c r="L125" s="136">
        <v>71.0</v>
      </c>
      <c r="M125" s="136">
        <v>45.16667</v>
      </c>
      <c r="N125" s="136">
        <v>0.0</v>
      </c>
      <c r="O125" s="137">
        <v>45.16667</v>
      </c>
      <c r="P125" s="136">
        <v>100.0</v>
      </c>
      <c r="Q125" s="136">
        <v>45.16667</v>
      </c>
      <c r="R125" s="136" t="s">
        <v>4045</v>
      </c>
      <c r="S125" s="136">
        <v>55.71429</v>
      </c>
      <c r="T125" s="136">
        <v>1.0</v>
      </c>
      <c r="U125" s="138">
        <v>45746.49407407407</v>
      </c>
      <c r="V125" s="139"/>
      <c r="W125" s="140"/>
      <c r="X125" s="140"/>
      <c r="Y125" s="140"/>
      <c r="Z125" s="140"/>
    </row>
    <row r="126">
      <c r="A126" s="135" t="s">
        <v>4626</v>
      </c>
      <c r="B126" s="136" t="s">
        <v>828</v>
      </c>
      <c r="C126" s="136" t="s">
        <v>3167</v>
      </c>
      <c r="D126" s="136" t="s">
        <v>827</v>
      </c>
      <c r="E126" s="136">
        <v>2025.0</v>
      </c>
      <c r="F126" s="136" t="s">
        <v>1006</v>
      </c>
      <c r="G126" s="136" t="s">
        <v>4041</v>
      </c>
      <c r="H126" s="136" t="s">
        <v>4627</v>
      </c>
      <c r="I126" s="136" t="s">
        <v>4043</v>
      </c>
      <c r="J126" s="136" t="s">
        <v>4628</v>
      </c>
      <c r="K126" s="136">
        <v>73.0</v>
      </c>
      <c r="L126" s="136">
        <v>72.0</v>
      </c>
      <c r="M126" s="136">
        <v>71.63333</v>
      </c>
      <c r="N126" s="136">
        <v>0.0</v>
      </c>
      <c r="O126" s="137">
        <v>71.63333</v>
      </c>
      <c r="P126" s="136">
        <v>100.0</v>
      </c>
      <c r="Q126" s="136">
        <v>71.63333</v>
      </c>
      <c r="R126" s="136" t="s">
        <v>4200</v>
      </c>
      <c r="S126" s="136">
        <v>82.43243</v>
      </c>
      <c r="T126" s="136">
        <v>1.0</v>
      </c>
      <c r="U126" s="138">
        <v>45746.81429398148</v>
      </c>
      <c r="V126" s="139"/>
      <c r="W126" s="140"/>
      <c r="X126" s="140"/>
      <c r="Y126" s="140"/>
      <c r="Z126" s="140"/>
    </row>
    <row r="127">
      <c r="A127" s="135" t="s">
        <v>4629</v>
      </c>
      <c r="B127" s="136" t="s">
        <v>833</v>
      </c>
      <c r="C127" s="136" t="s">
        <v>3181</v>
      </c>
      <c r="D127" s="136" t="s">
        <v>4630</v>
      </c>
      <c r="E127" s="136">
        <v>2025.0</v>
      </c>
      <c r="F127" s="136" t="s">
        <v>1006</v>
      </c>
      <c r="G127" s="136" t="s">
        <v>4041</v>
      </c>
      <c r="H127" s="136" t="s">
        <v>4631</v>
      </c>
      <c r="I127" s="136" t="s">
        <v>4043</v>
      </c>
      <c r="J127" s="136" t="s">
        <v>4632</v>
      </c>
      <c r="K127" s="136">
        <v>73.0</v>
      </c>
      <c r="L127" s="136">
        <v>71.0</v>
      </c>
      <c r="M127" s="136">
        <v>22.33333</v>
      </c>
      <c r="N127" s="136">
        <v>0.0</v>
      </c>
      <c r="O127" s="137">
        <v>22.33333</v>
      </c>
      <c r="P127" s="136">
        <v>100.0</v>
      </c>
      <c r="Q127" s="136">
        <v>22.33333</v>
      </c>
      <c r="R127" s="136" t="s">
        <v>4045</v>
      </c>
      <c r="S127" s="136">
        <v>28.57143</v>
      </c>
      <c r="T127" s="136">
        <v>1.0</v>
      </c>
      <c r="U127" s="138">
        <v>45746.62255787037</v>
      </c>
      <c r="V127" s="139"/>
      <c r="W127" s="140"/>
      <c r="X127" s="140"/>
      <c r="Y127" s="140"/>
      <c r="Z127" s="140"/>
    </row>
    <row r="128">
      <c r="A128" s="135" t="s">
        <v>4633</v>
      </c>
      <c r="B128" s="136" t="s">
        <v>850</v>
      </c>
      <c r="C128" s="136" t="s">
        <v>3231</v>
      </c>
      <c r="D128" s="136" t="s">
        <v>4634</v>
      </c>
      <c r="E128" s="136">
        <v>2025.0</v>
      </c>
      <c r="F128" s="136" t="s">
        <v>1006</v>
      </c>
      <c r="G128" s="136" t="s">
        <v>4041</v>
      </c>
      <c r="H128" s="136" t="s">
        <v>4635</v>
      </c>
      <c r="I128" s="136" t="s">
        <v>4043</v>
      </c>
      <c r="J128" s="136" t="s">
        <v>4636</v>
      </c>
      <c r="K128" s="136">
        <v>73.0</v>
      </c>
      <c r="L128" s="136">
        <v>71.0</v>
      </c>
      <c r="M128" s="136">
        <v>42.7</v>
      </c>
      <c r="N128" s="136">
        <v>0.0</v>
      </c>
      <c r="O128" s="137">
        <v>42.7</v>
      </c>
      <c r="P128" s="136">
        <v>100.0</v>
      </c>
      <c r="Q128" s="136">
        <v>42.7</v>
      </c>
      <c r="R128" s="136" t="s">
        <v>4045</v>
      </c>
      <c r="S128" s="136">
        <v>52.85714</v>
      </c>
      <c r="T128" s="136">
        <v>2.0</v>
      </c>
      <c r="U128" s="138">
        <v>45747.859085648146</v>
      </c>
      <c r="V128" s="139"/>
      <c r="W128" s="140"/>
      <c r="X128" s="140"/>
      <c r="Y128" s="140"/>
      <c r="Z128" s="140"/>
    </row>
    <row r="129">
      <c r="A129" s="135" t="s">
        <v>4637</v>
      </c>
      <c r="B129" s="136" t="s">
        <v>4638</v>
      </c>
      <c r="C129" s="136" t="s">
        <v>3262</v>
      </c>
      <c r="D129" s="136" t="s">
        <v>3259</v>
      </c>
      <c r="E129" s="136">
        <v>2025.0</v>
      </c>
      <c r="F129" s="136" t="s">
        <v>1006</v>
      </c>
      <c r="G129" s="136" t="s">
        <v>4041</v>
      </c>
      <c r="H129" s="136" t="s">
        <v>4639</v>
      </c>
      <c r="I129" s="136" t="s">
        <v>4043</v>
      </c>
      <c r="J129" s="136" t="s">
        <v>4640</v>
      </c>
      <c r="K129" s="136">
        <v>73.0</v>
      </c>
      <c r="L129" s="136">
        <v>70.0</v>
      </c>
      <c r="M129" s="136">
        <v>37.33333</v>
      </c>
      <c r="N129" s="136">
        <v>0.0</v>
      </c>
      <c r="O129" s="137">
        <v>37.33333</v>
      </c>
      <c r="P129" s="136">
        <v>100.0</v>
      </c>
      <c r="Q129" s="136">
        <v>37.33333</v>
      </c>
      <c r="R129" s="136" t="s">
        <v>4045</v>
      </c>
      <c r="S129" s="136">
        <v>47.82609</v>
      </c>
      <c r="T129" s="136">
        <v>2.0</v>
      </c>
      <c r="U129" s="138">
        <v>45746.98070601852</v>
      </c>
      <c r="V129" s="139"/>
      <c r="W129" s="140"/>
      <c r="X129" s="140"/>
      <c r="Y129" s="140"/>
      <c r="Z129" s="140"/>
    </row>
    <row r="130">
      <c r="A130" s="135" t="s">
        <v>4641</v>
      </c>
      <c r="B130" s="136" t="s">
        <v>864</v>
      </c>
      <c r="C130" s="136" t="s">
        <v>3275</v>
      </c>
      <c r="D130" s="136" t="s">
        <v>863</v>
      </c>
      <c r="E130" s="136">
        <v>2025.0</v>
      </c>
      <c r="F130" s="136" t="s">
        <v>1006</v>
      </c>
      <c r="G130" s="136" t="s">
        <v>4041</v>
      </c>
      <c r="H130" s="136" t="s">
        <v>4642</v>
      </c>
      <c r="I130" s="136" t="s">
        <v>4043</v>
      </c>
      <c r="J130" s="136" t="s">
        <v>4643</v>
      </c>
      <c r="K130" s="136">
        <v>73.0</v>
      </c>
      <c r="L130" s="136">
        <v>72.0</v>
      </c>
      <c r="M130" s="136">
        <v>66.03333</v>
      </c>
      <c r="N130" s="136">
        <v>0.0</v>
      </c>
      <c r="O130" s="137">
        <v>66.03333</v>
      </c>
      <c r="P130" s="136">
        <v>100.0</v>
      </c>
      <c r="Q130" s="136">
        <v>66.03333</v>
      </c>
      <c r="R130" s="136" t="s">
        <v>4200</v>
      </c>
      <c r="S130" s="136">
        <v>72.97297</v>
      </c>
      <c r="T130" s="136">
        <v>2.0</v>
      </c>
      <c r="U130" s="138">
        <v>45746.89556712963</v>
      </c>
      <c r="V130" s="139"/>
      <c r="W130" s="140"/>
      <c r="X130" s="140"/>
      <c r="Y130" s="140"/>
      <c r="Z130" s="140"/>
    </row>
    <row r="131">
      <c r="A131" s="135" t="s">
        <v>4644</v>
      </c>
      <c r="B131" s="136" t="s">
        <v>4645</v>
      </c>
      <c r="C131" s="136" t="s">
        <v>3280</v>
      </c>
      <c r="D131" s="136" t="s">
        <v>866</v>
      </c>
      <c r="E131" s="136">
        <v>2025.0</v>
      </c>
      <c r="F131" s="136" t="s">
        <v>1006</v>
      </c>
      <c r="G131" s="136" t="s">
        <v>4041</v>
      </c>
      <c r="H131" s="136" t="s">
        <v>4646</v>
      </c>
      <c r="I131" s="136" t="s">
        <v>4043</v>
      </c>
      <c r="J131" s="136" t="s">
        <v>4647</v>
      </c>
      <c r="K131" s="136">
        <v>73.0</v>
      </c>
      <c r="L131" s="136">
        <v>62.0</v>
      </c>
      <c r="M131" s="136">
        <v>41.46667</v>
      </c>
      <c r="N131" s="136">
        <v>0.0</v>
      </c>
      <c r="O131" s="137">
        <v>41.46667</v>
      </c>
      <c r="P131" s="136">
        <v>100.0</v>
      </c>
      <c r="Q131" s="136">
        <v>41.46667</v>
      </c>
      <c r="R131" s="136" t="s">
        <v>4045</v>
      </c>
      <c r="S131" s="136">
        <v>53.73134</v>
      </c>
      <c r="T131" s="136">
        <v>2.0</v>
      </c>
      <c r="U131" s="138">
        <v>45746.929143518515</v>
      </c>
      <c r="V131" s="139"/>
      <c r="W131" s="140"/>
      <c r="X131" s="140"/>
      <c r="Y131" s="140"/>
      <c r="Z131" s="140"/>
    </row>
    <row r="132">
      <c r="A132" s="135" t="s">
        <v>4648</v>
      </c>
      <c r="B132" s="136" t="s">
        <v>886</v>
      </c>
      <c r="C132" s="136" t="s">
        <v>3321</v>
      </c>
      <c r="D132" s="136" t="s">
        <v>885</v>
      </c>
      <c r="E132" s="136">
        <v>2025.0</v>
      </c>
      <c r="F132" s="136" t="s">
        <v>1006</v>
      </c>
      <c r="G132" s="136" t="s">
        <v>4041</v>
      </c>
      <c r="H132" s="136" t="s">
        <v>4649</v>
      </c>
      <c r="I132" s="136" t="s">
        <v>4043</v>
      </c>
      <c r="J132" s="136" t="s">
        <v>4650</v>
      </c>
      <c r="K132" s="136">
        <v>73.0</v>
      </c>
      <c r="L132" s="136">
        <v>73.0</v>
      </c>
      <c r="M132" s="136">
        <v>48.53333</v>
      </c>
      <c r="N132" s="136">
        <v>0.0</v>
      </c>
      <c r="O132" s="137">
        <v>48.53333</v>
      </c>
      <c r="P132" s="136">
        <v>100.0</v>
      </c>
      <c r="Q132" s="136">
        <v>48.53333</v>
      </c>
      <c r="R132" s="136" t="s">
        <v>4045</v>
      </c>
      <c r="S132" s="136">
        <v>47.4359</v>
      </c>
      <c r="T132" s="136">
        <v>1.0</v>
      </c>
      <c r="U132" s="138">
        <v>45746.77663194444</v>
      </c>
      <c r="V132" s="139"/>
      <c r="W132" s="140"/>
      <c r="X132" s="140"/>
      <c r="Y132" s="140"/>
      <c r="Z132" s="140"/>
    </row>
    <row r="133">
      <c r="A133" s="135" t="s">
        <v>4651</v>
      </c>
      <c r="B133" s="136" t="s">
        <v>4652</v>
      </c>
      <c r="C133" s="136" t="s">
        <v>3385</v>
      </c>
      <c r="D133" s="136" t="s">
        <v>905</v>
      </c>
      <c r="E133" s="136">
        <v>2025.0</v>
      </c>
      <c r="F133" s="136" t="s">
        <v>1006</v>
      </c>
      <c r="G133" s="136" t="s">
        <v>4041</v>
      </c>
      <c r="H133" s="136" t="s">
        <v>4653</v>
      </c>
      <c r="I133" s="136" t="s">
        <v>4043</v>
      </c>
      <c r="J133" s="136" t="s">
        <v>4654</v>
      </c>
      <c r="K133" s="136">
        <v>73.0</v>
      </c>
      <c r="L133" s="136">
        <v>71.0</v>
      </c>
      <c r="M133" s="136">
        <v>28.3</v>
      </c>
      <c r="N133" s="136">
        <v>0.0</v>
      </c>
      <c r="O133" s="137">
        <v>28.3</v>
      </c>
      <c r="P133" s="136">
        <v>100.0</v>
      </c>
      <c r="Q133" s="136">
        <v>28.3</v>
      </c>
      <c r="R133" s="136" t="s">
        <v>4045</v>
      </c>
      <c r="S133" s="136">
        <v>38.57143</v>
      </c>
      <c r="T133" s="136">
        <v>1.0</v>
      </c>
      <c r="U133" s="138">
        <v>45747.371712962966</v>
      </c>
      <c r="V133" s="139"/>
      <c r="W133" s="140"/>
      <c r="X133" s="140"/>
      <c r="Y133" s="140"/>
      <c r="Z133" s="140"/>
    </row>
    <row r="134">
      <c r="A134" s="135" t="s">
        <v>4655</v>
      </c>
      <c r="B134" s="136" t="s">
        <v>4656</v>
      </c>
      <c r="C134" s="136" t="s">
        <v>3409</v>
      </c>
      <c r="D134" s="136" t="s">
        <v>4657</v>
      </c>
      <c r="E134" s="136">
        <v>2025.0</v>
      </c>
      <c r="F134" s="136" t="s">
        <v>1006</v>
      </c>
      <c r="G134" s="136" t="s">
        <v>4041</v>
      </c>
      <c r="H134" s="136" t="s">
        <v>4658</v>
      </c>
      <c r="I134" s="136" t="s">
        <v>4043</v>
      </c>
      <c r="J134" s="136" t="s">
        <v>4659</v>
      </c>
      <c r="K134" s="136">
        <v>73.0</v>
      </c>
      <c r="L134" s="136">
        <v>70.0</v>
      </c>
      <c r="M134" s="136">
        <v>21.0</v>
      </c>
      <c r="N134" s="136">
        <v>0.0</v>
      </c>
      <c r="O134" s="137">
        <v>21.0</v>
      </c>
      <c r="P134" s="136">
        <v>100.0</v>
      </c>
      <c r="Q134" s="136">
        <v>21.0</v>
      </c>
      <c r="R134" s="136" t="s">
        <v>4045</v>
      </c>
      <c r="S134" s="136">
        <v>30.0</v>
      </c>
      <c r="T134" s="136">
        <v>1.0</v>
      </c>
      <c r="U134" s="138">
        <v>45747.66253472222</v>
      </c>
      <c r="V134" s="139"/>
      <c r="W134" s="140"/>
      <c r="X134" s="140"/>
      <c r="Y134" s="140"/>
      <c r="Z134" s="140"/>
    </row>
    <row r="135">
      <c r="A135" s="135" t="s">
        <v>4660</v>
      </c>
      <c r="B135" s="136" t="s">
        <v>917</v>
      </c>
      <c r="C135" s="136" t="s">
        <v>4661</v>
      </c>
      <c r="D135" s="136" t="s">
        <v>916</v>
      </c>
      <c r="E135" s="136">
        <v>2025.0</v>
      </c>
      <c r="F135" s="136" t="s">
        <v>1006</v>
      </c>
      <c r="G135" s="136" t="s">
        <v>4041</v>
      </c>
      <c r="H135" s="136" t="s">
        <v>4662</v>
      </c>
      <c r="I135" s="136" t="s">
        <v>4043</v>
      </c>
      <c r="J135" s="136" t="s">
        <v>4663</v>
      </c>
      <c r="K135" s="136">
        <v>73.0</v>
      </c>
      <c r="L135" s="136">
        <v>72.0</v>
      </c>
      <c r="M135" s="136">
        <v>49.1</v>
      </c>
      <c r="N135" s="136">
        <v>0.0</v>
      </c>
      <c r="O135" s="137">
        <v>49.1</v>
      </c>
      <c r="P135" s="136">
        <v>100.0</v>
      </c>
      <c r="Q135" s="136">
        <v>49.1</v>
      </c>
      <c r="R135" s="136" t="s">
        <v>4045</v>
      </c>
      <c r="S135" s="136">
        <v>58.10811</v>
      </c>
      <c r="T135" s="136">
        <v>2.0</v>
      </c>
      <c r="U135" s="138">
        <v>45747.61121527778</v>
      </c>
      <c r="V135" s="139"/>
      <c r="W135" s="140"/>
      <c r="X135" s="140"/>
      <c r="Y135" s="140"/>
      <c r="Z135" s="140"/>
    </row>
    <row r="136">
      <c r="A136" s="135" t="s">
        <v>4664</v>
      </c>
      <c r="B136" s="136" t="s">
        <v>770</v>
      </c>
      <c r="C136" s="136" t="s">
        <v>2999</v>
      </c>
      <c r="D136" s="136" t="s">
        <v>769</v>
      </c>
      <c r="E136" s="136">
        <v>2025.0</v>
      </c>
      <c r="F136" s="136" t="s">
        <v>1006</v>
      </c>
      <c r="G136" s="136" t="s">
        <v>4041</v>
      </c>
      <c r="H136" s="136" t="s">
        <v>4665</v>
      </c>
      <c r="I136" s="136" t="s">
        <v>4043</v>
      </c>
      <c r="J136" s="136" t="s">
        <v>4666</v>
      </c>
      <c r="K136" s="136">
        <v>73.0</v>
      </c>
      <c r="L136" s="136">
        <v>73.0</v>
      </c>
      <c r="M136" s="136">
        <v>45.5</v>
      </c>
      <c r="N136" s="136">
        <v>0.0</v>
      </c>
      <c r="O136" s="137">
        <v>45.5</v>
      </c>
      <c r="P136" s="136">
        <v>100.0</v>
      </c>
      <c r="Q136" s="136">
        <v>45.5</v>
      </c>
      <c r="R136" s="136" t="s">
        <v>4045</v>
      </c>
      <c r="S136" s="136">
        <v>43.58974</v>
      </c>
      <c r="T136" s="136">
        <v>1.0</v>
      </c>
      <c r="U136" s="138">
        <v>45747.890173611115</v>
      </c>
      <c r="V136" s="139"/>
      <c r="W136" s="140"/>
      <c r="X136" s="140"/>
      <c r="Y136" s="140"/>
      <c r="Z136" s="140"/>
    </row>
    <row r="137">
      <c r="A137" s="135" t="s">
        <v>4667</v>
      </c>
      <c r="B137" s="136" t="s">
        <v>239</v>
      </c>
      <c r="C137" s="136" t="s">
        <v>1501</v>
      </c>
      <c r="D137" s="136" t="s">
        <v>4668</v>
      </c>
      <c r="E137" s="136">
        <v>2025.0</v>
      </c>
      <c r="F137" s="136" t="s">
        <v>1006</v>
      </c>
      <c r="G137" s="136" t="s">
        <v>4041</v>
      </c>
      <c r="H137" s="136" t="s">
        <v>4669</v>
      </c>
      <c r="I137" s="136" t="s">
        <v>4043</v>
      </c>
      <c r="J137" s="136" t="s">
        <v>4670</v>
      </c>
      <c r="K137" s="136">
        <v>73.0</v>
      </c>
      <c r="L137" s="136">
        <v>71.0</v>
      </c>
      <c r="M137" s="136">
        <v>64.53333</v>
      </c>
      <c r="N137" s="136">
        <v>0.0</v>
      </c>
      <c r="O137" s="137">
        <v>64.53333</v>
      </c>
      <c r="P137" s="136">
        <v>100.0</v>
      </c>
      <c r="Q137" s="136">
        <v>64.53333</v>
      </c>
      <c r="R137" s="136" t="s">
        <v>4200</v>
      </c>
      <c r="S137" s="136">
        <v>84.28571</v>
      </c>
      <c r="T137" s="136">
        <v>4.0</v>
      </c>
      <c r="U137" s="138">
        <v>45747.377604166664</v>
      </c>
      <c r="V137" s="139"/>
      <c r="W137" s="140"/>
      <c r="X137" s="140"/>
      <c r="Y137" s="140"/>
      <c r="Z137" s="140"/>
    </row>
    <row r="138">
      <c r="A138" s="135" t="s">
        <v>4671</v>
      </c>
      <c r="B138" s="136" t="s">
        <v>247</v>
      </c>
      <c r="C138" s="136" t="s">
        <v>1530</v>
      </c>
      <c r="D138" s="136" t="s">
        <v>4672</v>
      </c>
      <c r="E138" s="136">
        <v>2025.0</v>
      </c>
      <c r="F138" s="136" t="s">
        <v>1006</v>
      </c>
      <c r="G138" s="136" t="s">
        <v>4041</v>
      </c>
      <c r="H138" s="136" t="s">
        <v>4673</v>
      </c>
      <c r="I138" s="136" t="s">
        <v>4043</v>
      </c>
      <c r="J138" s="136" t="s">
        <v>4674</v>
      </c>
      <c r="K138" s="136">
        <v>73.0</v>
      </c>
      <c r="L138" s="136">
        <v>71.0</v>
      </c>
      <c r="M138" s="136">
        <v>43.6</v>
      </c>
      <c r="N138" s="136">
        <v>0.0</v>
      </c>
      <c r="O138" s="137">
        <v>43.6</v>
      </c>
      <c r="P138" s="136">
        <v>100.0</v>
      </c>
      <c r="Q138" s="136">
        <v>43.6</v>
      </c>
      <c r="R138" s="136" t="s">
        <v>4045</v>
      </c>
      <c r="S138" s="136">
        <v>54.28571</v>
      </c>
      <c r="T138" s="136">
        <v>5.0</v>
      </c>
      <c r="U138" s="138">
        <v>45747.49070601852</v>
      </c>
      <c r="V138" s="139"/>
      <c r="W138" s="140"/>
      <c r="X138" s="140"/>
      <c r="Y138" s="140"/>
      <c r="Z138" s="140"/>
    </row>
    <row r="139">
      <c r="A139" s="135" t="s">
        <v>4675</v>
      </c>
      <c r="B139" s="136" t="s">
        <v>249</v>
      </c>
      <c r="C139" s="136" t="s">
        <v>4676</v>
      </c>
      <c r="D139" s="136" t="s">
        <v>4677</v>
      </c>
      <c r="E139" s="136">
        <v>2025.0</v>
      </c>
      <c r="F139" s="136" t="s">
        <v>1006</v>
      </c>
      <c r="G139" s="136" t="s">
        <v>4041</v>
      </c>
      <c r="H139" s="136" t="s">
        <v>4678</v>
      </c>
      <c r="I139" s="136" t="s">
        <v>4043</v>
      </c>
      <c r="J139" s="136" t="s">
        <v>4679</v>
      </c>
      <c r="K139" s="136">
        <v>73.0</v>
      </c>
      <c r="L139" s="136">
        <v>71.0</v>
      </c>
      <c r="M139" s="136">
        <v>54.7</v>
      </c>
      <c r="N139" s="136">
        <v>0.0</v>
      </c>
      <c r="O139" s="137">
        <v>54.7</v>
      </c>
      <c r="P139" s="136">
        <v>100.0</v>
      </c>
      <c r="Q139" s="136">
        <v>54.7</v>
      </c>
      <c r="R139" s="136" t="s">
        <v>4045</v>
      </c>
      <c r="S139" s="136">
        <v>70.0</v>
      </c>
      <c r="T139" s="136">
        <v>2.0</v>
      </c>
      <c r="U139" s="138">
        <v>45747.43361111111</v>
      </c>
      <c r="V139" s="139"/>
      <c r="W139" s="140"/>
      <c r="X139" s="140"/>
      <c r="Y139" s="140"/>
      <c r="Z139" s="140"/>
    </row>
    <row r="140">
      <c r="A140" s="135" t="s">
        <v>4680</v>
      </c>
      <c r="B140" s="136" t="s">
        <v>418</v>
      </c>
      <c r="C140" s="136" t="s">
        <v>2019</v>
      </c>
      <c r="D140" s="136" t="s">
        <v>4681</v>
      </c>
      <c r="E140" s="136">
        <v>2025.0</v>
      </c>
      <c r="F140" s="136" t="s">
        <v>1006</v>
      </c>
      <c r="G140" s="136" t="s">
        <v>4041</v>
      </c>
      <c r="H140" s="136" t="s">
        <v>4682</v>
      </c>
      <c r="I140" s="136" t="s">
        <v>4043</v>
      </c>
      <c r="J140" s="136" t="s">
        <v>4063</v>
      </c>
      <c r="K140" s="136">
        <v>73.0</v>
      </c>
      <c r="L140" s="136">
        <v>73.0</v>
      </c>
      <c r="M140" s="136">
        <v>68.66667</v>
      </c>
      <c r="N140" s="136">
        <v>0.0</v>
      </c>
      <c r="O140" s="137">
        <v>68.66667</v>
      </c>
      <c r="P140" s="136">
        <v>100.0</v>
      </c>
      <c r="Q140" s="136">
        <v>68.66667</v>
      </c>
      <c r="R140" s="136" t="s">
        <v>4200</v>
      </c>
      <c r="S140" s="136">
        <v>69.23077</v>
      </c>
      <c r="T140" s="136">
        <v>5.0</v>
      </c>
      <c r="U140" s="138">
        <v>45746.6034375</v>
      </c>
      <c r="V140" s="139"/>
      <c r="W140" s="140"/>
      <c r="X140" s="140"/>
      <c r="Y140" s="140"/>
      <c r="Z140" s="140"/>
    </row>
    <row r="141">
      <c r="A141" s="135" t="s">
        <v>4683</v>
      </c>
      <c r="B141" s="136" t="s">
        <v>423</v>
      </c>
      <c r="C141" s="136" t="s">
        <v>4684</v>
      </c>
      <c r="D141" s="136" t="s">
        <v>422</v>
      </c>
      <c r="E141" s="136">
        <v>2025.0</v>
      </c>
      <c r="F141" s="136" t="s">
        <v>1006</v>
      </c>
      <c r="G141" s="136" t="s">
        <v>4041</v>
      </c>
      <c r="H141" s="136" t="s">
        <v>4685</v>
      </c>
      <c r="I141" s="136" t="s">
        <v>4043</v>
      </c>
      <c r="J141" s="136" t="s">
        <v>4686</v>
      </c>
      <c r="K141" s="136">
        <v>73.0</v>
      </c>
      <c r="L141" s="136">
        <v>73.0</v>
      </c>
      <c r="M141" s="136">
        <v>53.16667</v>
      </c>
      <c r="N141" s="136">
        <v>0.0</v>
      </c>
      <c r="O141" s="137">
        <v>53.16667</v>
      </c>
      <c r="P141" s="136">
        <v>100.0</v>
      </c>
      <c r="Q141" s="136">
        <v>53.16667</v>
      </c>
      <c r="R141" s="136" t="s">
        <v>4045</v>
      </c>
      <c r="S141" s="136">
        <v>52.5641</v>
      </c>
      <c r="T141" s="136">
        <v>3.0</v>
      </c>
      <c r="U141" s="138">
        <v>45746.955983796295</v>
      </c>
      <c r="V141" s="139"/>
      <c r="W141" s="140"/>
      <c r="X141" s="140"/>
      <c r="Y141" s="140"/>
      <c r="Z141" s="140"/>
    </row>
    <row r="142">
      <c r="A142" s="135" t="s">
        <v>4687</v>
      </c>
      <c r="B142" s="136" t="s">
        <v>427</v>
      </c>
      <c r="C142" s="136" t="s">
        <v>2047</v>
      </c>
      <c r="D142" s="136" t="s">
        <v>3905</v>
      </c>
      <c r="E142" s="136">
        <v>2025.0</v>
      </c>
      <c r="F142" s="136" t="s">
        <v>1006</v>
      </c>
      <c r="G142" s="136" t="s">
        <v>4041</v>
      </c>
      <c r="H142" s="136" t="s">
        <v>4688</v>
      </c>
      <c r="I142" s="136" t="s">
        <v>4043</v>
      </c>
      <c r="J142" s="136" t="s">
        <v>4689</v>
      </c>
      <c r="K142" s="136">
        <v>73.0</v>
      </c>
      <c r="L142" s="136">
        <v>71.0</v>
      </c>
      <c r="M142" s="136">
        <v>56.33333</v>
      </c>
      <c r="N142" s="136">
        <v>0.0</v>
      </c>
      <c r="O142" s="137">
        <v>56.33333</v>
      </c>
      <c r="P142" s="136">
        <v>100.0</v>
      </c>
      <c r="Q142" s="136">
        <v>56.33333</v>
      </c>
      <c r="R142" s="136" t="s">
        <v>4045</v>
      </c>
      <c r="S142" s="136">
        <v>72.85714</v>
      </c>
      <c r="T142" s="136">
        <v>2.0</v>
      </c>
      <c r="U142" s="138">
        <v>45746.48363425926</v>
      </c>
      <c r="V142" s="139"/>
      <c r="W142" s="140"/>
      <c r="X142" s="140"/>
      <c r="Y142" s="140"/>
      <c r="Z142" s="140"/>
    </row>
    <row r="143">
      <c r="A143" s="135" t="s">
        <v>4690</v>
      </c>
      <c r="B143" s="136" t="s">
        <v>584</v>
      </c>
      <c r="C143" s="136" t="s">
        <v>2499</v>
      </c>
      <c r="D143" s="136" t="s">
        <v>4691</v>
      </c>
      <c r="E143" s="136">
        <v>2025.0</v>
      </c>
      <c r="F143" s="136" t="s">
        <v>1006</v>
      </c>
      <c r="G143" s="136" t="s">
        <v>4041</v>
      </c>
      <c r="H143" s="136" t="s">
        <v>4692</v>
      </c>
      <c r="I143" s="136" t="s">
        <v>4043</v>
      </c>
      <c r="J143" s="136" t="s">
        <v>4693</v>
      </c>
      <c r="K143" s="136">
        <v>73.0</v>
      </c>
      <c r="L143" s="136">
        <v>71.0</v>
      </c>
      <c r="M143" s="136">
        <v>34.53333</v>
      </c>
      <c r="N143" s="136">
        <v>0.0</v>
      </c>
      <c r="O143" s="137">
        <v>34.53333</v>
      </c>
      <c r="P143" s="136">
        <v>100.0</v>
      </c>
      <c r="Q143" s="136">
        <v>34.53333</v>
      </c>
      <c r="R143" s="136" t="s">
        <v>4045</v>
      </c>
      <c r="S143" s="136">
        <v>42.85714</v>
      </c>
      <c r="T143" s="136">
        <v>2.0</v>
      </c>
      <c r="U143" s="138">
        <v>45746.97193287037</v>
      </c>
      <c r="V143" s="139"/>
      <c r="W143" s="140"/>
      <c r="X143" s="140"/>
      <c r="Y143" s="140"/>
      <c r="Z143" s="140"/>
    </row>
    <row r="144">
      <c r="A144" s="135" t="s">
        <v>4694</v>
      </c>
      <c r="B144" s="136" t="s">
        <v>757</v>
      </c>
      <c r="C144" s="136" t="s">
        <v>2960</v>
      </c>
      <c r="D144" s="136" t="s">
        <v>4695</v>
      </c>
      <c r="E144" s="136">
        <v>2025.0</v>
      </c>
      <c r="F144" s="136" t="s">
        <v>1006</v>
      </c>
      <c r="G144" s="136" t="s">
        <v>4041</v>
      </c>
      <c r="H144" s="136" t="s">
        <v>4696</v>
      </c>
      <c r="I144" s="136" t="s">
        <v>4043</v>
      </c>
      <c r="J144" s="136" t="s">
        <v>4697</v>
      </c>
      <c r="K144" s="136">
        <v>73.0</v>
      </c>
      <c r="L144" s="136">
        <v>71.0</v>
      </c>
      <c r="M144" s="136">
        <v>31.16667</v>
      </c>
      <c r="N144" s="136">
        <v>0.0</v>
      </c>
      <c r="O144" s="137">
        <v>31.16667</v>
      </c>
      <c r="P144" s="136">
        <v>100.0</v>
      </c>
      <c r="Q144" s="136">
        <v>31.16667</v>
      </c>
      <c r="R144" s="136" t="s">
        <v>4045</v>
      </c>
      <c r="S144" s="136">
        <v>35.71429</v>
      </c>
      <c r="T144" s="136">
        <v>1.0</v>
      </c>
      <c r="U144" s="138">
        <v>45746.86380787037</v>
      </c>
      <c r="V144" s="139"/>
      <c r="W144" s="140"/>
      <c r="X144" s="140"/>
      <c r="Y144" s="140"/>
      <c r="Z144" s="140"/>
    </row>
    <row r="145">
      <c r="A145" s="135" t="s">
        <v>4698</v>
      </c>
      <c r="B145" s="136" t="s">
        <v>1021</v>
      </c>
      <c r="C145" s="136" t="s">
        <v>2993</v>
      </c>
      <c r="D145" s="136" t="s">
        <v>767</v>
      </c>
      <c r="E145" s="136">
        <v>2025.0</v>
      </c>
      <c r="F145" s="136" t="s">
        <v>1006</v>
      </c>
      <c r="G145" s="136" t="s">
        <v>4041</v>
      </c>
      <c r="H145" s="136" t="s">
        <v>4699</v>
      </c>
      <c r="I145" s="136" t="s">
        <v>4043</v>
      </c>
      <c r="J145" s="136" t="s">
        <v>4700</v>
      </c>
      <c r="K145" s="136">
        <v>73.0</v>
      </c>
      <c r="L145" s="136">
        <v>71.0</v>
      </c>
      <c r="M145" s="136">
        <v>36.6</v>
      </c>
      <c r="N145" s="136">
        <v>0.0</v>
      </c>
      <c r="O145" s="137">
        <v>36.6</v>
      </c>
      <c r="P145" s="136">
        <v>100.0</v>
      </c>
      <c r="Q145" s="136">
        <v>36.6</v>
      </c>
      <c r="R145" s="136" t="s">
        <v>4045</v>
      </c>
      <c r="S145" s="136">
        <v>48.57143</v>
      </c>
      <c r="T145" s="136">
        <v>1.0</v>
      </c>
      <c r="U145" s="138">
        <v>45746.84636574074</v>
      </c>
      <c r="V145" s="139"/>
      <c r="W145" s="140"/>
      <c r="X145" s="140"/>
      <c r="Y145" s="140"/>
      <c r="Z145" s="140"/>
    </row>
    <row r="146">
      <c r="A146" s="135" t="s">
        <v>4701</v>
      </c>
      <c r="B146" s="136" t="s">
        <v>4702</v>
      </c>
      <c r="C146" s="136" t="s">
        <v>3433</v>
      </c>
      <c r="D146" s="136" t="s">
        <v>4703</v>
      </c>
      <c r="E146" s="136">
        <v>2025.0</v>
      </c>
      <c r="F146" s="136" t="s">
        <v>1006</v>
      </c>
      <c r="G146" s="136" t="s">
        <v>4041</v>
      </c>
      <c r="H146" s="136" t="s">
        <v>4704</v>
      </c>
      <c r="I146" s="136" t="s">
        <v>4043</v>
      </c>
      <c r="J146" s="136" t="s">
        <v>4705</v>
      </c>
      <c r="K146" s="136">
        <v>73.0</v>
      </c>
      <c r="L146" s="136">
        <v>69.0</v>
      </c>
      <c r="M146" s="136">
        <v>19.0</v>
      </c>
      <c r="N146" s="136">
        <v>0.0</v>
      </c>
      <c r="O146" s="137">
        <v>19.0</v>
      </c>
      <c r="P146" s="136">
        <v>100.0</v>
      </c>
      <c r="Q146" s="136">
        <v>19.0</v>
      </c>
      <c r="R146" s="136" t="s">
        <v>4045</v>
      </c>
      <c r="S146" s="136">
        <v>27.53623</v>
      </c>
      <c r="T146" s="136">
        <v>3.0</v>
      </c>
      <c r="U146" s="138">
        <v>45746.8449537037</v>
      </c>
      <c r="V146" s="139"/>
      <c r="W146" s="140"/>
      <c r="X146" s="140"/>
      <c r="Y146" s="140"/>
      <c r="Z146" s="140"/>
    </row>
    <row r="147">
      <c r="A147" s="135" t="s">
        <v>4706</v>
      </c>
      <c r="B147" s="136" t="s">
        <v>4707</v>
      </c>
      <c r="C147" s="136" t="s">
        <v>3439</v>
      </c>
      <c r="D147" s="136" t="s">
        <v>4708</v>
      </c>
      <c r="E147" s="136">
        <v>2025.0</v>
      </c>
      <c r="F147" s="136" t="s">
        <v>1006</v>
      </c>
      <c r="G147" s="136" t="s">
        <v>4041</v>
      </c>
      <c r="H147" s="136" t="s">
        <v>4709</v>
      </c>
      <c r="I147" s="136" t="s">
        <v>4043</v>
      </c>
      <c r="J147" s="136" t="s">
        <v>4710</v>
      </c>
      <c r="K147" s="136">
        <v>73.0</v>
      </c>
      <c r="L147" s="136">
        <v>73.0</v>
      </c>
      <c r="M147" s="136">
        <v>27.53333</v>
      </c>
      <c r="N147" s="136">
        <v>0.0</v>
      </c>
      <c r="O147" s="137">
        <v>27.53333</v>
      </c>
      <c r="P147" s="136">
        <v>100.0</v>
      </c>
      <c r="Q147" s="136">
        <v>27.53333</v>
      </c>
      <c r="R147" s="136" t="s">
        <v>4045</v>
      </c>
      <c r="S147" s="136">
        <v>28.20513</v>
      </c>
      <c r="T147" s="136">
        <v>1.0</v>
      </c>
      <c r="U147" s="138">
        <v>45747.66568287037</v>
      </c>
      <c r="V147" s="139"/>
      <c r="W147" s="140"/>
      <c r="X147" s="140"/>
      <c r="Y147" s="140"/>
      <c r="Z147" s="140"/>
    </row>
    <row r="148">
      <c r="A148" s="135" t="s">
        <v>4711</v>
      </c>
      <c r="B148" s="136" t="s">
        <v>931</v>
      </c>
      <c r="C148" s="136" t="s">
        <v>3450</v>
      </c>
      <c r="D148" s="136" t="s">
        <v>3911</v>
      </c>
      <c r="E148" s="136">
        <v>2025.0</v>
      </c>
      <c r="F148" s="136" t="s">
        <v>1006</v>
      </c>
      <c r="G148" s="136" t="s">
        <v>4041</v>
      </c>
      <c r="H148" s="136" t="s">
        <v>4712</v>
      </c>
      <c r="I148" s="136" t="s">
        <v>4043</v>
      </c>
      <c r="J148" s="136" t="s">
        <v>4713</v>
      </c>
      <c r="K148" s="136">
        <v>73.0</v>
      </c>
      <c r="L148" s="136">
        <v>69.0</v>
      </c>
      <c r="M148" s="136">
        <v>47.63333</v>
      </c>
      <c r="N148" s="136">
        <v>0.0</v>
      </c>
      <c r="O148" s="137">
        <v>47.63333</v>
      </c>
      <c r="P148" s="136">
        <v>100.0</v>
      </c>
      <c r="Q148" s="136">
        <v>47.63333</v>
      </c>
      <c r="R148" s="136" t="s">
        <v>4045</v>
      </c>
      <c r="S148" s="136">
        <v>47.2973</v>
      </c>
      <c r="T148" s="136">
        <v>1.0</v>
      </c>
      <c r="U148" s="138">
        <v>45747.36337962963</v>
      </c>
      <c r="V148" s="139"/>
      <c r="W148" s="140"/>
      <c r="X148" s="140"/>
      <c r="Y148" s="140"/>
      <c r="Z148" s="140"/>
    </row>
    <row r="149">
      <c r="A149" s="135" t="s">
        <v>4714</v>
      </c>
      <c r="B149" s="136" t="s">
        <v>4715</v>
      </c>
      <c r="C149" s="136" t="s">
        <v>4716</v>
      </c>
      <c r="D149" s="136" t="s">
        <v>4717</v>
      </c>
      <c r="E149" s="136">
        <v>2025.0</v>
      </c>
      <c r="F149" s="136" t="s">
        <v>4718</v>
      </c>
      <c r="G149" s="136" t="s">
        <v>4041</v>
      </c>
      <c r="H149" s="136" t="s">
        <v>4719</v>
      </c>
      <c r="I149" s="136" t="s">
        <v>4043</v>
      </c>
      <c r="J149" s="136" t="s">
        <v>4720</v>
      </c>
      <c r="K149" s="136">
        <v>73.0</v>
      </c>
      <c r="L149" s="136">
        <v>71.0</v>
      </c>
      <c r="M149" s="136">
        <v>53.0</v>
      </c>
      <c r="N149" s="136">
        <v>0.0</v>
      </c>
      <c r="O149" s="137">
        <v>53.0</v>
      </c>
      <c r="P149" s="136">
        <v>100.0</v>
      </c>
      <c r="Q149" s="136">
        <v>53.0</v>
      </c>
      <c r="R149" s="136" t="s">
        <v>4045</v>
      </c>
      <c r="S149" s="136">
        <v>63.51351</v>
      </c>
      <c r="T149" s="136">
        <v>1.0</v>
      </c>
      <c r="U149" s="138">
        <v>45747.70815972222</v>
      </c>
      <c r="V149" s="139"/>
      <c r="W149" s="140"/>
      <c r="X149" s="140"/>
      <c r="Y149" s="140"/>
      <c r="Z149" s="140"/>
    </row>
    <row r="150">
      <c r="A150" s="135" t="s">
        <v>4721</v>
      </c>
      <c r="B150" s="136" t="s">
        <v>4722</v>
      </c>
      <c r="C150" s="136" t="s">
        <v>4723</v>
      </c>
      <c r="D150" s="136" t="s">
        <v>4724</v>
      </c>
      <c r="E150" s="136">
        <v>2025.0</v>
      </c>
      <c r="F150" s="136" t="s">
        <v>4718</v>
      </c>
      <c r="G150" s="136" t="s">
        <v>4041</v>
      </c>
      <c r="H150" s="136" t="s">
        <v>4725</v>
      </c>
      <c r="I150" s="136" t="s">
        <v>4043</v>
      </c>
      <c r="J150" s="136" t="s">
        <v>4726</v>
      </c>
      <c r="K150" s="136">
        <v>73.0</v>
      </c>
      <c r="L150" s="136">
        <v>70.0</v>
      </c>
      <c r="M150" s="136">
        <v>45.33333</v>
      </c>
      <c r="N150" s="136">
        <v>0.0</v>
      </c>
      <c r="O150" s="137">
        <v>45.33333</v>
      </c>
      <c r="P150" s="136">
        <v>100.0</v>
      </c>
      <c r="Q150" s="136">
        <v>45.33333</v>
      </c>
      <c r="R150" s="136" t="s">
        <v>4045</v>
      </c>
      <c r="S150" s="136">
        <v>60.86957</v>
      </c>
      <c r="T150" s="136">
        <v>0.0</v>
      </c>
      <c r="U150" s="138">
        <v>45746.92936342592</v>
      </c>
      <c r="V150" s="139"/>
      <c r="W150" s="140"/>
      <c r="X150" s="140"/>
      <c r="Y150" s="140"/>
      <c r="Z150" s="140"/>
    </row>
    <row r="151">
      <c r="A151" s="135" t="s">
        <v>4727</v>
      </c>
      <c r="B151" s="136" t="s">
        <v>4728</v>
      </c>
      <c r="C151" s="136" t="s">
        <v>4729</v>
      </c>
      <c r="D151" s="136" t="s">
        <v>4730</v>
      </c>
      <c r="E151" s="136">
        <v>2025.0</v>
      </c>
      <c r="F151" s="136" t="s">
        <v>4718</v>
      </c>
      <c r="G151" s="136" t="s">
        <v>4041</v>
      </c>
      <c r="H151" s="136" t="s">
        <v>4731</v>
      </c>
      <c r="I151" s="136" t="s">
        <v>4043</v>
      </c>
      <c r="J151" s="136" t="s">
        <v>4732</v>
      </c>
      <c r="K151" s="136">
        <v>73.0</v>
      </c>
      <c r="L151" s="136">
        <v>60.0</v>
      </c>
      <c r="M151" s="136">
        <v>48.1</v>
      </c>
      <c r="N151" s="136">
        <v>0.0</v>
      </c>
      <c r="O151" s="137">
        <v>48.1</v>
      </c>
      <c r="P151" s="136">
        <v>100.0</v>
      </c>
      <c r="Q151" s="136">
        <v>48.1</v>
      </c>
      <c r="R151" s="136" t="s">
        <v>4045</v>
      </c>
      <c r="S151" s="136">
        <v>72.88136</v>
      </c>
      <c r="T151" s="136">
        <v>1.0</v>
      </c>
      <c r="U151" s="138">
        <v>45746.80767361111</v>
      </c>
      <c r="V151" s="139"/>
      <c r="W151" s="140"/>
      <c r="X151" s="140"/>
      <c r="Y151" s="140"/>
      <c r="Z151" s="140"/>
    </row>
    <row r="152">
      <c r="A152" s="135" t="s">
        <v>4733</v>
      </c>
      <c r="B152" s="136" t="s">
        <v>4734</v>
      </c>
      <c r="C152" s="136" t="s">
        <v>4735</v>
      </c>
      <c r="D152" s="136" t="s">
        <v>4736</v>
      </c>
      <c r="E152" s="136">
        <v>2025.0</v>
      </c>
      <c r="F152" s="136" t="s">
        <v>4718</v>
      </c>
      <c r="G152" s="136" t="s">
        <v>4041</v>
      </c>
      <c r="H152" s="136" t="s">
        <v>4737</v>
      </c>
      <c r="I152" s="136" t="s">
        <v>4043</v>
      </c>
      <c r="J152" s="136" t="s">
        <v>4738</v>
      </c>
      <c r="K152" s="136">
        <v>73.0</v>
      </c>
      <c r="L152" s="136">
        <v>70.0</v>
      </c>
      <c r="M152" s="136">
        <v>40.23333</v>
      </c>
      <c r="N152" s="136">
        <v>0.0</v>
      </c>
      <c r="O152" s="137">
        <v>40.23333</v>
      </c>
      <c r="P152" s="136">
        <v>100.0</v>
      </c>
      <c r="Q152" s="136">
        <v>40.23333</v>
      </c>
      <c r="R152" s="136" t="s">
        <v>4045</v>
      </c>
      <c r="S152" s="136">
        <v>50.72464</v>
      </c>
      <c r="T152" s="136">
        <v>1.0</v>
      </c>
      <c r="U152" s="138">
        <v>45747.67109953704</v>
      </c>
      <c r="V152" s="139"/>
      <c r="W152" s="140"/>
      <c r="X152" s="140"/>
      <c r="Y152" s="140"/>
      <c r="Z152" s="140"/>
    </row>
    <row r="153">
      <c r="A153" s="135" t="s">
        <v>4739</v>
      </c>
      <c r="B153" s="136" t="s">
        <v>4740</v>
      </c>
      <c r="C153" s="136" t="s">
        <v>4741</v>
      </c>
      <c r="D153" s="136" t="s">
        <v>4742</v>
      </c>
      <c r="E153" s="136">
        <v>2025.0</v>
      </c>
      <c r="F153" s="136" t="s">
        <v>4718</v>
      </c>
      <c r="G153" s="136" t="s">
        <v>4041</v>
      </c>
      <c r="H153" s="136" t="s">
        <v>4743</v>
      </c>
      <c r="I153" s="136" t="s">
        <v>4043</v>
      </c>
      <c r="J153" s="136" t="s">
        <v>4744</v>
      </c>
      <c r="K153" s="136">
        <v>73.0</v>
      </c>
      <c r="L153" s="136">
        <v>70.0</v>
      </c>
      <c r="M153" s="136">
        <v>24.0</v>
      </c>
      <c r="N153" s="136">
        <v>0.0</v>
      </c>
      <c r="O153" s="137">
        <v>24.0</v>
      </c>
      <c r="P153" s="136">
        <v>100.0</v>
      </c>
      <c r="Q153" s="136">
        <v>24.0</v>
      </c>
      <c r="R153" s="136" t="s">
        <v>4045</v>
      </c>
      <c r="S153" s="136">
        <v>34.28571</v>
      </c>
      <c r="T153" s="136">
        <v>4.0</v>
      </c>
      <c r="U153" s="138">
        <v>45746.83775462963</v>
      </c>
      <c r="V153" s="139"/>
      <c r="W153" s="140"/>
      <c r="X153" s="140"/>
      <c r="Y153" s="140"/>
      <c r="Z153" s="140"/>
    </row>
    <row r="154">
      <c r="A154" s="135" t="s">
        <v>4745</v>
      </c>
      <c r="B154" s="136" t="s">
        <v>4746</v>
      </c>
      <c r="C154" s="136" t="s">
        <v>4747</v>
      </c>
      <c r="D154" s="136" t="s">
        <v>4748</v>
      </c>
      <c r="E154" s="136">
        <v>2025.0</v>
      </c>
      <c r="F154" s="136" t="s">
        <v>4718</v>
      </c>
      <c r="G154" s="136" t="s">
        <v>4041</v>
      </c>
      <c r="H154" s="136" t="s">
        <v>4749</v>
      </c>
      <c r="I154" s="136" t="s">
        <v>4043</v>
      </c>
      <c r="J154" s="136" t="s">
        <v>4218</v>
      </c>
      <c r="K154" s="136">
        <v>73.0</v>
      </c>
      <c r="L154" s="136">
        <v>73.0</v>
      </c>
      <c r="M154" s="136">
        <v>60.2</v>
      </c>
      <c r="N154" s="136">
        <v>0.0</v>
      </c>
      <c r="O154" s="137">
        <v>60.2</v>
      </c>
      <c r="P154" s="136">
        <v>100.0</v>
      </c>
      <c r="Q154" s="136">
        <v>60.2</v>
      </c>
      <c r="R154" s="136" t="s">
        <v>4200</v>
      </c>
      <c r="S154" s="136">
        <v>70.51282</v>
      </c>
      <c r="T154" s="136">
        <v>0.0</v>
      </c>
      <c r="U154" s="138">
        <v>45747.67636574074</v>
      </c>
      <c r="V154" s="139"/>
      <c r="W154" s="140"/>
      <c r="X154" s="140"/>
      <c r="Y154" s="140"/>
      <c r="Z154" s="140"/>
    </row>
    <row r="155">
      <c r="A155" s="135" t="s">
        <v>4750</v>
      </c>
      <c r="B155" s="136" t="s">
        <v>4751</v>
      </c>
      <c r="C155" s="136" t="s">
        <v>4752</v>
      </c>
      <c r="D155" s="136" t="s">
        <v>4753</v>
      </c>
      <c r="E155" s="136">
        <v>2025.0</v>
      </c>
      <c r="F155" s="136" t="s">
        <v>4718</v>
      </c>
      <c r="G155" s="136" t="s">
        <v>4041</v>
      </c>
      <c r="H155" s="136" t="s">
        <v>4754</v>
      </c>
      <c r="I155" s="136" t="s">
        <v>4043</v>
      </c>
      <c r="J155" s="136" t="s">
        <v>4755</v>
      </c>
      <c r="K155" s="136">
        <v>73.0</v>
      </c>
      <c r="L155" s="136">
        <v>71.0</v>
      </c>
      <c r="M155" s="136">
        <v>15.23333</v>
      </c>
      <c r="N155" s="136">
        <v>0.0</v>
      </c>
      <c r="O155" s="137">
        <v>15.23333</v>
      </c>
      <c r="P155" s="136">
        <v>100.0</v>
      </c>
      <c r="Q155" s="136">
        <v>15.23333</v>
      </c>
      <c r="R155" s="136" t="s">
        <v>4045</v>
      </c>
      <c r="S155" s="136">
        <v>20.0</v>
      </c>
      <c r="T155" s="136">
        <v>2.0</v>
      </c>
      <c r="U155" s="138">
        <v>45747.739270833335</v>
      </c>
      <c r="V155" s="139"/>
      <c r="W155" s="140"/>
      <c r="X155" s="140"/>
      <c r="Y155" s="140"/>
      <c r="Z155" s="140"/>
    </row>
    <row r="156">
      <c r="A156" s="135" t="s">
        <v>4756</v>
      </c>
      <c r="B156" s="136" t="s">
        <v>4757</v>
      </c>
      <c r="C156" s="136" t="s">
        <v>4758</v>
      </c>
      <c r="D156" s="136" t="s">
        <v>4759</v>
      </c>
      <c r="E156" s="136">
        <v>2025.0</v>
      </c>
      <c r="F156" s="136" t="s">
        <v>4718</v>
      </c>
      <c r="G156" s="136" t="s">
        <v>4041</v>
      </c>
      <c r="H156" s="136" t="s">
        <v>4760</v>
      </c>
      <c r="I156" s="136" t="s">
        <v>4043</v>
      </c>
      <c r="J156" s="136" t="s">
        <v>4761</v>
      </c>
      <c r="K156" s="136">
        <v>73.0</v>
      </c>
      <c r="L156" s="136">
        <v>11.0</v>
      </c>
      <c r="M156" s="136">
        <v>7.0</v>
      </c>
      <c r="N156" s="136">
        <v>0.0</v>
      </c>
      <c r="O156" s="137">
        <v>7.0</v>
      </c>
      <c r="P156" s="136">
        <v>100.0</v>
      </c>
      <c r="Q156" s="136">
        <v>7.0</v>
      </c>
      <c r="R156" s="136" t="s">
        <v>4045</v>
      </c>
      <c r="S156" s="136">
        <v>63.63636</v>
      </c>
      <c r="T156" s="136">
        <v>9.0</v>
      </c>
      <c r="U156" s="138">
        <v>45747.6955787037</v>
      </c>
      <c r="V156" s="139"/>
      <c r="W156" s="140"/>
      <c r="X156" s="140"/>
      <c r="Y156" s="140"/>
      <c r="Z156" s="140"/>
    </row>
    <row r="157">
      <c r="A157" s="135" t="s">
        <v>4762</v>
      </c>
      <c r="B157" s="136" t="s">
        <v>4763</v>
      </c>
      <c r="C157" s="136" t="s">
        <v>4764</v>
      </c>
      <c r="D157" s="136" t="s">
        <v>4765</v>
      </c>
      <c r="E157" s="136">
        <v>2025.0</v>
      </c>
      <c r="F157" s="136" t="s">
        <v>4718</v>
      </c>
      <c r="G157" s="136" t="s">
        <v>4041</v>
      </c>
      <c r="H157" s="136" t="s">
        <v>4766</v>
      </c>
      <c r="I157" s="136" t="s">
        <v>4043</v>
      </c>
      <c r="J157" s="136" t="s">
        <v>4767</v>
      </c>
      <c r="K157" s="136">
        <v>73.0</v>
      </c>
      <c r="L157" s="136">
        <v>72.0</v>
      </c>
      <c r="M157" s="136">
        <v>65.63333</v>
      </c>
      <c r="N157" s="136">
        <v>0.0</v>
      </c>
      <c r="O157" s="137">
        <v>65.63333</v>
      </c>
      <c r="P157" s="136">
        <v>100.0</v>
      </c>
      <c r="Q157" s="136">
        <v>65.63333</v>
      </c>
      <c r="R157" s="136" t="s">
        <v>4200</v>
      </c>
      <c r="S157" s="136">
        <v>67.53247</v>
      </c>
      <c r="T157" s="136">
        <v>4.0</v>
      </c>
      <c r="U157" s="138">
        <v>45745.96061342592</v>
      </c>
      <c r="V157" s="139"/>
      <c r="W157" s="140"/>
      <c r="X157" s="140"/>
      <c r="Y157" s="140"/>
      <c r="Z157" s="140"/>
    </row>
    <row r="158">
      <c r="A158" s="135" t="s">
        <v>4768</v>
      </c>
      <c r="B158" s="136" t="s">
        <v>4769</v>
      </c>
      <c r="C158" s="136" t="s">
        <v>4770</v>
      </c>
      <c r="D158" s="136" t="s">
        <v>4771</v>
      </c>
      <c r="E158" s="136">
        <v>2025.0</v>
      </c>
      <c r="F158" s="136" t="s">
        <v>4718</v>
      </c>
      <c r="G158" s="136" t="s">
        <v>4041</v>
      </c>
      <c r="H158" s="136" t="s">
        <v>4772</v>
      </c>
      <c r="I158" s="136" t="s">
        <v>4043</v>
      </c>
      <c r="J158" s="136" t="s">
        <v>4773</v>
      </c>
      <c r="K158" s="136">
        <v>73.0</v>
      </c>
      <c r="L158" s="136">
        <v>72.0</v>
      </c>
      <c r="M158" s="136">
        <v>55.63333</v>
      </c>
      <c r="N158" s="136">
        <v>0.0</v>
      </c>
      <c r="O158" s="137">
        <v>55.63333</v>
      </c>
      <c r="P158" s="136">
        <v>100.0</v>
      </c>
      <c r="Q158" s="136">
        <v>55.63333</v>
      </c>
      <c r="R158" s="136" t="s">
        <v>4045</v>
      </c>
      <c r="S158" s="136">
        <v>67.56757</v>
      </c>
      <c r="T158" s="136">
        <v>6.0</v>
      </c>
      <c r="U158" s="138">
        <v>45748.578310185185</v>
      </c>
      <c r="V158" s="139"/>
      <c r="W158" s="140"/>
      <c r="X158" s="140"/>
      <c r="Y158" s="140"/>
      <c r="Z158" s="140"/>
    </row>
    <row r="159">
      <c r="A159" s="135" t="s">
        <v>4774</v>
      </c>
      <c r="B159" s="136" t="s">
        <v>4775</v>
      </c>
      <c r="C159" s="136" t="s">
        <v>4776</v>
      </c>
      <c r="D159" s="136" t="s">
        <v>4777</v>
      </c>
      <c r="E159" s="136">
        <v>2025.0</v>
      </c>
      <c r="F159" s="136" t="s">
        <v>4718</v>
      </c>
      <c r="G159" s="136" t="s">
        <v>4041</v>
      </c>
      <c r="H159" s="136" t="s">
        <v>4778</v>
      </c>
      <c r="I159" s="136" t="s">
        <v>4043</v>
      </c>
      <c r="J159" s="136" t="s">
        <v>4779</v>
      </c>
      <c r="K159" s="136">
        <v>73.0</v>
      </c>
      <c r="L159" s="136">
        <v>71.0</v>
      </c>
      <c r="M159" s="136">
        <v>29.16667</v>
      </c>
      <c r="N159" s="136">
        <v>0.0</v>
      </c>
      <c r="O159" s="137">
        <v>29.16667</v>
      </c>
      <c r="P159" s="136">
        <v>100.0</v>
      </c>
      <c r="Q159" s="136">
        <v>29.16667</v>
      </c>
      <c r="R159" s="136" t="s">
        <v>4045</v>
      </c>
      <c r="S159" s="136">
        <v>32.85714</v>
      </c>
      <c r="T159" s="136">
        <v>1.0</v>
      </c>
      <c r="U159" s="138">
        <v>45746.596354166664</v>
      </c>
      <c r="V159" s="139"/>
      <c r="W159" s="140"/>
      <c r="X159" s="140"/>
      <c r="Y159" s="140"/>
      <c r="Z159" s="140"/>
    </row>
    <row r="160">
      <c r="A160" s="135" t="s">
        <v>4780</v>
      </c>
      <c r="B160" s="136" t="s">
        <v>4781</v>
      </c>
      <c r="C160" s="136" t="s">
        <v>4782</v>
      </c>
      <c r="D160" s="136" t="s">
        <v>4783</v>
      </c>
      <c r="E160" s="136">
        <v>2025.0</v>
      </c>
      <c r="F160" s="136" t="s">
        <v>4718</v>
      </c>
      <c r="G160" s="136" t="s">
        <v>4041</v>
      </c>
      <c r="H160" s="136" t="s">
        <v>4784</v>
      </c>
      <c r="I160" s="136" t="s">
        <v>4043</v>
      </c>
      <c r="J160" s="136" t="s">
        <v>4785</v>
      </c>
      <c r="K160" s="136">
        <v>73.0</v>
      </c>
      <c r="L160" s="136">
        <v>62.0</v>
      </c>
      <c r="M160" s="136">
        <v>50.0</v>
      </c>
      <c r="N160" s="136">
        <v>0.0</v>
      </c>
      <c r="O160" s="137">
        <v>50.0</v>
      </c>
      <c r="P160" s="136">
        <v>100.0</v>
      </c>
      <c r="Q160" s="136">
        <v>50.0</v>
      </c>
      <c r="R160" s="136" t="s">
        <v>4045</v>
      </c>
      <c r="S160" s="136">
        <v>80.64516</v>
      </c>
      <c r="T160" s="136">
        <v>2.0</v>
      </c>
      <c r="U160" s="138">
        <v>45748.80258101852</v>
      </c>
      <c r="V160" s="139"/>
      <c r="W160" s="140"/>
      <c r="X160" s="140"/>
      <c r="Y160" s="140"/>
      <c r="Z160" s="140"/>
    </row>
    <row r="161">
      <c r="A161" s="135" t="s">
        <v>4786</v>
      </c>
      <c r="B161" s="136" t="s">
        <v>4787</v>
      </c>
      <c r="C161" s="136" t="s">
        <v>4788</v>
      </c>
      <c r="D161" s="136" t="s">
        <v>4789</v>
      </c>
      <c r="E161" s="136">
        <v>2025.0</v>
      </c>
      <c r="F161" s="136" t="s">
        <v>4718</v>
      </c>
      <c r="G161" s="136" t="s">
        <v>4041</v>
      </c>
      <c r="H161" s="136" t="s">
        <v>4790</v>
      </c>
      <c r="I161" s="136" t="s">
        <v>4043</v>
      </c>
      <c r="J161" s="136" t="s">
        <v>4791</v>
      </c>
      <c r="K161" s="136">
        <v>73.0</v>
      </c>
      <c r="L161" s="136">
        <v>60.0</v>
      </c>
      <c r="M161" s="136">
        <v>26.03333</v>
      </c>
      <c r="N161" s="136">
        <v>0.0</v>
      </c>
      <c r="O161" s="137">
        <v>26.03333</v>
      </c>
      <c r="P161" s="136">
        <v>100.0</v>
      </c>
      <c r="Q161" s="136">
        <v>26.03333</v>
      </c>
      <c r="R161" s="136" t="s">
        <v>4045</v>
      </c>
      <c r="S161" s="136">
        <v>38.98305</v>
      </c>
      <c r="T161" s="136">
        <v>3.0</v>
      </c>
      <c r="U161" s="138">
        <v>45747.660625</v>
      </c>
      <c r="V161" s="139"/>
      <c r="W161" s="140"/>
      <c r="X161" s="140"/>
      <c r="Y161" s="140"/>
      <c r="Z161" s="140"/>
    </row>
    <row r="162">
      <c r="A162" s="135" t="s">
        <v>4792</v>
      </c>
      <c r="B162" s="136" t="s">
        <v>4793</v>
      </c>
      <c r="C162" s="136" t="s">
        <v>4794</v>
      </c>
      <c r="D162" s="136" t="s">
        <v>4795</v>
      </c>
      <c r="E162" s="136">
        <v>2025.0</v>
      </c>
      <c r="F162" s="136" t="s">
        <v>4718</v>
      </c>
      <c r="G162" s="136" t="s">
        <v>4041</v>
      </c>
      <c r="H162" s="136" t="s">
        <v>4796</v>
      </c>
      <c r="I162" s="136" t="s">
        <v>4043</v>
      </c>
      <c r="J162" s="136" t="s">
        <v>4797</v>
      </c>
      <c r="K162" s="136">
        <v>73.0</v>
      </c>
      <c r="L162" s="136">
        <v>71.0</v>
      </c>
      <c r="M162" s="136">
        <v>33.2</v>
      </c>
      <c r="N162" s="136">
        <v>0.0</v>
      </c>
      <c r="O162" s="137">
        <v>33.2</v>
      </c>
      <c r="P162" s="136">
        <v>100.0</v>
      </c>
      <c r="Q162" s="136">
        <v>33.2</v>
      </c>
      <c r="R162" s="136" t="s">
        <v>4045</v>
      </c>
      <c r="S162" s="136">
        <v>42.85714</v>
      </c>
      <c r="T162" s="136">
        <v>2.0</v>
      </c>
      <c r="U162" s="138">
        <v>45747.74793981481</v>
      </c>
      <c r="V162" s="139"/>
      <c r="W162" s="140"/>
      <c r="X162" s="140"/>
      <c r="Y162" s="140"/>
      <c r="Z162" s="140"/>
    </row>
    <row r="163">
      <c r="A163" s="135" t="s">
        <v>4798</v>
      </c>
      <c r="B163" s="136" t="s">
        <v>4799</v>
      </c>
      <c r="C163" s="136" t="s">
        <v>4800</v>
      </c>
      <c r="D163" s="136" t="s">
        <v>4801</v>
      </c>
      <c r="E163" s="136">
        <v>2025.0</v>
      </c>
      <c r="F163" s="136" t="s">
        <v>4718</v>
      </c>
      <c r="G163" s="136" t="s">
        <v>4041</v>
      </c>
      <c r="H163" s="136" t="s">
        <v>4802</v>
      </c>
      <c r="I163" s="136" t="s">
        <v>4043</v>
      </c>
      <c r="J163" s="136" t="s">
        <v>4577</v>
      </c>
      <c r="K163" s="136">
        <v>73.0</v>
      </c>
      <c r="L163" s="136">
        <v>70.0</v>
      </c>
      <c r="M163" s="136">
        <v>23.0</v>
      </c>
      <c r="N163" s="136">
        <v>0.0</v>
      </c>
      <c r="O163" s="137">
        <v>23.0</v>
      </c>
      <c r="P163" s="136">
        <v>100.0</v>
      </c>
      <c r="Q163" s="136">
        <v>23.0</v>
      </c>
      <c r="R163" s="136" t="s">
        <v>4045</v>
      </c>
      <c r="S163" s="136">
        <v>32.85714</v>
      </c>
      <c r="T163" s="136">
        <v>1.0</v>
      </c>
      <c r="U163" s="138">
        <v>45746.9025</v>
      </c>
      <c r="V163" s="139"/>
      <c r="W163" s="140"/>
      <c r="X163" s="140"/>
      <c r="Y163" s="140"/>
      <c r="Z163" s="140"/>
    </row>
    <row r="164">
      <c r="A164" s="135" t="s">
        <v>4803</v>
      </c>
      <c r="B164" s="136" t="s">
        <v>4804</v>
      </c>
      <c r="C164" s="136" t="s">
        <v>4805</v>
      </c>
      <c r="D164" s="136" t="s">
        <v>4806</v>
      </c>
      <c r="E164" s="136">
        <v>2025.0</v>
      </c>
      <c r="F164" s="136" t="s">
        <v>4718</v>
      </c>
      <c r="G164" s="136" t="s">
        <v>4041</v>
      </c>
      <c r="H164" s="136" t="s">
        <v>4807</v>
      </c>
      <c r="I164" s="136" t="s">
        <v>4043</v>
      </c>
      <c r="J164" s="136" t="s">
        <v>4808</v>
      </c>
      <c r="K164" s="136">
        <v>73.0</v>
      </c>
      <c r="L164" s="136">
        <v>73.0</v>
      </c>
      <c r="M164" s="136">
        <v>41.66667</v>
      </c>
      <c r="N164" s="136">
        <v>0.0</v>
      </c>
      <c r="O164" s="137">
        <v>41.66667</v>
      </c>
      <c r="P164" s="136">
        <v>100.0</v>
      </c>
      <c r="Q164" s="136">
        <v>41.66667</v>
      </c>
      <c r="R164" s="136" t="s">
        <v>4045</v>
      </c>
      <c r="S164" s="136">
        <v>46.15385</v>
      </c>
      <c r="T164" s="136">
        <v>1.0</v>
      </c>
      <c r="U164" s="138">
        <v>45746.51819444444</v>
      </c>
      <c r="V164" s="139"/>
      <c r="W164" s="140"/>
      <c r="X164" s="140"/>
      <c r="Y164" s="140"/>
      <c r="Z164" s="140"/>
    </row>
    <row r="165">
      <c r="A165" s="135" t="s">
        <v>4809</v>
      </c>
      <c r="B165" s="136" t="s">
        <v>4810</v>
      </c>
      <c r="C165" s="136" t="s">
        <v>4811</v>
      </c>
      <c r="D165" s="136" t="s">
        <v>4812</v>
      </c>
      <c r="E165" s="136">
        <v>2025.0</v>
      </c>
      <c r="F165" s="136" t="s">
        <v>4718</v>
      </c>
      <c r="G165" s="136" t="s">
        <v>4041</v>
      </c>
      <c r="H165" s="136" t="s">
        <v>4813</v>
      </c>
      <c r="I165" s="136" t="s">
        <v>4152</v>
      </c>
      <c r="J165" s="136" t="s">
        <v>4153</v>
      </c>
      <c r="K165" s="136" t="s">
        <v>1003</v>
      </c>
      <c r="L165" s="136" t="s">
        <v>1003</v>
      </c>
      <c r="M165" s="136" t="s">
        <v>1003</v>
      </c>
      <c r="N165" s="136" t="s">
        <v>1003</v>
      </c>
      <c r="O165" s="137" t="s">
        <v>1003</v>
      </c>
      <c r="P165" s="136" t="s">
        <v>1003</v>
      </c>
      <c r="Q165" s="136" t="s">
        <v>1003</v>
      </c>
      <c r="R165" s="136" t="s">
        <v>1003</v>
      </c>
      <c r="S165" s="136" t="s">
        <v>1003</v>
      </c>
      <c r="T165" s="136">
        <v>6.0</v>
      </c>
      <c r="U165" s="136" t="s">
        <v>1003</v>
      </c>
      <c r="V165" s="139"/>
      <c r="W165" s="140"/>
      <c r="X165" s="140"/>
      <c r="Y165" s="140"/>
      <c r="Z165" s="140"/>
    </row>
    <row r="166">
      <c r="A166" s="135" t="s">
        <v>4814</v>
      </c>
      <c r="B166" s="136" t="s">
        <v>4815</v>
      </c>
      <c r="C166" s="136" t="s">
        <v>4816</v>
      </c>
      <c r="D166" s="136" t="s">
        <v>4817</v>
      </c>
      <c r="E166" s="136">
        <v>2025.0</v>
      </c>
      <c r="F166" s="136" t="s">
        <v>4718</v>
      </c>
      <c r="G166" s="136" t="s">
        <v>4041</v>
      </c>
      <c r="H166" s="136" t="s">
        <v>4818</v>
      </c>
      <c r="I166" s="136" t="s">
        <v>4043</v>
      </c>
      <c r="J166" s="136" t="s">
        <v>4819</v>
      </c>
      <c r="K166" s="136">
        <v>73.0</v>
      </c>
      <c r="L166" s="136">
        <v>72.0</v>
      </c>
      <c r="M166" s="136">
        <v>42.66667</v>
      </c>
      <c r="N166" s="136">
        <v>0.0</v>
      </c>
      <c r="O166" s="137">
        <v>42.66667</v>
      </c>
      <c r="P166" s="136">
        <v>100.0</v>
      </c>
      <c r="Q166" s="136">
        <v>42.66667</v>
      </c>
      <c r="R166" s="136" t="s">
        <v>4045</v>
      </c>
      <c r="S166" s="136">
        <v>48.05195</v>
      </c>
      <c r="T166" s="136">
        <v>1.0</v>
      </c>
      <c r="U166" s="138">
        <v>45746.51248842593</v>
      </c>
      <c r="V166" s="139"/>
      <c r="W166" s="140"/>
      <c r="X166" s="140"/>
      <c r="Y166" s="140"/>
      <c r="Z166" s="140"/>
    </row>
    <row r="167">
      <c r="A167" s="135" t="s">
        <v>4820</v>
      </c>
      <c r="B167" s="136" t="s">
        <v>4821</v>
      </c>
      <c r="C167" s="136" t="s">
        <v>4822</v>
      </c>
      <c r="D167" s="136" t="s">
        <v>4823</v>
      </c>
      <c r="E167" s="136">
        <v>2025.0</v>
      </c>
      <c r="F167" s="136" t="s">
        <v>4718</v>
      </c>
      <c r="G167" s="136" t="s">
        <v>4041</v>
      </c>
      <c r="H167" s="136" t="s">
        <v>4824</v>
      </c>
      <c r="I167" s="136" t="s">
        <v>4043</v>
      </c>
      <c r="J167" s="136" t="s">
        <v>4825</v>
      </c>
      <c r="K167" s="136">
        <v>73.0</v>
      </c>
      <c r="L167" s="136">
        <v>72.0</v>
      </c>
      <c r="M167" s="136">
        <v>53.66667</v>
      </c>
      <c r="N167" s="136">
        <v>0.0</v>
      </c>
      <c r="O167" s="137">
        <v>53.66667</v>
      </c>
      <c r="P167" s="136">
        <v>100.0</v>
      </c>
      <c r="Q167" s="136">
        <v>53.66667</v>
      </c>
      <c r="R167" s="136" t="s">
        <v>4045</v>
      </c>
      <c r="S167" s="136">
        <v>62.33766</v>
      </c>
      <c r="T167" s="136">
        <v>2.0</v>
      </c>
      <c r="U167" s="138">
        <v>45745.901666666665</v>
      </c>
      <c r="V167" s="139"/>
      <c r="W167" s="140"/>
      <c r="X167" s="140"/>
      <c r="Y167" s="140"/>
      <c r="Z167" s="140"/>
    </row>
    <row r="168">
      <c r="A168" s="135" t="s">
        <v>4826</v>
      </c>
      <c r="B168" s="136" t="s">
        <v>4827</v>
      </c>
      <c r="C168" s="136" t="s">
        <v>4828</v>
      </c>
      <c r="D168" s="136" t="s">
        <v>4829</v>
      </c>
      <c r="E168" s="136">
        <v>2025.0</v>
      </c>
      <c r="F168" s="136" t="s">
        <v>4718</v>
      </c>
      <c r="G168" s="136" t="s">
        <v>4041</v>
      </c>
      <c r="H168" s="136" t="s">
        <v>4830</v>
      </c>
      <c r="I168" s="136" t="s">
        <v>4043</v>
      </c>
      <c r="J168" s="136" t="s">
        <v>4831</v>
      </c>
      <c r="K168" s="136">
        <v>73.0</v>
      </c>
      <c r="L168" s="136">
        <v>71.0</v>
      </c>
      <c r="M168" s="136">
        <v>35.13333</v>
      </c>
      <c r="N168" s="136">
        <v>0.0</v>
      </c>
      <c r="O168" s="137">
        <v>35.13333</v>
      </c>
      <c r="P168" s="136">
        <v>100.0</v>
      </c>
      <c r="Q168" s="136">
        <v>35.13333</v>
      </c>
      <c r="R168" s="136" t="s">
        <v>4045</v>
      </c>
      <c r="S168" s="136">
        <v>41.42857</v>
      </c>
      <c r="T168" s="136">
        <v>1.0</v>
      </c>
      <c r="U168" s="138">
        <v>45747.803402777776</v>
      </c>
      <c r="V168" s="139"/>
      <c r="W168" s="140"/>
      <c r="X168" s="140"/>
      <c r="Y168" s="140"/>
      <c r="Z168" s="140"/>
    </row>
    <row r="169">
      <c r="A169" s="135" t="s">
        <v>4832</v>
      </c>
      <c r="B169" s="136" t="s">
        <v>4833</v>
      </c>
      <c r="C169" s="136" t="s">
        <v>4834</v>
      </c>
      <c r="D169" s="136" t="s">
        <v>4835</v>
      </c>
      <c r="E169" s="136">
        <v>2025.0</v>
      </c>
      <c r="F169" s="136" t="s">
        <v>4718</v>
      </c>
      <c r="G169" s="136" t="s">
        <v>4041</v>
      </c>
      <c r="H169" s="136" t="s">
        <v>4836</v>
      </c>
      <c r="I169" s="136" t="s">
        <v>4043</v>
      </c>
      <c r="J169" s="136" t="s">
        <v>4520</v>
      </c>
      <c r="K169" s="136">
        <v>73.0</v>
      </c>
      <c r="L169" s="136">
        <v>71.0</v>
      </c>
      <c r="M169" s="136">
        <v>32.33333</v>
      </c>
      <c r="N169" s="136">
        <v>0.0</v>
      </c>
      <c r="O169" s="137">
        <v>32.33333</v>
      </c>
      <c r="P169" s="136">
        <v>100.0</v>
      </c>
      <c r="Q169" s="136">
        <v>32.33333</v>
      </c>
      <c r="R169" s="136" t="s">
        <v>4045</v>
      </c>
      <c r="S169" s="136">
        <v>41.42857</v>
      </c>
      <c r="T169" s="136">
        <v>1.0</v>
      </c>
      <c r="U169" s="138">
        <v>45746.6087962963</v>
      </c>
      <c r="V169" s="139"/>
      <c r="W169" s="140"/>
      <c r="X169" s="140"/>
      <c r="Y169" s="140"/>
      <c r="Z169" s="140"/>
    </row>
    <row r="170">
      <c r="A170" s="135" t="s">
        <v>4837</v>
      </c>
      <c r="B170" s="136" t="s">
        <v>4838</v>
      </c>
      <c r="C170" s="136" t="s">
        <v>4839</v>
      </c>
      <c r="D170" s="136" t="s">
        <v>4840</v>
      </c>
      <c r="E170" s="136">
        <v>2025.0</v>
      </c>
      <c r="F170" s="136" t="s">
        <v>4718</v>
      </c>
      <c r="G170" s="136" t="s">
        <v>4041</v>
      </c>
      <c r="H170" s="136" t="s">
        <v>4841</v>
      </c>
      <c r="I170" s="136" t="s">
        <v>4043</v>
      </c>
      <c r="J170" s="136" t="s">
        <v>4842</v>
      </c>
      <c r="K170" s="136">
        <v>73.0</v>
      </c>
      <c r="L170" s="136">
        <v>72.0</v>
      </c>
      <c r="M170" s="136">
        <v>37.23333</v>
      </c>
      <c r="N170" s="136">
        <v>0.0</v>
      </c>
      <c r="O170" s="137">
        <v>37.23333</v>
      </c>
      <c r="P170" s="136">
        <v>100.0</v>
      </c>
      <c r="Q170" s="136">
        <v>37.23333</v>
      </c>
      <c r="R170" s="136" t="s">
        <v>4045</v>
      </c>
      <c r="S170" s="136">
        <v>47.2973</v>
      </c>
      <c r="T170" s="136">
        <v>2.0</v>
      </c>
      <c r="U170" s="138">
        <v>45746.66903935185</v>
      </c>
      <c r="V170" s="139"/>
      <c r="W170" s="140"/>
      <c r="X170" s="140"/>
      <c r="Y170" s="140"/>
      <c r="Z170" s="140"/>
    </row>
    <row r="171">
      <c r="A171" s="135" t="s">
        <v>4843</v>
      </c>
      <c r="B171" s="136" t="s">
        <v>4844</v>
      </c>
      <c r="C171" s="136" t="s">
        <v>4845</v>
      </c>
      <c r="D171" s="136" t="s">
        <v>4846</v>
      </c>
      <c r="E171" s="136">
        <v>2025.0</v>
      </c>
      <c r="F171" s="136" t="s">
        <v>4718</v>
      </c>
      <c r="G171" s="136" t="s">
        <v>4041</v>
      </c>
      <c r="H171" s="136" t="s">
        <v>4847</v>
      </c>
      <c r="I171" s="136" t="s">
        <v>4043</v>
      </c>
      <c r="J171" s="136" t="s">
        <v>4848</v>
      </c>
      <c r="K171" s="136">
        <v>73.0</v>
      </c>
      <c r="L171" s="136">
        <v>71.0</v>
      </c>
      <c r="M171" s="136">
        <v>39.5</v>
      </c>
      <c r="N171" s="136">
        <v>0.0</v>
      </c>
      <c r="O171" s="137">
        <v>39.5</v>
      </c>
      <c r="P171" s="136">
        <v>100.0</v>
      </c>
      <c r="Q171" s="136">
        <v>39.5</v>
      </c>
      <c r="R171" s="136" t="s">
        <v>4045</v>
      </c>
      <c r="S171" s="136">
        <v>47.14286</v>
      </c>
      <c r="T171" s="136">
        <v>2.0</v>
      </c>
      <c r="U171" s="138">
        <v>45746.83925925926</v>
      </c>
      <c r="V171" s="139"/>
      <c r="W171" s="140"/>
      <c r="X171" s="140"/>
      <c r="Y171" s="140"/>
      <c r="Z171" s="140"/>
    </row>
    <row r="172">
      <c r="A172" s="135" t="s">
        <v>4849</v>
      </c>
      <c r="B172" s="136" t="s">
        <v>4850</v>
      </c>
      <c r="C172" s="136" t="s">
        <v>4851</v>
      </c>
      <c r="D172" s="136" t="s">
        <v>4852</v>
      </c>
      <c r="E172" s="136">
        <v>2025.0</v>
      </c>
      <c r="F172" s="136" t="s">
        <v>4718</v>
      </c>
      <c r="G172" s="136" t="s">
        <v>4041</v>
      </c>
      <c r="H172" s="136" t="s">
        <v>4853</v>
      </c>
      <c r="I172" s="136" t="s">
        <v>4043</v>
      </c>
      <c r="J172" s="136" t="s">
        <v>4854</v>
      </c>
      <c r="K172" s="136">
        <v>73.0</v>
      </c>
      <c r="L172" s="136">
        <v>71.0</v>
      </c>
      <c r="M172" s="136">
        <v>63.53333</v>
      </c>
      <c r="N172" s="136">
        <v>0.0</v>
      </c>
      <c r="O172" s="137">
        <v>63.53333</v>
      </c>
      <c r="P172" s="136">
        <v>100.0</v>
      </c>
      <c r="Q172" s="136">
        <v>63.53333</v>
      </c>
      <c r="R172" s="136" t="s">
        <v>4200</v>
      </c>
      <c r="S172" s="136">
        <v>82.85714</v>
      </c>
      <c r="T172" s="136">
        <v>1.0</v>
      </c>
      <c r="U172" s="138">
        <v>45747.69157407407</v>
      </c>
      <c r="V172" s="139"/>
      <c r="W172" s="140"/>
      <c r="X172" s="140"/>
      <c r="Y172" s="140"/>
      <c r="Z172" s="140"/>
    </row>
    <row r="173">
      <c r="A173" s="135" t="s">
        <v>4855</v>
      </c>
      <c r="B173" s="136" t="s">
        <v>4856</v>
      </c>
      <c r="C173" s="136" t="s">
        <v>4857</v>
      </c>
      <c r="D173" s="136" t="s">
        <v>4858</v>
      </c>
      <c r="E173" s="136">
        <v>2025.0</v>
      </c>
      <c r="F173" s="136" t="s">
        <v>4718</v>
      </c>
      <c r="G173" s="136" t="s">
        <v>4041</v>
      </c>
      <c r="H173" s="136" t="s">
        <v>4859</v>
      </c>
      <c r="I173" s="136" t="s">
        <v>4043</v>
      </c>
      <c r="J173" s="136" t="s">
        <v>4860</v>
      </c>
      <c r="K173" s="136">
        <v>73.0</v>
      </c>
      <c r="L173" s="136">
        <v>70.0</v>
      </c>
      <c r="M173" s="136">
        <v>22.0</v>
      </c>
      <c r="N173" s="136">
        <v>0.0</v>
      </c>
      <c r="O173" s="137">
        <v>22.0</v>
      </c>
      <c r="P173" s="136">
        <v>100.0</v>
      </c>
      <c r="Q173" s="136">
        <v>22.0</v>
      </c>
      <c r="R173" s="136" t="s">
        <v>4045</v>
      </c>
      <c r="S173" s="136">
        <v>31.42857</v>
      </c>
      <c r="T173" s="136">
        <v>2.0</v>
      </c>
      <c r="U173" s="138">
        <v>45746.95321759259</v>
      </c>
      <c r="V173" s="139"/>
      <c r="W173" s="140"/>
      <c r="X173" s="140"/>
      <c r="Y173" s="140"/>
      <c r="Z173" s="140"/>
    </row>
    <row r="174">
      <c r="A174" s="135" t="s">
        <v>4861</v>
      </c>
      <c r="B174" s="136" t="s">
        <v>4862</v>
      </c>
      <c r="C174" s="136" t="s">
        <v>4863</v>
      </c>
      <c r="D174" s="136" t="s">
        <v>4864</v>
      </c>
      <c r="E174" s="136">
        <v>2025.0</v>
      </c>
      <c r="F174" s="136" t="s">
        <v>4718</v>
      </c>
      <c r="G174" s="136" t="s">
        <v>4041</v>
      </c>
      <c r="H174" s="136" t="s">
        <v>4865</v>
      </c>
      <c r="I174" s="136" t="s">
        <v>4043</v>
      </c>
      <c r="J174" s="136" t="s">
        <v>4866</v>
      </c>
      <c r="K174" s="136">
        <v>73.0</v>
      </c>
      <c r="L174" s="136">
        <v>25.0</v>
      </c>
      <c r="M174" s="136">
        <v>19.0</v>
      </c>
      <c r="N174" s="136">
        <v>0.0</v>
      </c>
      <c r="O174" s="137">
        <v>19.0</v>
      </c>
      <c r="P174" s="136">
        <v>100.0</v>
      </c>
      <c r="Q174" s="136">
        <v>19.0</v>
      </c>
      <c r="R174" s="136" t="s">
        <v>4045</v>
      </c>
      <c r="S174" s="136">
        <v>76.0</v>
      </c>
      <c r="T174" s="136">
        <v>1.0</v>
      </c>
      <c r="U174" s="138">
        <v>45746.65421296296</v>
      </c>
      <c r="V174" s="139"/>
      <c r="W174" s="140"/>
      <c r="X174" s="140"/>
      <c r="Y174" s="140"/>
      <c r="Z174" s="140"/>
    </row>
    <row r="175">
      <c r="A175" s="135" t="s">
        <v>4867</v>
      </c>
      <c r="B175" s="136" t="s">
        <v>4868</v>
      </c>
      <c r="C175" s="136" t="s">
        <v>4869</v>
      </c>
      <c r="D175" s="136" t="s">
        <v>4870</v>
      </c>
      <c r="E175" s="136">
        <v>2025.0</v>
      </c>
      <c r="F175" s="136" t="s">
        <v>4718</v>
      </c>
      <c r="G175" s="136" t="s">
        <v>4041</v>
      </c>
      <c r="H175" s="136" t="s">
        <v>4871</v>
      </c>
      <c r="I175" s="136" t="s">
        <v>4043</v>
      </c>
      <c r="J175" s="136" t="s">
        <v>4872</v>
      </c>
      <c r="K175" s="136">
        <v>73.0</v>
      </c>
      <c r="L175" s="136">
        <v>73.0</v>
      </c>
      <c r="M175" s="136">
        <v>40.3</v>
      </c>
      <c r="N175" s="136">
        <v>0.0</v>
      </c>
      <c r="O175" s="137">
        <v>40.3</v>
      </c>
      <c r="P175" s="136">
        <v>100.0</v>
      </c>
      <c r="Q175" s="136">
        <v>40.3</v>
      </c>
      <c r="R175" s="136" t="s">
        <v>4045</v>
      </c>
      <c r="S175" s="136">
        <v>47.4359</v>
      </c>
      <c r="T175" s="136">
        <v>1.0</v>
      </c>
      <c r="U175" s="138">
        <v>45747.95042824074</v>
      </c>
      <c r="V175" s="139"/>
      <c r="W175" s="140"/>
      <c r="X175" s="140"/>
      <c r="Y175" s="140"/>
      <c r="Z175" s="140"/>
    </row>
    <row r="176">
      <c r="A176" s="135" t="s">
        <v>4873</v>
      </c>
      <c r="B176" s="136" t="s">
        <v>4874</v>
      </c>
      <c r="C176" s="136" t="s">
        <v>4875</v>
      </c>
      <c r="D176" s="136" t="s">
        <v>4876</v>
      </c>
      <c r="E176" s="136">
        <v>2025.0</v>
      </c>
      <c r="F176" s="136" t="s">
        <v>4718</v>
      </c>
      <c r="G176" s="136" t="s">
        <v>4041</v>
      </c>
      <c r="H176" s="136" t="s">
        <v>4877</v>
      </c>
      <c r="I176" s="136" t="s">
        <v>4043</v>
      </c>
      <c r="J176" s="136" t="s">
        <v>4075</v>
      </c>
      <c r="K176" s="136">
        <v>73.0</v>
      </c>
      <c r="L176" s="136">
        <v>72.0</v>
      </c>
      <c r="M176" s="136">
        <v>21.8</v>
      </c>
      <c r="N176" s="136">
        <v>0.0</v>
      </c>
      <c r="O176" s="137">
        <v>21.8</v>
      </c>
      <c r="P176" s="136">
        <v>100.0</v>
      </c>
      <c r="Q176" s="136">
        <v>21.8</v>
      </c>
      <c r="R176" s="136" t="s">
        <v>4045</v>
      </c>
      <c r="S176" s="136">
        <v>27.02703</v>
      </c>
      <c r="T176" s="136">
        <v>6.0</v>
      </c>
      <c r="U176" s="138">
        <v>45746.91143518518</v>
      </c>
      <c r="V176" s="139"/>
      <c r="W176" s="140"/>
      <c r="X176" s="140"/>
      <c r="Y176" s="140"/>
      <c r="Z176" s="140"/>
    </row>
    <row r="177">
      <c r="A177" s="135" t="s">
        <v>4878</v>
      </c>
      <c r="B177" s="136" t="s">
        <v>4879</v>
      </c>
      <c r="C177" s="136" t="s">
        <v>4880</v>
      </c>
      <c r="D177" s="136" t="s">
        <v>4881</v>
      </c>
      <c r="E177" s="136">
        <v>2025.0</v>
      </c>
      <c r="F177" s="136" t="s">
        <v>4718</v>
      </c>
      <c r="G177" s="136" t="s">
        <v>4041</v>
      </c>
      <c r="H177" s="136" t="s">
        <v>4882</v>
      </c>
      <c r="I177" s="136" t="s">
        <v>4043</v>
      </c>
      <c r="J177" s="136" t="s">
        <v>4640</v>
      </c>
      <c r="K177" s="136">
        <v>73.0</v>
      </c>
      <c r="L177" s="136">
        <v>71.0</v>
      </c>
      <c r="M177" s="136">
        <v>51.16667</v>
      </c>
      <c r="N177" s="136">
        <v>0.0</v>
      </c>
      <c r="O177" s="137">
        <v>51.16667</v>
      </c>
      <c r="P177" s="136">
        <v>100.0</v>
      </c>
      <c r="Q177" s="136">
        <v>51.16667</v>
      </c>
      <c r="R177" s="136" t="s">
        <v>4045</v>
      </c>
      <c r="S177" s="136">
        <v>70.0</v>
      </c>
      <c r="T177" s="136">
        <v>2.0</v>
      </c>
      <c r="U177" s="138">
        <v>45747.730520833335</v>
      </c>
      <c r="V177" s="139"/>
      <c r="W177" s="140"/>
      <c r="X177" s="140"/>
      <c r="Y177" s="140"/>
      <c r="Z177" s="140"/>
    </row>
    <row r="178">
      <c r="A178" s="135" t="s">
        <v>4883</v>
      </c>
      <c r="B178" s="136" t="s">
        <v>4884</v>
      </c>
      <c r="C178" s="136" t="s">
        <v>4885</v>
      </c>
      <c r="D178" s="136" t="s">
        <v>4886</v>
      </c>
      <c r="E178" s="136">
        <v>2025.0</v>
      </c>
      <c r="F178" s="136" t="s">
        <v>4718</v>
      </c>
      <c r="G178" s="136" t="s">
        <v>4041</v>
      </c>
      <c r="H178" s="136" t="s">
        <v>4887</v>
      </c>
      <c r="I178" s="136" t="s">
        <v>4043</v>
      </c>
      <c r="J178" s="136" t="s">
        <v>4888</v>
      </c>
      <c r="K178" s="136">
        <v>73.0</v>
      </c>
      <c r="L178" s="136">
        <v>71.0</v>
      </c>
      <c r="M178" s="136">
        <v>36.33333</v>
      </c>
      <c r="N178" s="136">
        <v>0.0</v>
      </c>
      <c r="O178" s="137">
        <v>36.33333</v>
      </c>
      <c r="P178" s="136">
        <v>100.0</v>
      </c>
      <c r="Q178" s="136">
        <v>36.33333</v>
      </c>
      <c r="R178" s="136" t="s">
        <v>4045</v>
      </c>
      <c r="S178" s="136">
        <v>47.14286</v>
      </c>
      <c r="T178" s="136">
        <v>1.0</v>
      </c>
      <c r="U178" s="138">
        <v>45747.74964120371</v>
      </c>
      <c r="V178" s="139"/>
      <c r="W178" s="140"/>
      <c r="X178" s="140"/>
      <c r="Y178" s="140"/>
      <c r="Z178" s="140"/>
    </row>
    <row r="179">
      <c r="A179" s="135" t="s">
        <v>4889</v>
      </c>
      <c r="B179" s="136" t="s">
        <v>4890</v>
      </c>
      <c r="C179" s="136" t="s">
        <v>4891</v>
      </c>
      <c r="D179" s="136" t="s">
        <v>4892</v>
      </c>
      <c r="E179" s="136">
        <v>2025.0</v>
      </c>
      <c r="F179" s="136" t="s">
        <v>4718</v>
      </c>
      <c r="G179" s="136" t="s">
        <v>4041</v>
      </c>
      <c r="H179" s="136" t="s">
        <v>4893</v>
      </c>
      <c r="I179" s="136" t="s">
        <v>4043</v>
      </c>
      <c r="J179" s="136" t="s">
        <v>4894</v>
      </c>
      <c r="K179" s="136">
        <v>73.0</v>
      </c>
      <c r="L179" s="136">
        <v>72.0</v>
      </c>
      <c r="M179" s="136">
        <v>38.13333</v>
      </c>
      <c r="N179" s="136">
        <v>0.0</v>
      </c>
      <c r="O179" s="137">
        <v>38.13333</v>
      </c>
      <c r="P179" s="136">
        <v>100.0</v>
      </c>
      <c r="Q179" s="136">
        <v>38.13333</v>
      </c>
      <c r="R179" s="136" t="s">
        <v>4045</v>
      </c>
      <c r="S179" s="136">
        <v>41.89189</v>
      </c>
      <c r="T179" s="136">
        <v>3.0</v>
      </c>
      <c r="U179" s="138">
        <v>45747.37564814815</v>
      </c>
      <c r="V179" s="139"/>
      <c r="W179" s="140"/>
      <c r="X179" s="140"/>
      <c r="Y179" s="140"/>
      <c r="Z179" s="140"/>
    </row>
    <row r="180">
      <c r="A180" s="135" t="s">
        <v>4895</v>
      </c>
      <c r="B180" s="136" t="s">
        <v>4896</v>
      </c>
      <c r="C180" s="136" t="s">
        <v>4897</v>
      </c>
      <c r="D180" s="136" t="s">
        <v>4898</v>
      </c>
      <c r="E180" s="136">
        <v>2025.0</v>
      </c>
      <c r="F180" s="136" t="s">
        <v>4718</v>
      </c>
      <c r="G180" s="136" t="s">
        <v>4041</v>
      </c>
      <c r="H180" s="136" t="s">
        <v>4899</v>
      </c>
      <c r="I180" s="136" t="s">
        <v>4043</v>
      </c>
      <c r="J180" s="136" t="s">
        <v>4900</v>
      </c>
      <c r="K180" s="136">
        <v>73.0</v>
      </c>
      <c r="L180" s="136">
        <v>71.0</v>
      </c>
      <c r="M180" s="136">
        <v>45.56667</v>
      </c>
      <c r="N180" s="136">
        <v>0.0</v>
      </c>
      <c r="O180" s="137">
        <v>45.56667</v>
      </c>
      <c r="P180" s="136">
        <v>100.0</v>
      </c>
      <c r="Q180" s="136">
        <v>45.56667</v>
      </c>
      <c r="R180" s="136" t="s">
        <v>4045</v>
      </c>
      <c r="S180" s="136">
        <v>57.14286</v>
      </c>
      <c r="T180" s="136">
        <v>1.0</v>
      </c>
      <c r="U180" s="138">
        <v>45746.75109953704</v>
      </c>
      <c r="V180" s="139"/>
      <c r="W180" s="140"/>
      <c r="X180" s="140"/>
      <c r="Y180" s="140"/>
      <c r="Z180" s="140"/>
    </row>
    <row r="181">
      <c r="A181" s="135" t="s">
        <v>4901</v>
      </c>
      <c r="B181" s="136" t="s">
        <v>4902</v>
      </c>
      <c r="C181" s="136" t="s">
        <v>4903</v>
      </c>
      <c r="D181" s="136" t="s">
        <v>4904</v>
      </c>
      <c r="E181" s="136">
        <v>2025.0</v>
      </c>
      <c r="F181" s="136" t="s">
        <v>4718</v>
      </c>
      <c r="G181" s="136" t="s">
        <v>4041</v>
      </c>
      <c r="H181" s="136" t="s">
        <v>4905</v>
      </c>
      <c r="I181" s="136" t="s">
        <v>4043</v>
      </c>
      <c r="J181" s="136" t="s">
        <v>4906</v>
      </c>
      <c r="K181" s="136">
        <v>73.0</v>
      </c>
      <c r="L181" s="136">
        <v>70.0</v>
      </c>
      <c r="M181" s="136">
        <v>19.0</v>
      </c>
      <c r="N181" s="136">
        <v>0.0</v>
      </c>
      <c r="O181" s="137">
        <v>19.0</v>
      </c>
      <c r="P181" s="136">
        <v>100.0</v>
      </c>
      <c r="Q181" s="136">
        <v>19.0</v>
      </c>
      <c r="R181" s="136" t="s">
        <v>4045</v>
      </c>
      <c r="S181" s="136">
        <v>27.14286</v>
      </c>
      <c r="T181" s="136">
        <v>0.0</v>
      </c>
      <c r="U181" s="138">
        <v>45746.89336805556</v>
      </c>
      <c r="V181" s="139"/>
      <c r="W181" s="140"/>
      <c r="X181" s="140"/>
      <c r="Y181" s="140"/>
      <c r="Z181" s="140"/>
    </row>
    <row r="182">
      <c r="A182" s="135" t="s">
        <v>4907</v>
      </c>
      <c r="B182" s="136" t="s">
        <v>4908</v>
      </c>
      <c r="C182" s="136" t="s">
        <v>4909</v>
      </c>
      <c r="D182" s="136" t="s">
        <v>4910</v>
      </c>
      <c r="E182" s="136">
        <v>2025.0</v>
      </c>
      <c r="F182" s="136" t="s">
        <v>4718</v>
      </c>
      <c r="G182" s="136" t="s">
        <v>4041</v>
      </c>
      <c r="H182" s="136" t="s">
        <v>4911</v>
      </c>
      <c r="I182" s="136" t="s">
        <v>4043</v>
      </c>
      <c r="J182" s="136" t="s">
        <v>4594</v>
      </c>
      <c r="K182" s="136">
        <v>73.0</v>
      </c>
      <c r="L182" s="136">
        <v>65.0</v>
      </c>
      <c r="M182" s="136">
        <v>19.0</v>
      </c>
      <c r="N182" s="136">
        <v>0.0</v>
      </c>
      <c r="O182" s="137">
        <v>19.0</v>
      </c>
      <c r="P182" s="136">
        <v>100.0</v>
      </c>
      <c r="Q182" s="136">
        <v>19.0</v>
      </c>
      <c r="R182" s="136" t="s">
        <v>4045</v>
      </c>
      <c r="S182" s="136">
        <v>29.23077</v>
      </c>
      <c r="T182" s="136">
        <v>4.0</v>
      </c>
      <c r="U182" s="138">
        <v>45747.76877314815</v>
      </c>
      <c r="V182" s="139"/>
      <c r="W182" s="140"/>
      <c r="X182" s="140"/>
      <c r="Y182" s="140"/>
      <c r="Z182" s="140"/>
    </row>
    <row r="183">
      <c r="A183" s="135" t="s">
        <v>4912</v>
      </c>
      <c r="B183" s="136" t="s">
        <v>4913</v>
      </c>
      <c r="C183" s="136" t="s">
        <v>4914</v>
      </c>
      <c r="D183" s="136" t="s">
        <v>4915</v>
      </c>
      <c r="E183" s="136">
        <v>2025.0</v>
      </c>
      <c r="F183" s="136" t="s">
        <v>4718</v>
      </c>
      <c r="G183" s="136" t="s">
        <v>4041</v>
      </c>
      <c r="H183" s="136" t="s">
        <v>4916</v>
      </c>
      <c r="I183" s="136" t="s">
        <v>4043</v>
      </c>
      <c r="J183" s="136" t="s">
        <v>4917</v>
      </c>
      <c r="K183" s="136">
        <v>73.0</v>
      </c>
      <c r="L183" s="136">
        <v>72.0</v>
      </c>
      <c r="M183" s="136">
        <v>57.53333</v>
      </c>
      <c r="N183" s="136">
        <v>0.0</v>
      </c>
      <c r="O183" s="137">
        <v>57.53333</v>
      </c>
      <c r="P183" s="136">
        <v>100.0</v>
      </c>
      <c r="Q183" s="136">
        <v>57.53333</v>
      </c>
      <c r="R183" s="136" t="s">
        <v>4045</v>
      </c>
      <c r="S183" s="136">
        <v>70.27027</v>
      </c>
      <c r="T183" s="136">
        <v>2.0</v>
      </c>
      <c r="U183" s="138">
        <v>45748.47109953704</v>
      </c>
      <c r="V183" s="139"/>
      <c r="W183" s="140"/>
      <c r="X183" s="140"/>
      <c r="Y183" s="140"/>
      <c r="Z183" s="140"/>
    </row>
    <row r="184">
      <c r="A184" s="135" t="s">
        <v>4918</v>
      </c>
      <c r="B184" s="136" t="s">
        <v>4919</v>
      </c>
      <c r="C184" s="136" t="s">
        <v>4920</v>
      </c>
      <c r="D184" s="136" t="s">
        <v>4921</v>
      </c>
      <c r="E184" s="136">
        <v>2025.0</v>
      </c>
      <c r="F184" s="136" t="s">
        <v>4718</v>
      </c>
      <c r="G184" s="136" t="s">
        <v>4041</v>
      </c>
      <c r="H184" s="136" t="s">
        <v>4922</v>
      </c>
      <c r="I184" s="136" t="s">
        <v>4043</v>
      </c>
      <c r="J184" s="136" t="s">
        <v>4923</v>
      </c>
      <c r="K184" s="136">
        <v>73.0</v>
      </c>
      <c r="L184" s="136">
        <v>73.0</v>
      </c>
      <c r="M184" s="136">
        <v>47.2</v>
      </c>
      <c r="N184" s="136">
        <v>0.0</v>
      </c>
      <c r="O184" s="137">
        <v>47.2</v>
      </c>
      <c r="P184" s="136">
        <v>100.0</v>
      </c>
      <c r="Q184" s="136">
        <v>47.2</v>
      </c>
      <c r="R184" s="136" t="s">
        <v>4045</v>
      </c>
      <c r="S184" s="136">
        <v>52.5641</v>
      </c>
      <c r="T184" s="136">
        <v>1.0</v>
      </c>
      <c r="U184" s="138">
        <v>45746.58495370371</v>
      </c>
      <c r="V184" s="139"/>
      <c r="W184" s="140"/>
      <c r="X184" s="140"/>
      <c r="Y184" s="140"/>
      <c r="Z184" s="140"/>
    </row>
    <row r="185">
      <c r="A185" s="135" t="s">
        <v>4924</v>
      </c>
      <c r="B185" s="136" t="s">
        <v>4925</v>
      </c>
      <c r="C185" s="136" t="s">
        <v>4926</v>
      </c>
      <c r="D185" s="136" t="s">
        <v>4927</v>
      </c>
      <c r="E185" s="136">
        <v>2025.0</v>
      </c>
      <c r="F185" s="136" t="s">
        <v>4718</v>
      </c>
      <c r="G185" s="136" t="s">
        <v>4041</v>
      </c>
      <c r="H185" s="136" t="s">
        <v>4928</v>
      </c>
      <c r="I185" s="136" t="s">
        <v>4043</v>
      </c>
      <c r="J185" s="136" t="s">
        <v>4929</v>
      </c>
      <c r="K185" s="136">
        <v>73.0</v>
      </c>
      <c r="L185" s="136">
        <v>72.0</v>
      </c>
      <c r="M185" s="136">
        <v>45.8</v>
      </c>
      <c r="N185" s="136">
        <v>0.0</v>
      </c>
      <c r="O185" s="137">
        <v>45.8</v>
      </c>
      <c r="P185" s="136">
        <v>100.0</v>
      </c>
      <c r="Q185" s="136">
        <v>45.8</v>
      </c>
      <c r="R185" s="136" t="s">
        <v>4045</v>
      </c>
      <c r="S185" s="136">
        <v>54.05405</v>
      </c>
      <c r="T185" s="136">
        <v>1.0</v>
      </c>
      <c r="U185" s="138">
        <v>45747.90806712963</v>
      </c>
      <c r="V185" s="139"/>
      <c r="W185" s="140"/>
      <c r="X185" s="140"/>
      <c r="Y185" s="140"/>
      <c r="Z185" s="140"/>
    </row>
    <row r="186">
      <c r="A186" s="135" t="s">
        <v>4930</v>
      </c>
      <c r="B186" s="136" t="s">
        <v>4931</v>
      </c>
      <c r="C186" s="136" t="s">
        <v>4932</v>
      </c>
      <c r="D186" s="136" t="s">
        <v>4933</v>
      </c>
      <c r="E186" s="136">
        <v>2025.0</v>
      </c>
      <c r="F186" s="136" t="s">
        <v>4718</v>
      </c>
      <c r="G186" s="136" t="s">
        <v>4041</v>
      </c>
      <c r="H186" s="136" t="s">
        <v>4934</v>
      </c>
      <c r="I186" s="136" t="s">
        <v>4043</v>
      </c>
      <c r="J186" s="136" t="s">
        <v>4935</v>
      </c>
      <c r="K186" s="136">
        <v>73.0</v>
      </c>
      <c r="L186" s="136">
        <v>71.0</v>
      </c>
      <c r="M186" s="136">
        <v>49.66667</v>
      </c>
      <c r="N186" s="136">
        <v>0.0</v>
      </c>
      <c r="O186" s="137">
        <v>49.66667</v>
      </c>
      <c r="P186" s="136">
        <v>100.0</v>
      </c>
      <c r="Q186" s="136">
        <v>49.66667</v>
      </c>
      <c r="R186" s="136" t="s">
        <v>4045</v>
      </c>
      <c r="S186" s="136">
        <v>61.42857</v>
      </c>
      <c r="T186" s="136">
        <v>0.0</v>
      </c>
      <c r="U186" s="138">
        <v>45746.89325231482</v>
      </c>
      <c r="V186" s="139"/>
      <c r="W186" s="140"/>
      <c r="X186" s="140"/>
      <c r="Y186" s="140"/>
      <c r="Z186" s="140"/>
    </row>
    <row r="187">
      <c r="A187" s="135" t="s">
        <v>4936</v>
      </c>
      <c r="B187" s="136" t="s">
        <v>4937</v>
      </c>
      <c r="C187" s="136" t="s">
        <v>4938</v>
      </c>
      <c r="D187" s="136" t="s">
        <v>4939</v>
      </c>
      <c r="E187" s="136">
        <v>2025.0</v>
      </c>
      <c r="F187" s="136" t="s">
        <v>4718</v>
      </c>
      <c r="G187" s="136" t="s">
        <v>4041</v>
      </c>
      <c r="H187" s="136" t="s">
        <v>4940</v>
      </c>
      <c r="I187" s="136" t="s">
        <v>4043</v>
      </c>
      <c r="J187" s="136" t="s">
        <v>4941</v>
      </c>
      <c r="K187" s="136">
        <v>73.0</v>
      </c>
      <c r="L187" s="136">
        <v>72.0</v>
      </c>
      <c r="M187" s="136">
        <v>38.26667</v>
      </c>
      <c r="N187" s="136">
        <v>0.0</v>
      </c>
      <c r="O187" s="137">
        <v>38.26667</v>
      </c>
      <c r="P187" s="136">
        <v>100.0</v>
      </c>
      <c r="Q187" s="136">
        <v>38.26667</v>
      </c>
      <c r="R187" s="136" t="s">
        <v>4045</v>
      </c>
      <c r="S187" s="136">
        <v>44.5946</v>
      </c>
      <c r="T187" s="136">
        <v>3.0</v>
      </c>
      <c r="U187" s="138">
        <v>45746.900289351855</v>
      </c>
      <c r="V187" s="139"/>
      <c r="W187" s="140"/>
      <c r="X187" s="140"/>
      <c r="Y187" s="140"/>
      <c r="Z187" s="140"/>
    </row>
    <row r="188">
      <c r="A188" s="135" t="s">
        <v>4942</v>
      </c>
      <c r="B188" s="136" t="s">
        <v>4943</v>
      </c>
      <c r="C188" s="136" t="s">
        <v>4944</v>
      </c>
      <c r="D188" s="136" t="s">
        <v>4945</v>
      </c>
      <c r="E188" s="136">
        <v>2025.0</v>
      </c>
      <c r="F188" s="136" t="s">
        <v>4718</v>
      </c>
      <c r="G188" s="136" t="s">
        <v>4041</v>
      </c>
      <c r="H188" s="136" t="s">
        <v>4946</v>
      </c>
      <c r="I188" s="136" t="s">
        <v>4043</v>
      </c>
      <c r="J188" s="136" t="s">
        <v>4947</v>
      </c>
      <c r="K188" s="136">
        <v>73.0</v>
      </c>
      <c r="L188" s="136">
        <v>73.0</v>
      </c>
      <c r="M188" s="136">
        <v>68.26667</v>
      </c>
      <c r="N188" s="136">
        <v>0.0</v>
      </c>
      <c r="O188" s="137">
        <v>68.26667</v>
      </c>
      <c r="P188" s="136">
        <v>100.0</v>
      </c>
      <c r="Q188" s="136">
        <v>68.26667</v>
      </c>
      <c r="R188" s="136" t="s">
        <v>4200</v>
      </c>
      <c r="S188" s="136">
        <v>74.02597</v>
      </c>
      <c r="T188" s="136">
        <v>1.0</v>
      </c>
      <c r="U188" s="138">
        <v>45747.183912037035</v>
      </c>
      <c r="V188" s="139"/>
      <c r="W188" s="140"/>
      <c r="X188" s="140"/>
      <c r="Y188" s="140"/>
      <c r="Z188" s="140"/>
    </row>
    <row r="189">
      <c r="A189" s="135" t="s">
        <v>4948</v>
      </c>
      <c r="B189" s="136" t="s">
        <v>4949</v>
      </c>
      <c r="C189" s="136" t="s">
        <v>4950</v>
      </c>
      <c r="D189" s="136" t="s">
        <v>4951</v>
      </c>
      <c r="E189" s="136">
        <v>2025.0</v>
      </c>
      <c r="F189" s="136" t="s">
        <v>4718</v>
      </c>
      <c r="G189" s="136" t="s">
        <v>4041</v>
      </c>
      <c r="H189" s="136" t="s">
        <v>4952</v>
      </c>
      <c r="I189" s="136" t="s">
        <v>4043</v>
      </c>
      <c r="J189" s="136" t="s">
        <v>4953</v>
      </c>
      <c r="K189" s="136">
        <v>73.0</v>
      </c>
      <c r="L189" s="136">
        <v>71.0</v>
      </c>
      <c r="M189" s="136">
        <v>29.76667</v>
      </c>
      <c r="N189" s="136">
        <v>0.0</v>
      </c>
      <c r="O189" s="137">
        <v>29.76667</v>
      </c>
      <c r="P189" s="136">
        <v>100.0</v>
      </c>
      <c r="Q189" s="136">
        <v>29.76667</v>
      </c>
      <c r="R189" s="136" t="s">
        <v>4045</v>
      </c>
      <c r="S189" s="136">
        <v>32.87671</v>
      </c>
      <c r="T189" s="136">
        <v>1.0</v>
      </c>
      <c r="U189" s="138">
        <v>45746.96158564815</v>
      </c>
      <c r="V189" s="139"/>
      <c r="W189" s="140"/>
      <c r="X189" s="140"/>
      <c r="Y189" s="140"/>
      <c r="Z189" s="140"/>
    </row>
    <row r="190">
      <c r="A190" s="135" t="s">
        <v>4954</v>
      </c>
      <c r="B190" s="136" t="s">
        <v>4955</v>
      </c>
      <c r="C190" s="136" t="s">
        <v>4956</v>
      </c>
      <c r="D190" s="136" t="s">
        <v>4957</v>
      </c>
      <c r="E190" s="136">
        <v>2025.0</v>
      </c>
      <c r="F190" s="136" t="s">
        <v>4718</v>
      </c>
      <c r="G190" s="136" t="s">
        <v>4041</v>
      </c>
      <c r="H190" s="136" t="s">
        <v>4958</v>
      </c>
      <c r="I190" s="136" t="s">
        <v>4043</v>
      </c>
      <c r="J190" s="136" t="s">
        <v>4959</v>
      </c>
      <c r="K190" s="136">
        <v>73.0</v>
      </c>
      <c r="L190" s="136">
        <v>65.0</v>
      </c>
      <c r="M190" s="136">
        <v>25.7</v>
      </c>
      <c r="N190" s="136">
        <v>0.0</v>
      </c>
      <c r="O190" s="137">
        <v>25.7</v>
      </c>
      <c r="P190" s="136">
        <v>100.0</v>
      </c>
      <c r="Q190" s="136">
        <v>25.7</v>
      </c>
      <c r="R190" s="136" t="s">
        <v>4045</v>
      </c>
      <c r="S190" s="136">
        <v>35.9375</v>
      </c>
      <c r="T190" s="136">
        <v>3.0</v>
      </c>
      <c r="U190" s="138">
        <v>45747.886967592596</v>
      </c>
      <c r="V190" s="139"/>
      <c r="W190" s="140"/>
      <c r="X190" s="140"/>
      <c r="Y190" s="140"/>
      <c r="Z190" s="140"/>
    </row>
    <row r="191">
      <c r="A191" s="135" t="s">
        <v>4960</v>
      </c>
      <c r="B191" s="136" t="s">
        <v>4961</v>
      </c>
      <c r="C191" s="136" t="s">
        <v>4962</v>
      </c>
      <c r="D191" s="136" t="s">
        <v>4963</v>
      </c>
      <c r="E191" s="136">
        <v>2025.0</v>
      </c>
      <c r="F191" s="136" t="s">
        <v>4718</v>
      </c>
      <c r="G191" s="136" t="s">
        <v>4041</v>
      </c>
      <c r="H191" s="136" t="s">
        <v>4964</v>
      </c>
      <c r="I191" s="136" t="s">
        <v>4043</v>
      </c>
      <c r="J191" s="136" t="s">
        <v>4965</v>
      </c>
      <c r="K191" s="136">
        <v>73.0</v>
      </c>
      <c r="L191" s="136">
        <v>71.0</v>
      </c>
      <c r="M191" s="136">
        <v>43.7</v>
      </c>
      <c r="N191" s="136">
        <v>0.0</v>
      </c>
      <c r="O191" s="137">
        <v>43.7</v>
      </c>
      <c r="P191" s="136">
        <v>100.0</v>
      </c>
      <c r="Q191" s="136">
        <v>43.7</v>
      </c>
      <c r="R191" s="136" t="s">
        <v>4045</v>
      </c>
      <c r="S191" s="136">
        <v>54.28571</v>
      </c>
      <c r="T191" s="136">
        <v>2.0</v>
      </c>
      <c r="U191" s="138">
        <v>45746.87162037037</v>
      </c>
      <c r="V191" s="139"/>
      <c r="W191" s="140"/>
      <c r="X191" s="140"/>
      <c r="Y191" s="140"/>
      <c r="Z191" s="140"/>
    </row>
    <row r="192">
      <c r="A192" s="135" t="s">
        <v>4966</v>
      </c>
      <c r="B192" s="136" t="s">
        <v>4967</v>
      </c>
      <c r="C192" s="136" t="s">
        <v>4968</v>
      </c>
      <c r="D192" s="136" t="s">
        <v>4969</v>
      </c>
      <c r="E192" s="136">
        <v>2025.0</v>
      </c>
      <c r="F192" s="136" t="s">
        <v>4718</v>
      </c>
      <c r="G192" s="136" t="s">
        <v>4041</v>
      </c>
      <c r="H192" s="136" t="s">
        <v>4970</v>
      </c>
      <c r="I192" s="136" t="s">
        <v>4043</v>
      </c>
      <c r="J192" s="136" t="s">
        <v>4971</v>
      </c>
      <c r="K192" s="136">
        <v>73.0</v>
      </c>
      <c r="L192" s="136">
        <v>70.0</v>
      </c>
      <c r="M192" s="136">
        <v>23.0</v>
      </c>
      <c r="N192" s="136">
        <v>0.0</v>
      </c>
      <c r="O192" s="137">
        <v>23.0</v>
      </c>
      <c r="P192" s="136">
        <v>100.0</v>
      </c>
      <c r="Q192" s="136">
        <v>23.0</v>
      </c>
      <c r="R192" s="136" t="s">
        <v>4045</v>
      </c>
      <c r="S192" s="136">
        <v>32.85714</v>
      </c>
      <c r="T192" s="136">
        <v>2.0</v>
      </c>
      <c r="U192" s="138">
        <v>45747.90568287037</v>
      </c>
      <c r="V192" s="139"/>
      <c r="W192" s="140"/>
      <c r="X192" s="140"/>
      <c r="Y192" s="140"/>
      <c r="Z192" s="140"/>
    </row>
    <row r="193">
      <c r="A193" s="135" t="s">
        <v>4972</v>
      </c>
      <c r="B193" s="136" t="s">
        <v>4973</v>
      </c>
      <c r="C193" s="136" t="s">
        <v>4974</v>
      </c>
      <c r="D193" s="136" t="s">
        <v>4975</v>
      </c>
      <c r="E193" s="136">
        <v>2025.0</v>
      </c>
      <c r="F193" s="136" t="s">
        <v>4718</v>
      </c>
      <c r="G193" s="136" t="s">
        <v>4041</v>
      </c>
      <c r="H193" s="136" t="s">
        <v>4976</v>
      </c>
      <c r="I193" s="136" t="s">
        <v>4043</v>
      </c>
      <c r="J193" s="136" t="s">
        <v>4977</v>
      </c>
      <c r="K193" s="136">
        <v>73.0</v>
      </c>
      <c r="L193" s="136">
        <v>45.0</v>
      </c>
      <c r="M193" s="136">
        <v>32.0</v>
      </c>
      <c r="N193" s="136">
        <v>0.0</v>
      </c>
      <c r="O193" s="137">
        <v>32.0</v>
      </c>
      <c r="P193" s="136">
        <v>100.0</v>
      </c>
      <c r="Q193" s="136">
        <v>32.0</v>
      </c>
      <c r="R193" s="136" t="s">
        <v>4045</v>
      </c>
      <c r="S193" s="136">
        <v>54.16667</v>
      </c>
      <c r="T193" s="136">
        <v>4.0</v>
      </c>
      <c r="U193" s="138">
        <v>45748.46361111111</v>
      </c>
      <c r="V193" s="139"/>
      <c r="W193" s="140"/>
      <c r="X193" s="140"/>
      <c r="Y193" s="140"/>
      <c r="Z193" s="140"/>
    </row>
    <row r="194">
      <c r="A194" s="135" t="s">
        <v>4978</v>
      </c>
      <c r="B194" s="136" t="s">
        <v>4979</v>
      </c>
      <c r="C194" s="136" t="s">
        <v>4980</v>
      </c>
      <c r="D194" s="136" t="s">
        <v>4981</v>
      </c>
      <c r="E194" s="136">
        <v>2025.0</v>
      </c>
      <c r="F194" s="136" t="s">
        <v>4718</v>
      </c>
      <c r="G194" s="136" t="s">
        <v>4041</v>
      </c>
      <c r="H194" s="136" t="s">
        <v>4982</v>
      </c>
      <c r="I194" s="136" t="s">
        <v>4043</v>
      </c>
      <c r="J194" s="136" t="s">
        <v>4983</v>
      </c>
      <c r="K194" s="136">
        <v>73.0</v>
      </c>
      <c r="L194" s="136">
        <v>71.0</v>
      </c>
      <c r="M194" s="136">
        <v>32.46667</v>
      </c>
      <c r="N194" s="136">
        <v>0.0</v>
      </c>
      <c r="O194" s="137">
        <v>32.46667</v>
      </c>
      <c r="P194" s="136">
        <v>100.0</v>
      </c>
      <c r="Q194" s="136">
        <v>32.46667</v>
      </c>
      <c r="R194" s="136" t="s">
        <v>4045</v>
      </c>
      <c r="S194" s="136">
        <v>38.57143</v>
      </c>
      <c r="T194" s="136">
        <v>1.0</v>
      </c>
      <c r="U194" s="138">
        <v>45746.45208333333</v>
      </c>
      <c r="V194" s="139"/>
      <c r="W194" s="140"/>
      <c r="X194" s="140"/>
      <c r="Y194" s="140"/>
      <c r="Z194" s="140"/>
    </row>
    <row r="195">
      <c r="A195" s="135" t="s">
        <v>4984</v>
      </c>
      <c r="B195" s="136" t="s">
        <v>4985</v>
      </c>
      <c r="C195" s="136" t="s">
        <v>4986</v>
      </c>
      <c r="D195" s="136" t="s">
        <v>4987</v>
      </c>
      <c r="E195" s="136">
        <v>2025.0</v>
      </c>
      <c r="F195" s="136" t="s">
        <v>4718</v>
      </c>
      <c r="G195" s="136" t="s">
        <v>4041</v>
      </c>
      <c r="H195" s="136" t="s">
        <v>4988</v>
      </c>
      <c r="I195" s="136" t="s">
        <v>4043</v>
      </c>
      <c r="J195" s="136" t="s">
        <v>4989</v>
      </c>
      <c r="K195" s="136">
        <v>73.0</v>
      </c>
      <c r="L195" s="136">
        <v>70.0</v>
      </c>
      <c r="M195" s="136">
        <v>29.0</v>
      </c>
      <c r="N195" s="136">
        <v>0.0</v>
      </c>
      <c r="O195" s="137">
        <v>29.0</v>
      </c>
      <c r="P195" s="136">
        <v>100.0</v>
      </c>
      <c r="Q195" s="136">
        <v>29.0</v>
      </c>
      <c r="R195" s="136" t="s">
        <v>4045</v>
      </c>
      <c r="S195" s="136">
        <v>41.42857</v>
      </c>
      <c r="T195" s="136">
        <v>2.0</v>
      </c>
      <c r="U195" s="138">
        <v>45746.629895833335</v>
      </c>
      <c r="V195" s="139"/>
      <c r="W195" s="140"/>
      <c r="X195" s="140"/>
      <c r="Y195" s="140"/>
      <c r="Z195" s="140"/>
    </row>
    <row r="196">
      <c r="A196" s="135" t="s">
        <v>4990</v>
      </c>
      <c r="B196" s="136" t="s">
        <v>4991</v>
      </c>
      <c r="C196" s="136" t="s">
        <v>4992</v>
      </c>
      <c r="D196" s="136" t="s">
        <v>4993</v>
      </c>
      <c r="E196" s="136">
        <v>2025.0</v>
      </c>
      <c r="F196" s="136" t="s">
        <v>4718</v>
      </c>
      <c r="G196" s="136" t="s">
        <v>4041</v>
      </c>
      <c r="H196" s="136" t="s">
        <v>4994</v>
      </c>
      <c r="I196" s="136" t="s">
        <v>4043</v>
      </c>
      <c r="J196" s="136" t="s">
        <v>4995</v>
      </c>
      <c r="K196" s="136">
        <v>73.0</v>
      </c>
      <c r="L196" s="136">
        <v>71.0</v>
      </c>
      <c r="M196" s="136">
        <v>35.93333</v>
      </c>
      <c r="N196" s="136">
        <v>0.0</v>
      </c>
      <c r="O196" s="137">
        <v>35.93333</v>
      </c>
      <c r="P196" s="136">
        <v>100.0</v>
      </c>
      <c r="Q196" s="136">
        <v>35.93333</v>
      </c>
      <c r="R196" s="136" t="s">
        <v>4045</v>
      </c>
      <c r="S196" s="136">
        <v>42.85714</v>
      </c>
      <c r="T196" s="136">
        <v>2.0</v>
      </c>
      <c r="U196" s="138">
        <v>45746.89934027778</v>
      </c>
      <c r="V196" s="139"/>
      <c r="W196" s="140"/>
      <c r="X196" s="140"/>
      <c r="Y196" s="140"/>
      <c r="Z196" s="140"/>
    </row>
    <row r="197">
      <c r="A197" s="135" t="s">
        <v>4996</v>
      </c>
      <c r="B197" s="136" t="s">
        <v>4997</v>
      </c>
      <c r="C197" s="136" t="s">
        <v>4998</v>
      </c>
      <c r="D197" s="136" t="s">
        <v>4999</v>
      </c>
      <c r="E197" s="136">
        <v>2025.0</v>
      </c>
      <c r="F197" s="136" t="s">
        <v>4718</v>
      </c>
      <c r="G197" s="136" t="s">
        <v>4041</v>
      </c>
      <c r="H197" s="136" t="s">
        <v>5000</v>
      </c>
      <c r="I197" s="136" t="s">
        <v>4043</v>
      </c>
      <c r="J197" s="136" t="s">
        <v>4594</v>
      </c>
      <c r="K197" s="136">
        <v>73.0</v>
      </c>
      <c r="L197" s="136">
        <v>70.0</v>
      </c>
      <c r="M197" s="136">
        <v>49.63333</v>
      </c>
      <c r="N197" s="136">
        <v>0.0</v>
      </c>
      <c r="O197" s="137">
        <v>49.63333</v>
      </c>
      <c r="P197" s="136">
        <v>100.0</v>
      </c>
      <c r="Q197" s="136">
        <v>49.63333</v>
      </c>
      <c r="R197" s="136" t="s">
        <v>4045</v>
      </c>
      <c r="S197" s="136">
        <v>68.11594</v>
      </c>
      <c r="T197" s="136">
        <v>4.0</v>
      </c>
      <c r="U197" s="138">
        <v>45747.68216435185</v>
      </c>
      <c r="V197" s="139"/>
      <c r="W197" s="140"/>
      <c r="X197" s="140"/>
      <c r="Y197" s="140"/>
      <c r="Z197" s="140"/>
    </row>
    <row r="198">
      <c r="A198" s="135" t="s">
        <v>5001</v>
      </c>
      <c r="B198" s="136" t="s">
        <v>5002</v>
      </c>
      <c r="C198" s="136" t="s">
        <v>5003</v>
      </c>
      <c r="D198" s="136" t="s">
        <v>5004</v>
      </c>
      <c r="E198" s="136">
        <v>2025.0</v>
      </c>
      <c r="F198" s="136" t="s">
        <v>4718</v>
      </c>
      <c r="G198" s="136" t="s">
        <v>4041</v>
      </c>
      <c r="H198" s="136" t="s">
        <v>5005</v>
      </c>
      <c r="I198" s="136" t="s">
        <v>4043</v>
      </c>
      <c r="J198" s="136" t="s">
        <v>5006</v>
      </c>
      <c r="K198" s="136">
        <v>73.0</v>
      </c>
      <c r="L198" s="136">
        <v>67.0</v>
      </c>
      <c r="M198" s="136">
        <v>27.0</v>
      </c>
      <c r="N198" s="136">
        <v>0.0</v>
      </c>
      <c r="O198" s="137">
        <v>27.0</v>
      </c>
      <c r="P198" s="136">
        <v>100.0</v>
      </c>
      <c r="Q198" s="136">
        <v>27.0</v>
      </c>
      <c r="R198" s="136" t="s">
        <v>4045</v>
      </c>
      <c r="S198" s="136">
        <v>40.29851</v>
      </c>
      <c r="T198" s="136">
        <v>1.0</v>
      </c>
      <c r="U198" s="138">
        <v>45747.76733796296</v>
      </c>
      <c r="V198" s="139"/>
      <c r="W198" s="140"/>
      <c r="X198" s="140"/>
      <c r="Y198" s="140"/>
      <c r="Z198" s="140"/>
    </row>
    <row r="199">
      <c r="A199" s="135" t="s">
        <v>5007</v>
      </c>
      <c r="B199" s="136" t="s">
        <v>5008</v>
      </c>
      <c r="C199" s="136" t="s">
        <v>5009</v>
      </c>
      <c r="D199" s="136" t="s">
        <v>5010</v>
      </c>
      <c r="E199" s="136">
        <v>2025.0</v>
      </c>
      <c r="F199" s="136" t="s">
        <v>4718</v>
      </c>
      <c r="G199" s="136" t="s">
        <v>4041</v>
      </c>
      <c r="H199" s="136" t="s">
        <v>5011</v>
      </c>
      <c r="I199" s="136" t="s">
        <v>4043</v>
      </c>
      <c r="J199" s="136" t="s">
        <v>5012</v>
      </c>
      <c r="K199" s="136">
        <v>73.0</v>
      </c>
      <c r="L199" s="136">
        <v>71.0</v>
      </c>
      <c r="M199" s="136">
        <v>26.66667</v>
      </c>
      <c r="N199" s="136">
        <v>0.0</v>
      </c>
      <c r="O199" s="137">
        <v>26.66667</v>
      </c>
      <c r="P199" s="136">
        <v>100.0</v>
      </c>
      <c r="Q199" s="136">
        <v>26.66667</v>
      </c>
      <c r="R199" s="136" t="s">
        <v>4045</v>
      </c>
      <c r="S199" s="136">
        <v>28.57143</v>
      </c>
      <c r="T199" s="136">
        <v>2.0</v>
      </c>
      <c r="U199" s="138">
        <v>45747.89188657407</v>
      </c>
      <c r="V199" s="139"/>
      <c r="W199" s="140"/>
      <c r="X199" s="140"/>
      <c r="Y199" s="140"/>
      <c r="Z199" s="140"/>
    </row>
    <row r="200">
      <c r="A200" s="135" t="s">
        <v>5013</v>
      </c>
      <c r="B200" s="136" t="s">
        <v>5014</v>
      </c>
      <c r="C200" s="136" t="s">
        <v>5015</v>
      </c>
      <c r="D200" s="136" t="s">
        <v>5016</v>
      </c>
      <c r="E200" s="136">
        <v>2025.0</v>
      </c>
      <c r="F200" s="136" t="s">
        <v>4718</v>
      </c>
      <c r="G200" s="136" t="s">
        <v>4041</v>
      </c>
      <c r="H200" s="136" t="s">
        <v>5017</v>
      </c>
      <c r="I200" s="136" t="s">
        <v>4043</v>
      </c>
      <c r="J200" s="136" t="s">
        <v>5018</v>
      </c>
      <c r="K200" s="136">
        <v>73.0</v>
      </c>
      <c r="L200" s="136">
        <v>71.0</v>
      </c>
      <c r="M200" s="136">
        <v>33.86667</v>
      </c>
      <c r="N200" s="136">
        <v>0.0</v>
      </c>
      <c r="O200" s="137">
        <v>33.86667</v>
      </c>
      <c r="P200" s="136">
        <v>100.0</v>
      </c>
      <c r="Q200" s="136">
        <v>33.86667</v>
      </c>
      <c r="R200" s="136" t="s">
        <v>4045</v>
      </c>
      <c r="S200" s="136">
        <v>45.71429</v>
      </c>
      <c r="T200" s="136">
        <v>1.0</v>
      </c>
      <c r="U200" s="138">
        <v>45747.46052083333</v>
      </c>
      <c r="V200" s="139"/>
      <c r="W200" s="141"/>
      <c r="X200" s="141"/>
      <c r="Y200" s="141"/>
      <c r="Z200" s="141"/>
    </row>
    <row r="201">
      <c r="A201" s="135" t="s">
        <v>5019</v>
      </c>
      <c r="B201" s="136" t="s">
        <v>5020</v>
      </c>
      <c r="C201" s="136" t="s">
        <v>5021</v>
      </c>
      <c r="D201" s="136" t="s">
        <v>5022</v>
      </c>
      <c r="E201" s="136">
        <v>2025.0</v>
      </c>
      <c r="F201" s="136" t="s">
        <v>4718</v>
      </c>
      <c r="G201" s="136" t="s">
        <v>4041</v>
      </c>
      <c r="H201" s="136" t="s">
        <v>5023</v>
      </c>
      <c r="I201" s="136" t="s">
        <v>4043</v>
      </c>
      <c r="J201" s="136" t="s">
        <v>5024</v>
      </c>
      <c r="K201" s="136">
        <v>73.0</v>
      </c>
      <c r="L201" s="136">
        <v>71.0</v>
      </c>
      <c r="M201" s="136">
        <v>39.96667</v>
      </c>
      <c r="N201" s="136">
        <v>0.0</v>
      </c>
      <c r="O201" s="137">
        <v>39.96667</v>
      </c>
      <c r="P201" s="136">
        <v>100.0</v>
      </c>
      <c r="Q201" s="136">
        <v>39.96667</v>
      </c>
      <c r="R201" s="136" t="s">
        <v>4045</v>
      </c>
      <c r="S201" s="136">
        <v>52.85714</v>
      </c>
      <c r="T201" s="136">
        <v>1.0</v>
      </c>
      <c r="U201" s="138">
        <v>45747.705092592594</v>
      </c>
      <c r="V201" s="139"/>
      <c r="W201" s="141"/>
      <c r="X201" s="141"/>
      <c r="Y201" s="141"/>
      <c r="Z201" s="141"/>
    </row>
    <row r="202">
      <c r="A202" s="135" t="s">
        <v>5025</v>
      </c>
      <c r="B202" s="136" t="s">
        <v>5026</v>
      </c>
      <c r="C202" s="136" t="s">
        <v>5027</v>
      </c>
      <c r="D202" s="136" t="s">
        <v>5028</v>
      </c>
      <c r="E202" s="136">
        <v>2025.0</v>
      </c>
      <c r="F202" s="136" t="s">
        <v>4718</v>
      </c>
      <c r="G202" s="136" t="s">
        <v>4041</v>
      </c>
      <c r="H202" s="136" t="s">
        <v>5029</v>
      </c>
      <c r="I202" s="136" t="s">
        <v>4043</v>
      </c>
      <c r="J202" s="136" t="s">
        <v>5030</v>
      </c>
      <c r="K202" s="136">
        <v>73.0</v>
      </c>
      <c r="L202" s="136">
        <v>73.0</v>
      </c>
      <c r="M202" s="136">
        <v>61.83333</v>
      </c>
      <c r="N202" s="136">
        <v>0.0</v>
      </c>
      <c r="O202" s="137">
        <v>61.83333</v>
      </c>
      <c r="P202" s="136">
        <v>100.0</v>
      </c>
      <c r="Q202" s="136">
        <v>61.83333</v>
      </c>
      <c r="R202" s="136" t="s">
        <v>4200</v>
      </c>
      <c r="S202" s="136">
        <v>69.23077</v>
      </c>
      <c r="T202" s="136">
        <v>3.0</v>
      </c>
      <c r="U202" s="138">
        <v>45747.58466435185</v>
      </c>
      <c r="V202" s="139"/>
      <c r="W202" s="141"/>
      <c r="X202" s="141"/>
      <c r="Y202" s="141"/>
      <c r="Z202" s="141"/>
    </row>
    <row r="203">
      <c r="A203" s="135" t="s">
        <v>5031</v>
      </c>
      <c r="B203" s="136" t="s">
        <v>5032</v>
      </c>
      <c r="C203" s="136" t="s">
        <v>5033</v>
      </c>
      <c r="D203" s="136" t="s">
        <v>5034</v>
      </c>
      <c r="E203" s="136">
        <v>2025.0</v>
      </c>
      <c r="F203" s="136" t="s">
        <v>4718</v>
      </c>
      <c r="G203" s="136" t="s">
        <v>4041</v>
      </c>
      <c r="H203" s="136" t="s">
        <v>5035</v>
      </c>
      <c r="I203" s="136" t="s">
        <v>4043</v>
      </c>
      <c r="J203" s="136" t="s">
        <v>5036</v>
      </c>
      <c r="K203" s="136">
        <v>73.0</v>
      </c>
      <c r="L203" s="136">
        <v>71.0</v>
      </c>
      <c r="M203" s="136">
        <v>63.0</v>
      </c>
      <c r="N203" s="136">
        <v>0.0</v>
      </c>
      <c r="O203" s="137">
        <v>63.0</v>
      </c>
      <c r="P203" s="136">
        <v>100.0</v>
      </c>
      <c r="Q203" s="136">
        <v>63.0</v>
      </c>
      <c r="R203" s="136" t="s">
        <v>4200</v>
      </c>
      <c r="S203" s="136">
        <v>77.02703</v>
      </c>
      <c r="T203" s="136">
        <v>2.0</v>
      </c>
      <c r="U203" s="138">
        <v>45747.71072916667</v>
      </c>
      <c r="V203" s="139"/>
      <c r="W203" s="141"/>
      <c r="X203" s="141"/>
      <c r="Y203" s="141"/>
      <c r="Z203" s="141"/>
    </row>
    <row r="204">
      <c r="A204" s="135" t="s">
        <v>5037</v>
      </c>
      <c r="B204" s="136" t="s">
        <v>5038</v>
      </c>
      <c r="C204" s="136" t="s">
        <v>5039</v>
      </c>
      <c r="D204" s="136" t="s">
        <v>5040</v>
      </c>
      <c r="E204" s="136">
        <v>2025.0</v>
      </c>
      <c r="F204" s="136" t="s">
        <v>4718</v>
      </c>
      <c r="G204" s="136" t="s">
        <v>4041</v>
      </c>
      <c r="H204" s="136" t="s">
        <v>5041</v>
      </c>
      <c r="I204" s="136" t="s">
        <v>4043</v>
      </c>
      <c r="J204" s="136" t="s">
        <v>5042</v>
      </c>
      <c r="K204" s="136">
        <v>73.0</v>
      </c>
      <c r="L204" s="136">
        <v>69.0</v>
      </c>
      <c r="M204" s="136">
        <v>29.0</v>
      </c>
      <c r="N204" s="136">
        <v>0.0</v>
      </c>
      <c r="O204" s="137">
        <v>29.0</v>
      </c>
      <c r="P204" s="136">
        <v>100.0</v>
      </c>
      <c r="Q204" s="136">
        <v>29.0</v>
      </c>
      <c r="R204" s="136" t="s">
        <v>4045</v>
      </c>
      <c r="S204" s="136">
        <v>42.02899</v>
      </c>
      <c r="T204" s="136">
        <v>2.0</v>
      </c>
      <c r="U204" s="138">
        <v>45746.84599537037</v>
      </c>
      <c r="V204" s="139"/>
      <c r="W204" s="141"/>
      <c r="X204" s="141"/>
      <c r="Y204" s="141"/>
      <c r="Z204" s="141"/>
    </row>
    <row r="205">
      <c r="A205" s="135" t="s">
        <v>5043</v>
      </c>
      <c r="B205" s="136" t="s">
        <v>5044</v>
      </c>
      <c r="C205" s="136" t="s">
        <v>5045</v>
      </c>
      <c r="D205" s="136" t="s">
        <v>5046</v>
      </c>
      <c r="E205" s="136">
        <v>2025.0</v>
      </c>
      <c r="F205" s="136" t="s">
        <v>4718</v>
      </c>
      <c r="G205" s="136" t="s">
        <v>4041</v>
      </c>
      <c r="H205" s="136" t="s">
        <v>5047</v>
      </c>
      <c r="I205" s="136" t="s">
        <v>4043</v>
      </c>
      <c r="J205" s="136" t="s">
        <v>5048</v>
      </c>
      <c r="K205" s="136">
        <v>73.0</v>
      </c>
      <c r="L205" s="136">
        <v>71.0</v>
      </c>
      <c r="M205" s="136">
        <v>30.66667</v>
      </c>
      <c r="N205" s="136">
        <v>0.0</v>
      </c>
      <c r="O205" s="137">
        <v>30.66667</v>
      </c>
      <c r="P205" s="136">
        <v>100.0</v>
      </c>
      <c r="Q205" s="136">
        <v>30.66667</v>
      </c>
      <c r="R205" s="136" t="s">
        <v>4045</v>
      </c>
      <c r="S205" s="136">
        <v>34.28571</v>
      </c>
      <c r="T205" s="136">
        <v>1.0</v>
      </c>
      <c r="U205" s="138">
        <v>45746.599131944444</v>
      </c>
      <c r="V205" s="139"/>
      <c r="W205" s="141"/>
      <c r="X205" s="141"/>
      <c r="Y205" s="141"/>
      <c r="Z205" s="141"/>
    </row>
    <row r="206">
      <c r="A206" s="135" t="s">
        <v>5049</v>
      </c>
      <c r="B206" s="136" t="s">
        <v>5050</v>
      </c>
      <c r="C206" s="136" t="s">
        <v>5051</v>
      </c>
      <c r="D206" s="136" t="s">
        <v>5052</v>
      </c>
      <c r="E206" s="136">
        <v>2025.0</v>
      </c>
      <c r="F206" s="136" t="s">
        <v>4718</v>
      </c>
      <c r="G206" s="136" t="s">
        <v>4041</v>
      </c>
      <c r="H206" s="136" t="s">
        <v>5053</v>
      </c>
      <c r="I206" s="136" t="s">
        <v>4043</v>
      </c>
      <c r="J206" s="136" t="s">
        <v>5054</v>
      </c>
      <c r="K206" s="136">
        <v>73.0</v>
      </c>
      <c r="L206" s="136">
        <v>0.0</v>
      </c>
      <c r="M206" s="136">
        <v>0.0</v>
      </c>
      <c r="N206" s="136">
        <v>0.0</v>
      </c>
      <c r="O206" s="137">
        <v>0.0</v>
      </c>
      <c r="P206" s="136">
        <v>100.0</v>
      </c>
      <c r="Q206" s="136">
        <v>0.0</v>
      </c>
      <c r="R206" s="136" t="s">
        <v>4045</v>
      </c>
      <c r="S206" s="136">
        <v>0.0</v>
      </c>
      <c r="T206" s="136">
        <v>1.0</v>
      </c>
      <c r="U206" s="138">
        <v>45747.79122685185</v>
      </c>
      <c r="V206" s="139"/>
      <c r="W206" s="141"/>
      <c r="X206" s="141"/>
      <c r="Y206" s="141"/>
      <c r="Z206" s="141"/>
    </row>
    <row r="207">
      <c r="A207" s="135" t="s">
        <v>5055</v>
      </c>
      <c r="B207" s="136" t="s">
        <v>5056</v>
      </c>
      <c r="C207" s="136" t="s">
        <v>5057</v>
      </c>
      <c r="D207" s="136" t="s">
        <v>5058</v>
      </c>
      <c r="E207" s="136">
        <v>2025.0</v>
      </c>
      <c r="F207" s="136" t="s">
        <v>4718</v>
      </c>
      <c r="G207" s="136" t="s">
        <v>4041</v>
      </c>
      <c r="H207" s="136" t="s">
        <v>5059</v>
      </c>
      <c r="I207" s="136" t="s">
        <v>4043</v>
      </c>
      <c r="J207" s="136" t="s">
        <v>5060</v>
      </c>
      <c r="K207" s="136">
        <v>73.0</v>
      </c>
      <c r="L207" s="136">
        <v>72.0</v>
      </c>
      <c r="M207" s="136">
        <v>62.43333</v>
      </c>
      <c r="N207" s="136">
        <v>0.0</v>
      </c>
      <c r="O207" s="137">
        <v>62.43333</v>
      </c>
      <c r="P207" s="136">
        <v>100.0</v>
      </c>
      <c r="Q207" s="136">
        <v>62.43333</v>
      </c>
      <c r="R207" s="136" t="s">
        <v>4200</v>
      </c>
      <c r="S207" s="136">
        <v>71.05263</v>
      </c>
      <c r="T207" s="136">
        <v>2.0</v>
      </c>
      <c r="U207" s="138">
        <v>45747.925520833334</v>
      </c>
      <c r="V207" s="139"/>
      <c r="W207" s="141"/>
      <c r="X207" s="141"/>
      <c r="Y207" s="141"/>
      <c r="Z207" s="141"/>
    </row>
    <row r="208">
      <c r="A208" s="135" t="s">
        <v>5061</v>
      </c>
      <c r="B208" s="136" t="s">
        <v>5062</v>
      </c>
      <c r="C208" s="136" t="s">
        <v>5063</v>
      </c>
      <c r="D208" s="136" t="s">
        <v>5064</v>
      </c>
      <c r="E208" s="136">
        <v>2025.0</v>
      </c>
      <c r="F208" s="136" t="s">
        <v>4718</v>
      </c>
      <c r="G208" s="136" t="s">
        <v>4041</v>
      </c>
      <c r="H208" s="136" t="s">
        <v>5065</v>
      </c>
      <c r="I208" s="136" t="s">
        <v>4043</v>
      </c>
      <c r="J208" s="136" t="s">
        <v>5066</v>
      </c>
      <c r="K208" s="136">
        <v>73.0</v>
      </c>
      <c r="L208" s="136">
        <v>53.0</v>
      </c>
      <c r="M208" s="136">
        <v>38.33333</v>
      </c>
      <c r="N208" s="136">
        <v>0.0</v>
      </c>
      <c r="O208" s="137">
        <v>38.33333</v>
      </c>
      <c r="P208" s="136">
        <v>100.0</v>
      </c>
      <c r="Q208" s="136">
        <v>38.33333</v>
      </c>
      <c r="R208" s="136" t="s">
        <v>4045</v>
      </c>
      <c r="S208" s="136">
        <v>63.46154</v>
      </c>
      <c r="T208" s="136">
        <v>1.0</v>
      </c>
      <c r="U208" s="138">
        <v>45747.80903935185</v>
      </c>
      <c r="V208" s="139"/>
      <c r="W208" s="141"/>
      <c r="X208" s="141"/>
      <c r="Y208" s="141"/>
      <c r="Z208" s="141"/>
    </row>
    <row r="209">
      <c r="A209" s="135" t="s">
        <v>5067</v>
      </c>
      <c r="B209" s="136" t="s">
        <v>5068</v>
      </c>
      <c r="C209" s="136" t="s">
        <v>5069</v>
      </c>
      <c r="D209" s="136" t="s">
        <v>5070</v>
      </c>
      <c r="E209" s="136">
        <v>2025.0</v>
      </c>
      <c r="F209" s="136" t="s">
        <v>4718</v>
      </c>
      <c r="G209" s="136" t="s">
        <v>4041</v>
      </c>
      <c r="H209" s="136" t="s">
        <v>5071</v>
      </c>
      <c r="I209" s="136" t="s">
        <v>4043</v>
      </c>
      <c r="J209" s="136" t="s">
        <v>5072</v>
      </c>
      <c r="K209" s="136">
        <v>73.0</v>
      </c>
      <c r="L209" s="136">
        <v>71.0</v>
      </c>
      <c r="M209" s="136">
        <v>54.0</v>
      </c>
      <c r="N209" s="136">
        <v>0.0</v>
      </c>
      <c r="O209" s="137">
        <v>54.0</v>
      </c>
      <c r="P209" s="136">
        <v>100.0</v>
      </c>
      <c r="Q209" s="136">
        <v>54.0</v>
      </c>
      <c r="R209" s="136" t="s">
        <v>4045</v>
      </c>
      <c r="S209" s="136">
        <v>70.0</v>
      </c>
      <c r="T209" s="136">
        <v>2.0</v>
      </c>
      <c r="U209" s="138">
        <v>45746.89224537037</v>
      </c>
      <c r="V209" s="139"/>
      <c r="W209" s="141"/>
      <c r="X209" s="141"/>
      <c r="Y209" s="141"/>
      <c r="Z209" s="141"/>
    </row>
    <row r="210">
      <c r="A210" s="135" t="s">
        <v>5073</v>
      </c>
      <c r="B210" s="136" t="s">
        <v>5074</v>
      </c>
      <c r="C210" s="136" t="s">
        <v>5075</v>
      </c>
      <c r="D210" s="136" t="s">
        <v>5076</v>
      </c>
      <c r="E210" s="136">
        <v>2025.0</v>
      </c>
      <c r="F210" s="136" t="s">
        <v>4718</v>
      </c>
      <c r="G210" s="136" t="s">
        <v>4041</v>
      </c>
      <c r="H210" s="136" t="s">
        <v>5077</v>
      </c>
      <c r="I210" s="136" t="s">
        <v>4043</v>
      </c>
      <c r="J210" s="136" t="s">
        <v>5078</v>
      </c>
      <c r="K210" s="136">
        <v>73.0</v>
      </c>
      <c r="L210" s="136">
        <v>71.0</v>
      </c>
      <c r="M210" s="136">
        <v>34.86667</v>
      </c>
      <c r="N210" s="136">
        <v>0.0</v>
      </c>
      <c r="O210" s="137">
        <v>34.86667</v>
      </c>
      <c r="P210" s="136">
        <v>100.0</v>
      </c>
      <c r="Q210" s="136">
        <v>34.86667</v>
      </c>
      <c r="R210" s="136" t="s">
        <v>4045</v>
      </c>
      <c r="S210" s="136">
        <v>45.71429</v>
      </c>
      <c r="T210" s="136">
        <v>3.0</v>
      </c>
      <c r="U210" s="138">
        <v>45748.63229166667</v>
      </c>
      <c r="V210" s="139"/>
      <c r="W210" s="141"/>
      <c r="X210" s="141"/>
      <c r="Y210" s="141"/>
      <c r="Z210" s="141"/>
    </row>
    <row r="211">
      <c r="A211" s="135" t="s">
        <v>5079</v>
      </c>
      <c r="B211" s="136" t="s">
        <v>5080</v>
      </c>
      <c r="C211" s="136" t="s">
        <v>5081</v>
      </c>
      <c r="D211" s="136" t="s">
        <v>5082</v>
      </c>
      <c r="E211" s="136">
        <v>2025.0</v>
      </c>
      <c r="F211" s="136" t="s">
        <v>4718</v>
      </c>
      <c r="G211" s="136" t="s">
        <v>4041</v>
      </c>
      <c r="H211" s="136" t="s">
        <v>5083</v>
      </c>
      <c r="I211" s="136" t="s">
        <v>4043</v>
      </c>
      <c r="J211" s="136" t="s">
        <v>5084</v>
      </c>
      <c r="K211" s="136">
        <v>73.0</v>
      </c>
      <c r="L211" s="136">
        <v>70.0</v>
      </c>
      <c r="M211" s="136">
        <v>21.0</v>
      </c>
      <c r="N211" s="136">
        <v>0.0</v>
      </c>
      <c r="O211" s="137">
        <v>21.0</v>
      </c>
      <c r="P211" s="136">
        <v>100.0</v>
      </c>
      <c r="Q211" s="136">
        <v>21.0</v>
      </c>
      <c r="R211" s="136" t="s">
        <v>4045</v>
      </c>
      <c r="S211" s="136">
        <v>30.0</v>
      </c>
      <c r="T211" s="136">
        <v>3.0</v>
      </c>
      <c r="U211" s="138">
        <v>45746.91045138889</v>
      </c>
      <c r="V211" s="139"/>
      <c r="W211" s="141"/>
      <c r="X211" s="141"/>
      <c r="Y211" s="141"/>
      <c r="Z211" s="141"/>
    </row>
    <row r="212">
      <c r="A212" s="135" t="s">
        <v>5085</v>
      </c>
      <c r="B212" s="136" t="s">
        <v>5086</v>
      </c>
      <c r="C212" s="136" t="s">
        <v>5087</v>
      </c>
      <c r="D212" s="136" t="s">
        <v>5088</v>
      </c>
      <c r="E212" s="136">
        <v>2025.0</v>
      </c>
      <c r="F212" s="136" t="s">
        <v>4718</v>
      </c>
      <c r="G212" s="136" t="s">
        <v>4041</v>
      </c>
      <c r="H212" s="136" t="s">
        <v>5089</v>
      </c>
      <c r="I212" s="136" t="s">
        <v>4043</v>
      </c>
      <c r="J212" s="136" t="s">
        <v>5090</v>
      </c>
      <c r="K212" s="136">
        <v>73.0</v>
      </c>
      <c r="L212" s="136">
        <v>72.0</v>
      </c>
      <c r="M212" s="136">
        <v>47.96667</v>
      </c>
      <c r="N212" s="136">
        <v>0.0</v>
      </c>
      <c r="O212" s="137">
        <v>47.96667</v>
      </c>
      <c r="P212" s="136">
        <v>100.0</v>
      </c>
      <c r="Q212" s="136">
        <v>47.96667</v>
      </c>
      <c r="R212" s="136" t="s">
        <v>4045</v>
      </c>
      <c r="S212" s="136">
        <v>58.10811</v>
      </c>
      <c r="T212" s="136">
        <v>3.0</v>
      </c>
      <c r="U212" s="138">
        <v>45747.50178240741</v>
      </c>
      <c r="V212" s="139"/>
      <c r="W212" s="141"/>
      <c r="X212" s="141"/>
      <c r="Y212" s="141"/>
      <c r="Z212" s="141"/>
    </row>
    <row r="213">
      <c r="A213" s="135" t="s">
        <v>5091</v>
      </c>
      <c r="B213" s="136" t="s">
        <v>5092</v>
      </c>
      <c r="C213" s="136" t="s">
        <v>5093</v>
      </c>
      <c r="D213" s="136" t="s">
        <v>5094</v>
      </c>
      <c r="E213" s="136">
        <v>2025.0</v>
      </c>
      <c r="F213" s="136" t="s">
        <v>4718</v>
      </c>
      <c r="G213" s="136" t="s">
        <v>4041</v>
      </c>
      <c r="H213" s="136" t="s">
        <v>5095</v>
      </c>
      <c r="I213" s="136" t="s">
        <v>4043</v>
      </c>
      <c r="J213" s="136" t="s">
        <v>5096</v>
      </c>
      <c r="K213" s="136">
        <v>73.0</v>
      </c>
      <c r="L213" s="136">
        <v>61.0</v>
      </c>
      <c r="M213" s="136">
        <v>48.6</v>
      </c>
      <c r="N213" s="136">
        <v>0.0</v>
      </c>
      <c r="O213" s="137">
        <v>48.6</v>
      </c>
      <c r="P213" s="136">
        <v>100.0</v>
      </c>
      <c r="Q213" s="136">
        <v>48.6</v>
      </c>
      <c r="R213" s="136" t="s">
        <v>4045</v>
      </c>
      <c r="S213" s="136">
        <v>76.66667</v>
      </c>
      <c r="T213" s="136">
        <v>1.0</v>
      </c>
      <c r="U213" s="138">
        <v>45746.80725694444</v>
      </c>
      <c r="V213" s="139"/>
      <c r="W213" s="141"/>
      <c r="X213" s="141"/>
      <c r="Y213" s="141"/>
      <c r="Z213" s="141"/>
    </row>
    <row r="214">
      <c r="A214" s="135" t="s">
        <v>5097</v>
      </c>
      <c r="B214" s="136" t="s">
        <v>5098</v>
      </c>
      <c r="C214" s="136" t="s">
        <v>5099</v>
      </c>
      <c r="D214" s="136" t="s">
        <v>5100</v>
      </c>
      <c r="E214" s="136">
        <v>2025.0</v>
      </c>
      <c r="F214" s="136" t="s">
        <v>4718</v>
      </c>
      <c r="G214" s="136" t="s">
        <v>4041</v>
      </c>
      <c r="H214" s="136" t="s">
        <v>5101</v>
      </c>
      <c r="I214" s="136" t="s">
        <v>4043</v>
      </c>
      <c r="J214" s="136" t="s">
        <v>5084</v>
      </c>
      <c r="K214" s="136">
        <v>73.0</v>
      </c>
      <c r="L214" s="136">
        <v>71.0</v>
      </c>
      <c r="M214" s="136">
        <v>37.36667</v>
      </c>
      <c r="N214" s="136">
        <v>0.0</v>
      </c>
      <c r="O214" s="137">
        <v>37.36667</v>
      </c>
      <c r="P214" s="136">
        <v>100.0</v>
      </c>
      <c r="Q214" s="136">
        <v>37.36667</v>
      </c>
      <c r="R214" s="136" t="s">
        <v>4045</v>
      </c>
      <c r="S214" s="136">
        <v>47.14286</v>
      </c>
      <c r="T214" s="136">
        <v>5.0</v>
      </c>
      <c r="U214" s="138">
        <v>45747.66019675926</v>
      </c>
      <c r="V214" s="139"/>
      <c r="W214" s="141"/>
      <c r="X214" s="141"/>
      <c r="Y214" s="141"/>
      <c r="Z214" s="141"/>
    </row>
    <row r="215">
      <c r="A215" s="135" t="s">
        <v>5102</v>
      </c>
      <c r="B215" s="136" t="s">
        <v>5103</v>
      </c>
      <c r="C215" s="136" t="s">
        <v>5104</v>
      </c>
      <c r="D215" s="136" t="s">
        <v>5105</v>
      </c>
      <c r="E215" s="136">
        <v>2025.0</v>
      </c>
      <c r="F215" s="136" t="s">
        <v>4718</v>
      </c>
      <c r="G215" s="136" t="s">
        <v>4041</v>
      </c>
      <c r="H215" s="136" t="s">
        <v>5106</v>
      </c>
      <c r="I215" s="136" t="s">
        <v>4043</v>
      </c>
      <c r="J215" s="136" t="s">
        <v>5107</v>
      </c>
      <c r="K215" s="136">
        <v>73.0</v>
      </c>
      <c r="L215" s="136">
        <v>67.0</v>
      </c>
      <c r="M215" s="136">
        <v>49.0</v>
      </c>
      <c r="N215" s="136">
        <v>0.0</v>
      </c>
      <c r="O215" s="137">
        <v>49.0</v>
      </c>
      <c r="P215" s="136">
        <v>100.0</v>
      </c>
      <c r="Q215" s="136">
        <v>49.0</v>
      </c>
      <c r="R215" s="136" t="s">
        <v>4045</v>
      </c>
      <c r="S215" s="136">
        <v>73.13433</v>
      </c>
      <c r="T215" s="136">
        <v>7.0</v>
      </c>
      <c r="U215" s="138">
        <v>45746.963275462964</v>
      </c>
      <c r="V215" s="139"/>
      <c r="W215" s="141"/>
      <c r="X215" s="141"/>
      <c r="Y215" s="141"/>
      <c r="Z215" s="141"/>
    </row>
    <row r="216">
      <c r="A216" s="135" t="s">
        <v>5108</v>
      </c>
      <c r="B216" s="136" t="s">
        <v>5109</v>
      </c>
      <c r="C216" s="136" t="s">
        <v>5110</v>
      </c>
      <c r="D216" s="136" t="s">
        <v>5111</v>
      </c>
      <c r="E216" s="136">
        <v>2025.0</v>
      </c>
      <c r="F216" s="136" t="s">
        <v>4718</v>
      </c>
      <c r="G216" s="136" t="s">
        <v>4041</v>
      </c>
      <c r="H216" s="136" t="s">
        <v>5112</v>
      </c>
      <c r="I216" s="136" t="s">
        <v>4043</v>
      </c>
      <c r="J216" s="136" t="s">
        <v>5113</v>
      </c>
      <c r="K216" s="136">
        <v>73.0</v>
      </c>
      <c r="L216" s="136">
        <v>73.0</v>
      </c>
      <c r="M216" s="136">
        <v>49.73333</v>
      </c>
      <c r="N216" s="136">
        <v>0.0</v>
      </c>
      <c r="O216" s="137">
        <v>49.73333</v>
      </c>
      <c r="P216" s="136">
        <v>100.0</v>
      </c>
      <c r="Q216" s="136">
        <v>49.73333</v>
      </c>
      <c r="R216" s="136" t="s">
        <v>4045</v>
      </c>
      <c r="S216" s="136">
        <v>56.41026</v>
      </c>
      <c r="T216" s="136">
        <v>0.0</v>
      </c>
      <c r="U216" s="138">
        <v>45746.91222222222</v>
      </c>
      <c r="V216" s="139"/>
      <c r="W216" s="141"/>
      <c r="X216" s="141"/>
      <c r="Y216" s="141"/>
      <c r="Z216" s="141"/>
    </row>
    <row r="217">
      <c r="A217" s="135" t="s">
        <v>5114</v>
      </c>
      <c r="B217" s="136" t="s">
        <v>5115</v>
      </c>
      <c r="C217" s="136" t="s">
        <v>5116</v>
      </c>
      <c r="D217" s="136" t="s">
        <v>5117</v>
      </c>
      <c r="E217" s="136">
        <v>2025.0</v>
      </c>
      <c r="F217" s="136" t="s">
        <v>4718</v>
      </c>
      <c r="G217" s="136" t="s">
        <v>4041</v>
      </c>
      <c r="H217" s="136" t="s">
        <v>5118</v>
      </c>
      <c r="I217" s="136" t="s">
        <v>4043</v>
      </c>
      <c r="J217" s="136" t="s">
        <v>5119</v>
      </c>
      <c r="K217" s="136">
        <v>73.0</v>
      </c>
      <c r="L217" s="136">
        <v>71.0</v>
      </c>
      <c r="M217" s="136">
        <v>40.6</v>
      </c>
      <c r="N217" s="136">
        <v>0.0</v>
      </c>
      <c r="O217" s="137">
        <v>40.6</v>
      </c>
      <c r="P217" s="136">
        <v>100.0</v>
      </c>
      <c r="Q217" s="136">
        <v>40.6</v>
      </c>
      <c r="R217" s="136" t="s">
        <v>4045</v>
      </c>
      <c r="S217" s="136">
        <v>50.0</v>
      </c>
      <c r="T217" s="136">
        <v>3.0</v>
      </c>
      <c r="U217" s="138">
        <v>45747.719201388885</v>
      </c>
      <c r="V217" s="139"/>
      <c r="W217" s="141"/>
      <c r="X217" s="141"/>
      <c r="Y217" s="141"/>
      <c r="Z217" s="141"/>
    </row>
    <row r="218">
      <c r="A218" s="135" t="s">
        <v>5120</v>
      </c>
      <c r="B218" s="136" t="s">
        <v>5121</v>
      </c>
      <c r="C218" s="136" t="s">
        <v>5122</v>
      </c>
      <c r="D218" s="136" t="s">
        <v>5123</v>
      </c>
      <c r="E218" s="136">
        <v>2025.0</v>
      </c>
      <c r="F218" s="136" t="s">
        <v>4718</v>
      </c>
      <c r="G218" s="136" t="s">
        <v>4041</v>
      </c>
      <c r="H218" s="136" t="s">
        <v>5124</v>
      </c>
      <c r="I218" s="136" t="s">
        <v>4043</v>
      </c>
      <c r="J218" s="136" t="s">
        <v>5125</v>
      </c>
      <c r="K218" s="136">
        <v>73.0</v>
      </c>
      <c r="L218" s="136">
        <v>72.0</v>
      </c>
      <c r="M218" s="136">
        <v>40.63333</v>
      </c>
      <c r="N218" s="136">
        <v>0.0</v>
      </c>
      <c r="O218" s="137">
        <v>40.63333</v>
      </c>
      <c r="P218" s="136">
        <v>100.0</v>
      </c>
      <c r="Q218" s="136">
        <v>40.63333</v>
      </c>
      <c r="R218" s="136" t="s">
        <v>4045</v>
      </c>
      <c r="S218" s="136">
        <v>47.2973</v>
      </c>
      <c r="T218" s="136">
        <v>1.0</v>
      </c>
      <c r="U218" s="138">
        <v>45747.80221064815</v>
      </c>
      <c r="V218" s="139"/>
      <c r="W218" s="141"/>
      <c r="X218" s="141"/>
      <c r="Y218" s="141"/>
      <c r="Z218" s="141"/>
    </row>
    <row r="219">
      <c r="A219" s="135" t="s">
        <v>5126</v>
      </c>
      <c r="B219" s="136" t="s">
        <v>5127</v>
      </c>
      <c r="C219" s="136" t="s">
        <v>5128</v>
      </c>
      <c r="D219" s="136" t="s">
        <v>5129</v>
      </c>
      <c r="E219" s="136">
        <v>2025.0</v>
      </c>
      <c r="F219" s="136" t="s">
        <v>4718</v>
      </c>
      <c r="G219" s="136" t="s">
        <v>4041</v>
      </c>
      <c r="H219" s="136" t="s">
        <v>5130</v>
      </c>
      <c r="I219" s="136" t="s">
        <v>4043</v>
      </c>
      <c r="J219" s="136" t="s">
        <v>5131</v>
      </c>
      <c r="K219" s="136">
        <v>73.0</v>
      </c>
      <c r="L219" s="136">
        <v>70.0</v>
      </c>
      <c r="M219" s="136">
        <v>49.46667</v>
      </c>
      <c r="N219" s="136">
        <v>0.0</v>
      </c>
      <c r="O219" s="137">
        <v>49.46667</v>
      </c>
      <c r="P219" s="136">
        <v>100.0</v>
      </c>
      <c r="Q219" s="136">
        <v>49.46667</v>
      </c>
      <c r="R219" s="136" t="s">
        <v>4045</v>
      </c>
      <c r="S219" s="136">
        <v>68.11594</v>
      </c>
      <c r="T219" s="136">
        <v>3.0</v>
      </c>
      <c r="U219" s="138">
        <v>45746.92790509259</v>
      </c>
      <c r="V219" s="139"/>
      <c r="W219" s="141"/>
      <c r="X219" s="141"/>
      <c r="Y219" s="141"/>
      <c r="Z219" s="141"/>
    </row>
    <row r="220">
      <c r="A220" s="135" t="s">
        <v>5132</v>
      </c>
      <c r="B220" s="136" t="s">
        <v>5133</v>
      </c>
      <c r="C220" s="136" t="s">
        <v>5134</v>
      </c>
      <c r="D220" s="136" t="s">
        <v>5135</v>
      </c>
      <c r="E220" s="136">
        <v>2025.0</v>
      </c>
      <c r="F220" s="136" t="s">
        <v>4718</v>
      </c>
      <c r="G220" s="136" t="s">
        <v>4041</v>
      </c>
      <c r="H220" s="136" t="s">
        <v>5136</v>
      </c>
      <c r="I220" s="136" t="s">
        <v>4043</v>
      </c>
      <c r="J220" s="136" t="s">
        <v>5137</v>
      </c>
      <c r="K220" s="136">
        <v>73.0</v>
      </c>
      <c r="L220" s="136">
        <v>68.0</v>
      </c>
      <c r="M220" s="136">
        <v>23.0</v>
      </c>
      <c r="N220" s="136">
        <v>0.0</v>
      </c>
      <c r="O220" s="137">
        <v>23.0</v>
      </c>
      <c r="P220" s="136">
        <v>100.0</v>
      </c>
      <c r="Q220" s="136">
        <v>23.0</v>
      </c>
      <c r="R220" s="136" t="s">
        <v>4045</v>
      </c>
      <c r="S220" s="136">
        <v>33.82353</v>
      </c>
      <c r="T220" s="136">
        <v>2.0</v>
      </c>
      <c r="U220" s="138">
        <v>45746.91611111111</v>
      </c>
      <c r="V220" s="139"/>
      <c r="W220" s="141"/>
      <c r="X220" s="141"/>
      <c r="Y220" s="141"/>
      <c r="Z220" s="141"/>
    </row>
    <row r="221">
      <c r="A221" s="135" t="s">
        <v>5138</v>
      </c>
      <c r="B221" s="136" t="s">
        <v>5139</v>
      </c>
      <c r="C221" s="136" t="s">
        <v>5140</v>
      </c>
      <c r="D221" s="136" t="s">
        <v>5141</v>
      </c>
      <c r="E221" s="136">
        <v>2025.0</v>
      </c>
      <c r="F221" s="136" t="s">
        <v>4718</v>
      </c>
      <c r="G221" s="136" t="s">
        <v>4041</v>
      </c>
      <c r="H221" s="136" t="s">
        <v>5142</v>
      </c>
      <c r="I221" s="136" t="s">
        <v>4043</v>
      </c>
      <c r="J221" s="136" t="s">
        <v>5143</v>
      </c>
      <c r="K221" s="136">
        <v>73.0</v>
      </c>
      <c r="L221" s="136">
        <v>71.0</v>
      </c>
      <c r="M221" s="136">
        <v>38.83333</v>
      </c>
      <c r="N221" s="136">
        <v>0.0</v>
      </c>
      <c r="O221" s="137">
        <v>38.83333</v>
      </c>
      <c r="P221" s="136">
        <v>100.0</v>
      </c>
      <c r="Q221" s="136">
        <v>38.83333</v>
      </c>
      <c r="R221" s="136" t="s">
        <v>4045</v>
      </c>
      <c r="S221" s="136">
        <v>54.28571</v>
      </c>
      <c r="T221" s="136">
        <v>2.0</v>
      </c>
      <c r="U221" s="138">
        <v>45745.829513888886</v>
      </c>
      <c r="V221" s="139"/>
      <c r="W221" s="141"/>
      <c r="X221" s="141"/>
      <c r="Y221" s="141"/>
      <c r="Z221" s="141"/>
    </row>
    <row r="222">
      <c r="A222" s="135" t="s">
        <v>5144</v>
      </c>
      <c r="B222" s="136" t="s">
        <v>5145</v>
      </c>
      <c r="C222" s="136" t="s">
        <v>5146</v>
      </c>
      <c r="D222" s="136" t="s">
        <v>5147</v>
      </c>
      <c r="E222" s="136">
        <v>2025.0</v>
      </c>
      <c r="F222" s="136" t="s">
        <v>4718</v>
      </c>
      <c r="G222" s="136" t="s">
        <v>4041</v>
      </c>
      <c r="H222" s="136" t="s">
        <v>5148</v>
      </c>
      <c r="I222" s="136" t="s">
        <v>4043</v>
      </c>
      <c r="J222" s="136" t="s">
        <v>5149</v>
      </c>
      <c r="K222" s="136">
        <v>73.0</v>
      </c>
      <c r="L222" s="136">
        <v>71.0</v>
      </c>
      <c r="M222" s="136">
        <v>43.76667</v>
      </c>
      <c r="N222" s="136">
        <v>0.0</v>
      </c>
      <c r="O222" s="137">
        <v>43.76667</v>
      </c>
      <c r="P222" s="136">
        <v>100.0</v>
      </c>
      <c r="Q222" s="136">
        <v>43.76667</v>
      </c>
      <c r="R222" s="136" t="s">
        <v>4045</v>
      </c>
      <c r="S222" s="136">
        <v>55.71429</v>
      </c>
      <c r="T222" s="136">
        <v>1.0</v>
      </c>
      <c r="U222" s="138">
        <v>45746.60386574074</v>
      </c>
      <c r="V222" s="139"/>
      <c r="W222" s="141"/>
      <c r="X222" s="141"/>
      <c r="Y222" s="141"/>
      <c r="Z222" s="141"/>
    </row>
    <row r="223">
      <c r="A223" s="135" t="s">
        <v>5150</v>
      </c>
      <c r="B223" s="136" t="s">
        <v>5151</v>
      </c>
      <c r="C223" s="136" t="s">
        <v>5152</v>
      </c>
      <c r="D223" s="136" t="s">
        <v>5153</v>
      </c>
      <c r="E223" s="136">
        <v>2025.0</v>
      </c>
      <c r="F223" s="136" t="s">
        <v>4718</v>
      </c>
      <c r="G223" s="136" t="s">
        <v>4041</v>
      </c>
      <c r="H223" s="136" t="s">
        <v>5154</v>
      </c>
      <c r="I223" s="136" t="s">
        <v>4043</v>
      </c>
      <c r="J223" s="136" t="s">
        <v>5155</v>
      </c>
      <c r="K223" s="136">
        <v>73.0</v>
      </c>
      <c r="L223" s="136">
        <v>70.0</v>
      </c>
      <c r="M223" s="136">
        <v>27.0</v>
      </c>
      <c r="N223" s="136">
        <v>0.0</v>
      </c>
      <c r="O223" s="137">
        <v>27.0</v>
      </c>
      <c r="P223" s="136">
        <v>100.0</v>
      </c>
      <c r="Q223" s="136">
        <v>27.0</v>
      </c>
      <c r="R223" s="136" t="s">
        <v>4045</v>
      </c>
      <c r="S223" s="136">
        <v>38.57143</v>
      </c>
      <c r="T223" s="136">
        <v>1.0</v>
      </c>
      <c r="U223" s="138">
        <v>45746.67502314815</v>
      </c>
      <c r="V223" s="139"/>
      <c r="W223" s="141"/>
      <c r="X223" s="141"/>
      <c r="Y223" s="141"/>
      <c r="Z223" s="141"/>
    </row>
    <row r="224">
      <c r="A224" s="135" t="s">
        <v>5156</v>
      </c>
      <c r="B224" s="136" t="s">
        <v>5157</v>
      </c>
      <c r="C224" s="136" t="s">
        <v>5158</v>
      </c>
      <c r="D224" s="136" t="s">
        <v>5159</v>
      </c>
      <c r="E224" s="136">
        <v>2025.0</v>
      </c>
      <c r="F224" s="136" t="s">
        <v>4718</v>
      </c>
      <c r="G224" s="136" t="s">
        <v>4041</v>
      </c>
      <c r="H224" s="136" t="s">
        <v>5160</v>
      </c>
      <c r="I224" s="136" t="s">
        <v>4043</v>
      </c>
      <c r="J224" s="136" t="s">
        <v>5161</v>
      </c>
      <c r="K224" s="136">
        <v>73.0</v>
      </c>
      <c r="L224" s="136">
        <v>70.0</v>
      </c>
      <c r="M224" s="136">
        <v>42.8</v>
      </c>
      <c r="N224" s="136">
        <v>0.0</v>
      </c>
      <c r="O224" s="137">
        <v>42.8</v>
      </c>
      <c r="P224" s="136">
        <v>100.0</v>
      </c>
      <c r="Q224" s="136">
        <v>42.8</v>
      </c>
      <c r="R224" s="136" t="s">
        <v>4045</v>
      </c>
      <c r="S224" s="136">
        <v>59.42029</v>
      </c>
      <c r="T224" s="136">
        <v>1.0</v>
      </c>
      <c r="U224" s="138">
        <v>45746.78870370371</v>
      </c>
      <c r="V224" s="139"/>
      <c r="W224" s="141"/>
      <c r="X224" s="141"/>
      <c r="Y224" s="141"/>
      <c r="Z224" s="141"/>
    </row>
    <row r="225">
      <c r="A225" s="135" t="s">
        <v>5162</v>
      </c>
      <c r="B225" s="136" t="s">
        <v>5163</v>
      </c>
      <c r="C225" s="136" t="s">
        <v>5164</v>
      </c>
      <c r="D225" s="136" t="s">
        <v>5165</v>
      </c>
      <c r="E225" s="136">
        <v>2025.0</v>
      </c>
      <c r="F225" s="136" t="s">
        <v>4718</v>
      </c>
      <c r="G225" s="136" t="s">
        <v>4041</v>
      </c>
      <c r="H225" s="136" t="s">
        <v>5166</v>
      </c>
      <c r="I225" s="136" t="s">
        <v>4043</v>
      </c>
      <c r="J225" s="136" t="s">
        <v>5167</v>
      </c>
      <c r="K225" s="136">
        <v>73.0</v>
      </c>
      <c r="L225" s="136">
        <v>71.0</v>
      </c>
      <c r="M225" s="136">
        <v>38.2</v>
      </c>
      <c r="N225" s="136">
        <v>0.0</v>
      </c>
      <c r="O225" s="137">
        <v>38.2</v>
      </c>
      <c r="P225" s="136">
        <v>100.0</v>
      </c>
      <c r="Q225" s="136">
        <v>38.2</v>
      </c>
      <c r="R225" s="136" t="s">
        <v>4045</v>
      </c>
      <c r="S225" s="136">
        <v>52.85714</v>
      </c>
      <c r="T225" s="136">
        <v>0.0</v>
      </c>
      <c r="U225" s="138">
        <v>45746.90363425926</v>
      </c>
      <c r="V225" s="139"/>
      <c r="W225" s="141"/>
      <c r="X225" s="141"/>
      <c r="Y225" s="141"/>
      <c r="Z225" s="141"/>
    </row>
    <row r="226">
      <c r="A226" s="135" t="s">
        <v>5168</v>
      </c>
      <c r="B226" s="136" t="s">
        <v>5169</v>
      </c>
      <c r="C226" s="136" t="s">
        <v>5170</v>
      </c>
      <c r="D226" s="136" t="s">
        <v>5171</v>
      </c>
      <c r="E226" s="136">
        <v>2025.0</v>
      </c>
      <c r="F226" s="136" t="s">
        <v>5172</v>
      </c>
      <c r="G226" s="136" t="s">
        <v>4041</v>
      </c>
      <c r="H226" s="136" t="s">
        <v>5173</v>
      </c>
      <c r="I226" s="136" t="s">
        <v>4043</v>
      </c>
      <c r="J226" s="136" t="s">
        <v>4577</v>
      </c>
      <c r="K226" s="136">
        <v>73.0</v>
      </c>
      <c r="L226" s="136">
        <v>71.0</v>
      </c>
      <c r="M226" s="136">
        <v>22.86667</v>
      </c>
      <c r="N226" s="136">
        <v>0.0</v>
      </c>
      <c r="O226" s="137">
        <v>22.86667</v>
      </c>
      <c r="P226" s="136">
        <v>100.0</v>
      </c>
      <c r="Q226" s="136">
        <v>22.86667</v>
      </c>
      <c r="R226" s="136" t="s">
        <v>4045</v>
      </c>
      <c r="S226" s="136">
        <v>24.28571</v>
      </c>
      <c r="T226" s="136">
        <v>1.0</v>
      </c>
      <c r="U226" s="138">
        <v>45747.681967592594</v>
      </c>
      <c r="V226" s="139"/>
      <c r="W226" s="141"/>
      <c r="X226" s="141"/>
      <c r="Y226" s="141"/>
      <c r="Z226" s="141"/>
    </row>
    <row r="227">
      <c r="A227" s="135" t="s">
        <v>5174</v>
      </c>
      <c r="B227" s="136" t="s">
        <v>5175</v>
      </c>
      <c r="C227" s="136" t="s">
        <v>5176</v>
      </c>
      <c r="D227" s="136" t="s">
        <v>5177</v>
      </c>
      <c r="E227" s="136">
        <v>2025.0</v>
      </c>
      <c r="F227" s="136" t="s">
        <v>5172</v>
      </c>
      <c r="G227" s="136" t="s">
        <v>4041</v>
      </c>
      <c r="H227" s="136" t="s">
        <v>5178</v>
      </c>
      <c r="I227" s="136" t="s">
        <v>4043</v>
      </c>
      <c r="J227" s="136" t="s">
        <v>5179</v>
      </c>
      <c r="K227" s="136">
        <v>73.0</v>
      </c>
      <c r="L227" s="136">
        <v>69.0</v>
      </c>
      <c r="M227" s="136">
        <v>36.5</v>
      </c>
      <c r="N227" s="136">
        <v>0.0</v>
      </c>
      <c r="O227" s="137">
        <v>36.5</v>
      </c>
      <c r="P227" s="136">
        <v>100.0</v>
      </c>
      <c r="Q227" s="136">
        <v>36.5</v>
      </c>
      <c r="R227" s="136" t="s">
        <v>4045</v>
      </c>
      <c r="S227" s="136">
        <v>43.66197</v>
      </c>
      <c r="T227" s="136">
        <v>2.0</v>
      </c>
      <c r="U227" s="138">
        <v>45747.544583333336</v>
      </c>
      <c r="V227" s="139"/>
      <c r="W227" s="141"/>
      <c r="X227" s="141"/>
      <c r="Y227" s="141"/>
      <c r="Z227" s="141"/>
    </row>
    <row r="228">
      <c r="A228" s="135" t="s">
        <v>5180</v>
      </c>
      <c r="B228" s="136" t="s">
        <v>5181</v>
      </c>
      <c r="C228" s="136" t="s">
        <v>5182</v>
      </c>
      <c r="D228" s="136" t="s">
        <v>5183</v>
      </c>
      <c r="E228" s="136">
        <v>2025.0</v>
      </c>
      <c r="F228" s="136" t="s">
        <v>5172</v>
      </c>
      <c r="G228" s="136" t="s">
        <v>4041</v>
      </c>
      <c r="H228" s="136" t="s">
        <v>5184</v>
      </c>
      <c r="I228" s="136" t="s">
        <v>4043</v>
      </c>
      <c r="J228" s="136" t="s">
        <v>4187</v>
      </c>
      <c r="K228" s="136">
        <v>73.0</v>
      </c>
      <c r="L228" s="136">
        <v>70.0</v>
      </c>
      <c r="M228" s="136">
        <v>28.0</v>
      </c>
      <c r="N228" s="136">
        <v>0.0</v>
      </c>
      <c r="O228" s="137">
        <v>28.0</v>
      </c>
      <c r="P228" s="136">
        <v>100.0</v>
      </c>
      <c r="Q228" s="136">
        <v>28.0</v>
      </c>
      <c r="R228" s="136" t="s">
        <v>4045</v>
      </c>
      <c r="S228" s="136">
        <v>40.0</v>
      </c>
      <c r="T228" s="136">
        <v>1.0</v>
      </c>
      <c r="U228" s="138">
        <v>45749.36980324074</v>
      </c>
      <c r="V228" s="139"/>
      <c r="W228" s="141"/>
      <c r="X228" s="141"/>
      <c r="Y228" s="141"/>
      <c r="Z228" s="141"/>
    </row>
    <row r="229">
      <c r="A229" s="135" t="s">
        <v>5185</v>
      </c>
      <c r="B229" s="136" t="s">
        <v>5186</v>
      </c>
      <c r="C229" s="136" t="s">
        <v>5187</v>
      </c>
      <c r="D229" s="136" t="s">
        <v>5188</v>
      </c>
      <c r="E229" s="136">
        <v>2025.0</v>
      </c>
      <c r="F229" s="136" t="s">
        <v>5172</v>
      </c>
      <c r="G229" s="136" t="s">
        <v>4041</v>
      </c>
      <c r="H229" s="136" t="s">
        <v>5189</v>
      </c>
      <c r="I229" s="136" t="s">
        <v>4043</v>
      </c>
      <c r="J229" s="136" t="s">
        <v>5190</v>
      </c>
      <c r="K229" s="136">
        <v>73.0</v>
      </c>
      <c r="L229" s="136">
        <v>41.0</v>
      </c>
      <c r="M229" s="136">
        <v>14.0</v>
      </c>
      <c r="N229" s="136">
        <v>0.0</v>
      </c>
      <c r="O229" s="137">
        <v>14.0</v>
      </c>
      <c r="P229" s="136">
        <v>100.0</v>
      </c>
      <c r="Q229" s="136">
        <v>14.0</v>
      </c>
      <c r="R229" s="136" t="s">
        <v>4045</v>
      </c>
      <c r="S229" s="136">
        <v>34.14634</v>
      </c>
      <c r="T229" s="136">
        <v>1.0</v>
      </c>
      <c r="U229" s="138">
        <v>45748.76311342593</v>
      </c>
      <c r="V229" s="139"/>
      <c r="W229" s="141"/>
      <c r="X229" s="141"/>
      <c r="Y229" s="141"/>
      <c r="Z229" s="141"/>
    </row>
    <row r="230">
      <c r="A230" s="135" t="s">
        <v>5191</v>
      </c>
      <c r="B230" s="136" t="s">
        <v>5192</v>
      </c>
      <c r="C230" s="136" t="s">
        <v>5193</v>
      </c>
      <c r="D230" s="136" t="s">
        <v>5194</v>
      </c>
      <c r="E230" s="136">
        <v>2025.0</v>
      </c>
      <c r="F230" s="136" t="s">
        <v>5172</v>
      </c>
      <c r="G230" s="136" t="s">
        <v>4041</v>
      </c>
      <c r="H230" s="136" t="s">
        <v>5195</v>
      </c>
      <c r="I230" s="136" t="s">
        <v>4043</v>
      </c>
      <c r="J230" s="136" t="s">
        <v>5196</v>
      </c>
      <c r="K230" s="136">
        <v>73.0</v>
      </c>
      <c r="L230" s="136">
        <v>71.0</v>
      </c>
      <c r="M230" s="136">
        <v>36.33333</v>
      </c>
      <c r="N230" s="136">
        <v>0.0</v>
      </c>
      <c r="O230" s="137">
        <v>36.33333</v>
      </c>
      <c r="P230" s="136">
        <v>100.0</v>
      </c>
      <c r="Q230" s="136">
        <v>36.33333</v>
      </c>
      <c r="R230" s="136" t="s">
        <v>4045</v>
      </c>
      <c r="S230" s="136">
        <v>44.28571</v>
      </c>
      <c r="T230" s="136">
        <v>3.0</v>
      </c>
      <c r="U230" s="138">
        <v>45746.9246875</v>
      </c>
      <c r="V230" s="139"/>
      <c r="W230" s="141"/>
      <c r="X230" s="141"/>
      <c r="Y230" s="141"/>
      <c r="Z230" s="141"/>
    </row>
    <row r="231">
      <c r="A231" s="135" t="s">
        <v>5197</v>
      </c>
      <c r="B231" s="136" t="s">
        <v>5198</v>
      </c>
      <c r="C231" s="136" t="s">
        <v>5199</v>
      </c>
      <c r="D231" s="136" t="s">
        <v>5200</v>
      </c>
      <c r="E231" s="136">
        <v>2025.0</v>
      </c>
      <c r="F231" s="136" t="s">
        <v>5172</v>
      </c>
      <c r="G231" s="136" t="s">
        <v>4041</v>
      </c>
      <c r="H231" s="136" t="s">
        <v>5201</v>
      </c>
      <c r="I231" s="136" t="s">
        <v>4043</v>
      </c>
      <c r="J231" s="136" t="s">
        <v>5202</v>
      </c>
      <c r="K231" s="136">
        <v>73.0</v>
      </c>
      <c r="L231" s="136">
        <v>60.0</v>
      </c>
      <c r="M231" s="136">
        <v>23.0</v>
      </c>
      <c r="N231" s="136">
        <v>0.0</v>
      </c>
      <c r="O231" s="137">
        <v>23.0</v>
      </c>
      <c r="P231" s="136">
        <v>100.0</v>
      </c>
      <c r="Q231" s="136">
        <v>23.0</v>
      </c>
      <c r="R231" s="136" t="s">
        <v>4045</v>
      </c>
      <c r="S231" s="136">
        <v>38.33333</v>
      </c>
      <c r="T231" s="136">
        <v>2.0</v>
      </c>
      <c r="U231" s="138">
        <v>45746.72887731482</v>
      </c>
      <c r="V231" s="139"/>
      <c r="W231" s="141"/>
      <c r="X231" s="141"/>
      <c r="Y231" s="141"/>
      <c r="Z231" s="141"/>
    </row>
    <row r="232">
      <c r="A232" s="135" t="s">
        <v>5203</v>
      </c>
      <c r="B232" s="136" t="s">
        <v>5204</v>
      </c>
      <c r="C232" s="136" t="s">
        <v>5205</v>
      </c>
      <c r="D232" s="136" t="s">
        <v>5206</v>
      </c>
      <c r="E232" s="136">
        <v>2025.0</v>
      </c>
      <c r="F232" s="136" t="s">
        <v>5172</v>
      </c>
      <c r="G232" s="136" t="s">
        <v>4041</v>
      </c>
      <c r="H232" s="136" t="s">
        <v>5207</v>
      </c>
      <c r="I232" s="136" t="s">
        <v>4043</v>
      </c>
      <c r="J232" s="136" t="s">
        <v>5208</v>
      </c>
      <c r="K232" s="136">
        <v>73.0</v>
      </c>
      <c r="L232" s="136">
        <v>71.0</v>
      </c>
      <c r="M232" s="136">
        <v>28.2</v>
      </c>
      <c r="N232" s="136">
        <v>0.0</v>
      </c>
      <c r="O232" s="137">
        <v>28.2</v>
      </c>
      <c r="P232" s="136">
        <v>100.0</v>
      </c>
      <c r="Q232" s="136">
        <v>28.2</v>
      </c>
      <c r="R232" s="136" t="s">
        <v>4045</v>
      </c>
      <c r="S232" s="136">
        <v>37.14286</v>
      </c>
      <c r="T232" s="136">
        <v>2.0</v>
      </c>
      <c r="U232" s="138">
        <v>45748.826574074075</v>
      </c>
      <c r="V232" s="139"/>
      <c r="W232" s="141"/>
      <c r="X232" s="141"/>
      <c r="Y232" s="141"/>
      <c r="Z232" s="141"/>
    </row>
    <row r="233">
      <c r="A233" s="135" t="s">
        <v>5209</v>
      </c>
      <c r="B233" s="136" t="s">
        <v>5210</v>
      </c>
      <c r="C233" s="136" t="s">
        <v>5211</v>
      </c>
      <c r="D233" s="136" t="s">
        <v>5212</v>
      </c>
      <c r="E233" s="136">
        <v>2025.0</v>
      </c>
      <c r="F233" s="136" t="s">
        <v>5172</v>
      </c>
      <c r="G233" s="136" t="s">
        <v>4041</v>
      </c>
      <c r="H233" s="136" t="s">
        <v>5213</v>
      </c>
      <c r="I233" s="136" t="s">
        <v>4043</v>
      </c>
      <c r="J233" s="136" t="s">
        <v>5214</v>
      </c>
      <c r="K233" s="136">
        <v>73.0</v>
      </c>
      <c r="L233" s="136">
        <v>43.0</v>
      </c>
      <c r="M233" s="136">
        <v>15.6</v>
      </c>
      <c r="N233" s="136">
        <v>0.0</v>
      </c>
      <c r="O233" s="137">
        <v>15.6</v>
      </c>
      <c r="P233" s="136">
        <v>100.0</v>
      </c>
      <c r="Q233" s="136">
        <v>15.6</v>
      </c>
      <c r="R233" s="136" t="s">
        <v>4045</v>
      </c>
      <c r="S233" s="136">
        <v>21.42857</v>
      </c>
      <c r="T233" s="136">
        <v>2.0</v>
      </c>
      <c r="U233" s="138">
        <v>45748.72759259259</v>
      </c>
      <c r="V233" s="139"/>
      <c r="W233" s="141"/>
      <c r="X233" s="141"/>
      <c r="Y233" s="141"/>
      <c r="Z233" s="141"/>
    </row>
    <row r="234">
      <c r="A234" s="135" t="s">
        <v>5215</v>
      </c>
      <c r="B234" s="136" t="s">
        <v>5216</v>
      </c>
      <c r="C234" s="136" t="s">
        <v>5217</v>
      </c>
      <c r="D234" s="136" t="s">
        <v>5218</v>
      </c>
      <c r="E234" s="136">
        <v>2025.0</v>
      </c>
      <c r="F234" s="136" t="s">
        <v>5172</v>
      </c>
      <c r="G234" s="136" t="s">
        <v>4041</v>
      </c>
      <c r="H234" s="136" t="s">
        <v>5219</v>
      </c>
      <c r="I234" s="136" t="s">
        <v>4043</v>
      </c>
      <c r="J234" s="136" t="s">
        <v>5220</v>
      </c>
      <c r="K234" s="136">
        <v>73.0</v>
      </c>
      <c r="L234" s="136">
        <v>72.0</v>
      </c>
      <c r="M234" s="136">
        <v>43.0</v>
      </c>
      <c r="N234" s="136">
        <v>0.0</v>
      </c>
      <c r="O234" s="137">
        <v>43.0</v>
      </c>
      <c r="P234" s="136">
        <v>100.0</v>
      </c>
      <c r="Q234" s="136">
        <v>43.0</v>
      </c>
      <c r="R234" s="136" t="s">
        <v>4045</v>
      </c>
      <c r="S234" s="136">
        <v>55.12821</v>
      </c>
      <c r="T234" s="136">
        <v>5.0</v>
      </c>
      <c r="U234" s="138">
        <v>45747.618472222224</v>
      </c>
      <c r="V234" s="139"/>
      <c r="W234" s="141"/>
      <c r="X234" s="141"/>
      <c r="Y234" s="141"/>
      <c r="Z234" s="141"/>
    </row>
    <row r="235">
      <c r="A235" s="135" t="s">
        <v>5221</v>
      </c>
      <c r="B235" s="136" t="s">
        <v>5222</v>
      </c>
      <c r="C235" s="136" t="s">
        <v>5223</v>
      </c>
      <c r="D235" s="136" t="s">
        <v>5224</v>
      </c>
      <c r="E235" s="136">
        <v>2025.0</v>
      </c>
      <c r="F235" s="136" t="s">
        <v>5172</v>
      </c>
      <c r="G235" s="136" t="s">
        <v>4041</v>
      </c>
      <c r="H235" s="136" t="s">
        <v>5225</v>
      </c>
      <c r="I235" s="136" t="s">
        <v>4043</v>
      </c>
      <c r="J235" s="136" t="s">
        <v>5226</v>
      </c>
      <c r="K235" s="136">
        <v>73.0</v>
      </c>
      <c r="L235" s="136">
        <v>71.0</v>
      </c>
      <c r="M235" s="136">
        <v>52.73333</v>
      </c>
      <c r="N235" s="136">
        <v>0.0</v>
      </c>
      <c r="O235" s="137">
        <v>52.73333</v>
      </c>
      <c r="P235" s="136">
        <v>100.0</v>
      </c>
      <c r="Q235" s="136">
        <v>52.73333</v>
      </c>
      <c r="R235" s="136" t="s">
        <v>4045</v>
      </c>
      <c r="S235" s="136">
        <v>67.14286</v>
      </c>
      <c r="T235" s="136">
        <v>1.0</v>
      </c>
      <c r="U235" s="138">
        <v>45748.698796296296</v>
      </c>
      <c r="V235" s="139"/>
      <c r="W235" s="141"/>
      <c r="X235" s="141"/>
      <c r="Y235" s="141"/>
      <c r="Z235" s="141"/>
    </row>
    <row r="236">
      <c r="A236" s="135" t="s">
        <v>5227</v>
      </c>
      <c r="B236" s="136" t="s">
        <v>5228</v>
      </c>
      <c r="C236" s="136" t="s">
        <v>5229</v>
      </c>
      <c r="D236" s="136" t="s">
        <v>5230</v>
      </c>
      <c r="E236" s="136">
        <v>2025.0</v>
      </c>
      <c r="F236" s="136" t="s">
        <v>5172</v>
      </c>
      <c r="G236" s="136" t="s">
        <v>4041</v>
      </c>
      <c r="H236" s="136" t="s">
        <v>5231</v>
      </c>
      <c r="I236" s="136" t="s">
        <v>4043</v>
      </c>
      <c r="J236" s="136" t="s">
        <v>5232</v>
      </c>
      <c r="K236" s="136">
        <v>73.0</v>
      </c>
      <c r="L236" s="136">
        <v>71.0</v>
      </c>
      <c r="M236" s="136">
        <v>25.7</v>
      </c>
      <c r="N236" s="136">
        <v>0.0</v>
      </c>
      <c r="O236" s="137">
        <v>25.7</v>
      </c>
      <c r="P236" s="136">
        <v>100.0</v>
      </c>
      <c r="Q236" s="136">
        <v>25.7</v>
      </c>
      <c r="R236" s="136" t="s">
        <v>4045</v>
      </c>
      <c r="S236" s="136">
        <v>28.57143</v>
      </c>
      <c r="T236" s="136">
        <v>6.0</v>
      </c>
      <c r="U236" s="138">
        <v>45748.728842592594</v>
      </c>
      <c r="V236" s="139"/>
      <c r="W236" s="141"/>
      <c r="X236" s="141"/>
      <c r="Y236" s="141"/>
      <c r="Z236" s="141"/>
    </row>
    <row r="237">
      <c r="A237" s="135" t="s">
        <v>5233</v>
      </c>
      <c r="B237" s="136" t="s">
        <v>5234</v>
      </c>
      <c r="C237" s="136" t="s">
        <v>5235</v>
      </c>
      <c r="D237" s="136" t="s">
        <v>5236</v>
      </c>
      <c r="E237" s="136">
        <v>2025.0</v>
      </c>
      <c r="F237" s="136" t="s">
        <v>5172</v>
      </c>
      <c r="G237" s="136" t="s">
        <v>4041</v>
      </c>
      <c r="H237" s="136" t="s">
        <v>5237</v>
      </c>
      <c r="I237" s="136" t="s">
        <v>4043</v>
      </c>
      <c r="J237" s="136" t="s">
        <v>5238</v>
      </c>
      <c r="K237" s="136">
        <v>73.0</v>
      </c>
      <c r="L237" s="136">
        <v>71.0</v>
      </c>
      <c r="M237" s="136">
        <v>25.6</v>
      </c>
      <c r="N237" s="136">
        <v>0.0</v>
      </c>
      <c r="O237" s="137">
        <v>25.6</v>
      </c>
      <c r="P237" s="136">
        <v>100.0</v>
      </c>
      <c r="Q237" s="136">
        <v>25.6</v>
      </c>
      <c r="R237" s="136" t="s">
        <v>4045</v>
      </c>
      <c r="S237" s="136">
        <v>30.0</v>
      </c>
      <c r="T237" s="136">
        <v>0.0</v>
      </c>
      <c r="U237" s="138">
        <v>45748.71837962963</v>
      </c>
      <c r="V237" s="139"/>
      <c r="W237" s="141"/>
      <c r="X237" s="141"/>
      <c r="Y237" s="141"/>
      <c r="Z237" s="141"/>
    </row>
    <row r="238">
      <c r="A238" s="135" t="s">
        <v>5239</v>
      </c>
      <c r="B238" s="136" t="s">
        <v>5240</v>
      </c>
      <c r="C238" s="136" t="s">
        <v>5241</v>
      </c>
      <c r="D238" s="136" t="s">
        <v>5242</v>
      </c>
      <c r="E238" s="136">
        <v>2025.0</v>
      </c>
      <c r="F238" s="136" t="s">
        <v>5172</v>
      </c>
      <c r="G238" s="136" t="s">
        <v>4041</v>
      </c>
      <c r="H238" s="136" t="s">
        <v>5243</v>
      </c>
      <c r="I238" s="136" t="s">
        <v>4043</v>
      </c>
      <c r="J238" s="136" t="s">
        <v>5244</v>
      </c>
      <c r="K238" s="136">
        <v>73.0</v>
      </c>
      <c r="L238" s="136">
        <v>63.0</v>
      </c>
      <c r="M238" s="136">
        <v>47.86667</v>
      </c>
      <c r="N238" s="136">
        <v>0.0</v>
      </c>
      <c r="O238" s="137">
        <v>47.86667</v>
      </c>
      <c r="P238" s="136">
        <v>100.0</v>
      </c>
      <c r="Q238" s="136">
        <v>47.86667</v>
      </c>
      <c r="R238" s="136" t="s">
        <v>4045</v>
      </c>
      <c r="S238" s="136">
        <v>64.70588</v>
      </c>
      <c r="T238" s="136">
        <v>1.0</v>
      </c>
      <c r="U238" s="138">
        <v>45748.695</v>
      </c>
      <c r="V238" s="139"/>
      <c r="W238" s="141"/>
      <c r="X238" s="141"/>
      <c r="Y238" s="141"/>
      <c r="Z238" s="141"/>
    </row>
    <row r="239">
      <c r="A239" s="135" t="s">
        <v>5245</v>
      </c>
      <c r="B239" s="136" t="s">
        <v>5246</v>
      </c>
      <c r="C239" s="136" t="s">
        <v>5247</v>
      </c>
      <c r="D239" s="136" t="s">
        <v>5248</v>
      </c>
      <c r="E239" s="136">
        <v>2025.0</v>
      </c>
      <c r="F239" s="136" t="s">
        <v>5172</v>
      </c>
      <c r="G239" s="136" t="s">
        <v>4041</v>
      </c>
      <c r="H239" s="136" t="s">
        <v>5249</v>
      </c>
      <c r="I239" s="136" t="s">
        <v>4043</v>
      </c>
      <c r="J239" s="136" t="s">
        <v>5250</v>
      </c>
      <c r="K239" s="136">
        <v>73.0</v>
      </c>
      <c r="L239" s="136">
        <v>70.0</v>
      </c>
      <c r="M239" s="136">
        <v>29.0</v>
      </c>
      <c r="N239" s="136">
        <v>0.0</v>
      </c>
      <c r="O239" s="137">
        <v>29.0</v>
      </c>
      <c r="P239" s="136">
        <v>100.0</v>
      </c>
      <c r="Q239" s="136">
        <v>29.0</v>
      </c>
      <c r="R239" s="136" t="s">
        <v>4045</v>
      </c>
      <c r="S239" s="136">
        <v>41.42857</v>
      </c>
      <c r="T239" s="136">
        <v>3.0</v>
      </c>
      <c r="U239" s="138">
        <v>45748.76936342593</v>
      </c>
      <c r="V239" s="139"/>
      <c r="W239" s="141"/>
      <c r="X239" s="141"/>
      <c r="Y239" s="141"/>
      <c r="Z239" s="141"/>
    </row>
    <row r="240">
      <c r="A240" s="135" t="s">
        <v>5251</v>
      </c>
      <c r="B240" s="136" t="s">
        <v>5252</v>
      </c>
      <c r="C240" s="136" t="s">
        <v>5253</v>
      </c>
      <c r="D240" s="136" t="s">
        <v>5254</v>
      </c>
      <c r="E240" s="136">
        <v>2025.0</v>
      </c>
      <c r="F240" s="136" t="s">
        <v>5172</v>
      </c>
      <c r="G240" s="136" t="s">
        <v>4041</v>
      </c>
      <c r="H240" s="136" t="s">
        <v>5255</v>
      </c>
      <c r="I240" s="136" t="s">
        <v>4043</v>
      </c>
      <c r="J240" s="136" t="s">
        <v>5256</v>
      </c>
      <c r="K240" s="136">
        <v>73.0</v>
      </c>
      <c r="L240" s="136">
        <v>71.0</v>
      </c>
      <c r="M240" s="136">
        <v>28.26667</v>
      </c>
      <c r="N240" s="136">
        <v>0.0</v>
      </c>
      <c r="O240" s="137">
        <v>28.26667</v>
      </c>
      <c r="P240" s="136">
        <v>100.0</v>
      </c>
      <c r="Q240" s="136">
        <v>28.26667</v>
      </c>
      <c r="R240" s="136" t="s">
        <v>4045</v>
      </c>
      <c r="S240" s="136">
        <v>32.85714</v>
      </c>
      <c r="T240" s="136">
        <v>1.0</v>
      </c>
      <c r="U240" s="138">
        <v>45746.70071759259</v>
      </c>
      <c r="V240" s="139"/>
      <c r="W240" s="141"/>
      <c r="X240" s="141"/>
      <c r="Y240" s="141"/>
      <c r="Z240" s="141"/>
    </row>
    <row r="241">
      <c r="A241" s="135" t="s">
        <v>5257</v>
      </c>
      <c r="B241" s="136" t="s">
        <v>5258</v>
      </c>
      <c r="C241" s="136" t="s">
        <v>5259</v>
      </c>
      <c r="D241" s="136" t="s">
        <v>5260</v>
      </c>
      <c r="E241" s="136">
        <v>2025.0</v>
      </c>
      <c r="F241" s="136" t="s">
        <v>5172</v>
      </c>
      <c r="G241" s="136" t="s">
        <v>4041</v>
      </c>
      <c r="H241" s="136" t="s">
        <v>5261</v>
      </c>
      <c r="I241" s="136" t="s">
        <v>4043</v>
      </c>
      <c r="J241" s="136" t="s">
        <v>5262</v>
      </c>
      <c r="K241" s="136">
        <v>73.0</v>
      </c>
      <c r="L241" s="136">
        <v>72.0</v>
      </c>
      <c r="M241" s="136">
        <v>56.73333</v>
      </c>
      <c r="N241" s="136">
        <v>0.0</v>
      </c>
      <c r="O241" s="137">
        <v>56.73333</v>
      </c>
      <c r="P241" s="136">
        <v>100.0</v>
      </c>
      <c r="Q241" s="136">
        <v>56.73333</v>
      </c>
      <c r="R241" s="136" t="s">
        <v>4045</v>
      </c>
      <c r="S241" s="136">
        <v>64.86487</v>
      </c>
      <c r="T241" s="136">
        <v>5.0</v>
      </c>
      <c r="U241" s="138">
        <v>45746.60318287037</v>
      </c>
      <c r="V241" s="139"/>
      <c r="W241" s="141"/>
      <c r="X241" s="141"/>
      <c r="Y241" s="141"/>
      <c r="Z241" s="141"/>
    </row>
    <row r="242">
      <c r="A242" s="135" t="s">
        <v>5263</v>
      </c>
      <c r="B242" s="136" t="s">
        <v>5264</v>
      </c>
      <c r="C242" s="136" t="s">
        <v>5265</v>
      </c>
      <c r="D242" s="136" t="s">
        <v>5266</v>
      </c>
      <c r="E242" s="136">
        <v>2025.0</v>
      </c>
      <c r="F242" s="136" t="s">
        <v>5172</v>
      </c>
      <c r="G242" s="136" t="s">
        <v>4041</v>
      </c>
      <c r="H242" s="136" t="s">
        <v>5267</v>
      </c>
      <c r="I242" s="136" t="s">
        <v>4043</v>
      </c>
      <c r="J242" s="136" t="s">
        <v>5268</v>
      </c>
      <c r="K242" s="136">
        <v>73.0</v>
      </c>
      <c r="L242" s="136">
        <v>70.0</v>
      </c>
      <c r="M242" s="136">
        <v>14.0</v>
      </c>
      <c r="N242" s="136">
        <v>0.0</v>
      </c>
      <c r="O242" s="137">
        <v>14.0</v>
      </c>
      <c r="P242" s="136">
        <v>100.0</v>
      </c>
      <c r="Q242" s="136">
        <v>14.0</v>
      </c>
      <c r="R242" s="136" t="s">
        <v>4045</v>
      </c>
      <c r="S242" s="136">
        <v>20.0</v>
      </c>
      <c r="T242" s="136">
        <v>1.0</v>
      </c>
      <c r="U242" s="138">
        <v>45748.820289351854</v>
      </c>
      <c r="V242" s="139"/>
      <c r="W242" s="141"/>
      <c r="X242" s="141"/>
      <c r="Y242" s="141"/>
      <c r="Z242" s="141"/>
    </row>
    <row r="243">
      <c r="A243" s="135" t="s">
        <v>5269</v>
      </c>
      <c r="B243" s="136" t="s">
        <v>5270</v>
      </c>
      <c r="C243" s="136" t="s">
        <v>5271</v>
      </c>
      <c r="D243" s="136" t="s">
        <v>5272</v>
      </c>
      <c r="E243" s="136">
        <v>2025.0</v>
      </c>
      <c r="F243" s="136" t="s">
        <v>5172</v>
      </c>
      <c r="G243" s="136" t="s">
        <v>4041</v>
      </c>
      <c r="H243" s="136" t="s">
        <v>5273</v>
      </c>
      <c r="I243" s="136" t="s">
        <v>4043</v>
      </c>
      <c r="J243" s="136" t="s">
        <v>5274</v>
      </c>
      <c r="K243" s="136">
        <v>73.0</v>
      </c>
      <c r="L243" s="136">
        <v>73.0</v>
      </c>
      <c r="M243" s="136">
        <v>69.26667</v>
      </c>
      <c r="N243" s="136">
        <v>0.0</v>
      </c>
      <c r="O243" s="137">
        <v>69.26667</v>
      </c>
      <c r="P243" s="136">
        <v>100.0</v>
      </c>
      <c r="Q243" s="136">
        <v>69.26667</v>
      </c>
      <c r="R243" s="136" t="s">
        <v>4200</v>
      </c>
      <c r="S243" s="136">
        <v>76.92308</v>
      </c>
      <c r="T243" s="136">
        <v>0.0</v>
      </c>
      <c r="U243" s="138">
        <v>45746.673101851855</v>
      </c>
      <c r="V243" s="139"/>
      <c r="W243" s="141"/>
      <c r="X243" s="141"/>
      <c r="Y243" s="141"/>
      <c r="Z243" s="141"/>
    </row>
    <row r="244">
      <c r="A244" s="135" t="s">
        <v>5275</v>
      </c>
      <c r="B244" s="136" t="s">
        <v>5276</v>
      </c>
      <c r="C244" s="136" t="s">
        <v>5277</v>
      </c>
      <c r="D244" s="136" t="s">
        <v>5278</v>
      </c>
      <c r="E244" s="136">
        <v>2025.0</v>
      </c>
      <c r="F244" s="136" t="s">
        <v>5172</v>
      </c>
      <c r="G244" s="136" t="s">
        <v>4041</v>
      </c>
      <c r="H244" s="136" t="s">
        <v>5279</v>
      </c>
      <c r="I244" s="136" t="s">
        <v>4043</v>
      </c>
      <c r="J244" s="136" t="s">
        <v>5280</v>
      </c>
      <c r="K244" s="136">
        <v>73.0</v>
      </c>
      <c r="L244" s="136">
        <v>69.0</v>
      </c>
      <c r="M244" s="136">
        <v>19.0</v>
      </c>
      <c r="N244" s="136">
        <v>0.0</v>
      </c>
      <c r="O244" s="137">
        <v>19.0</v>
      </c>
      <c r="P244" s="136">
        <v>100.0</v>
      </c>
      <c r="Q244" s="136">
        <v>19.0</v>
      </c>
      <c r="R244" s="136" t="s">
        <v>4045</v>
      </c>
      <c r="S244" s="136">
        <v>27.53623</v>
      </c>
      <c r="T244" s="136">
        <v>1.0</v>
      </c>
      <c r="U244" s="138">
        <v>45746.54534722222</v>
      </c>
      <c r="V244" s="139"/>
      <c r="W244" s="141"/>
      <c r="X244" s="141"/>
      <c r="Y244" s="141"/>
      <c r="Z244" s="141"/>
    </row>
    <row r="245">
      <c r="A245" s="135" t="s">
        <v>5281</v>
      </c>
      <c r="B245" s="136" t="s">
        <v>5282</v>
      </c>
      <c r="C245" s="136" t="s">
        <v>5283</v>
      </c>
      <c r="D245" s="136" t="s">
        <v>5284</v>
      </c>
      <c r="E245" s="136">
        <v>2025.0</v>
      </c>
      <c r="F245" s="136" t="s">
        <v>5172</v>
      </c>
      <c r="G245" s="136" t="s">
        <v>4041</v>
      </c>
      <c r="H245" s="136" t="s">
        <v>5285</v>
      </c>
      <c r="I245" s="136" t="s">
        <v>4043</v>
      </c>
      <c r="J245" s="136" t="s">
        <v>5286</v>
      </c>
      <c r="K245" s="136">
        <v>73.0</v>
      </c>
      <c r="L245" s="136">
        <v>70.0</v>
      </c>
      <c r="M245" s="136">
        <v>31.16667</v>
      </c>
      <c r="N245" s="136">
        <v>0.0</v>
      </c>
      <c r="O245" s="137">
        <v>31.16667</v>
      </c>
      <c r="P245" s="136">
        <v>100.0</v>
      </c>
      <c r="Q245" s="136">
        <v>31.16667</v>
      </c>
      <c r="R245" s="136" t="s">
        <v>4045</v>
      </c>
      <c r="S245" s="136">
        <v>36.23188</v>
      </c>
      <c r="T245" s="136">
        <v>1.0</v>
      </c>
      <c r="U245" s="138">
        <v>45745.79803240741</v>
      </c>
      <c r="V245" s="139"/>
      <c r="W245" s="141"/>
      <c r="X245" s="141"/>
      <c r="Y245" s="141"/>
      <c r="Z245" s="141"/>
    </row>
    <row r="246">
      <c r="A246" s="135" t="s">
        <v>5287</v>
      </c>
      <c r="B246" s="136" t="s">
        <v>5288</v>
      </c>
      <c r="C246" s="136" t="s">
        <v>5289</v>
      </c>
      <c r="D246" s="136" t="s">
        <v>5290</v>
      </c>
      <c r="E246" s="136">
        <v>2025.0</v>
      </c>
      <c r="F246" s="136" t="s">
        <v>5172</v>
      </c>
      <c r="G246" s="136" t="s">
        <v>4041</v>
      </c>
      <c r="H246" s="136" t="s">
        <v>5291</v>
      </c>
      <c r="I246" s="136" t="s">
        <v>4043</v>
      </c>
      <c r="J246" s="136" t="s">
        <v>5292</v>
      </c>
      <c r="K246" s="136">
        <v>73.0</v>
      </c>
      <c r="L246" s="136">
        <v>71.0</v>
      </c>
      <c r="M246" s="136">
        <v>35.43333</v>
      </c>
      <c r="N246" s="136">
        <v>0.0</v>
      </c>
      <c r="O246" s="137">
        <v>35.43333</v>
      </c>
      <c r="P246" s="136">
        <v>100.0</v>
      </c>
      <c r="Q246" s="136">
        <v>35.43333</v>
      </c>
      <c r="R246" s="136" t="s">
        <v>4045</v>
      </c>
      <c r="S246" s="136">
        <v>42.85714</v>
      </c>
      <c r="T246" s="136">
        <v>2.0</v>
      </c>
      <c r="U246" s="138">
        <v>45746.9143287037</v>
      </c>
      <c r="V246" s="139"/>
      <c r="W246" s="141"/>
      <c r="X246" s="141"/>
      <c r="Y246" s="141"/>
      <c r="Z246" s="141"/>
    </row>
    <row r="247">
      <c r="A247" s="135" t="s">
        <v>5293</v>
      </c>
      <c r="B247" s="136" t="s">
        <v>5294</v>
      </c>
      <c r="C247" s="136" t="s">
        <v>5295</v>
      </c>
      <c r="D247" s="136" t="s">
        <v>5296</v>
      </c>
      <c r="E247" s="136">
        <v>2025.0</v>
      </c>
      <c r="F247" s="136" t="s">
        <v>5172</v>
      </c>
      <c r="G247" s="136" t="s">
        <v>4041</v>
      </c>
      <c r="H247" s="136" t="s">
        <v>5297</v>
      </c>
      <c r="I247" s="136" t="s">
        <v>4043</v>
      </c>
      <c r="J247" s="136" t="s">
        <v>4744</v>
      </c>
      <c r="K247" s="136">
        <v>73.0</v>
      </c>
      <c r="L247" s="136">
        <v>70.0</v>
      </c>
      <c r="M247" s="136">
        <v>40.0</v>
      </c>
      <c r="N247" s="136">
        <v>0.0</v>
      </c>
      <c r="O247" s="137">
        <v>40.0</v>
      </c>
      <c r="P247" s="136">
        <v>100.0</v>
      </c>
      <c r="Q247" s="136">
        <v>40.0</v>
      </c>
      <c r="R247" s="136" t="s">
        <v>4045</v>
      </c>
      <c r="S247" s="136">
        <v>57.14286</v>
      </c>
      <c r="T247" s="136">
        <v>1.0</v>
      </c>
      <c r="U247" s="138">
        <v>45747.99482638889</v>
      </c>
      <c r="V247" s="139"/>
      <c r="W247" s="141"/>
      <c r="X247" s="141"/>
      <c r="Y247" s="141"/>
      <c r="Z247" s="141"/>
    </row>
    <row r="248">
      <c r="A248" s="135" t="s">
        <v>5298</v>
      </c>
      <c r="B248" s="136" t="s">
        <v>5299</v>
      </c>
      <c r="C248" s="136" t="s">
        <v>5300</v>
      </c>
      <c r="D248" s="136" t="s">
        <v>5301</v>
      </c>
      <c r="E248" s="136">
        <v>2025.0</v>
      </c>
      <c r="F248" s="136" t="s">
        <v>5172</v>
      </c>
      <c r="G248" s="136" t="s">
        <v>4041</v>
      </c>
      <c r="H248" s="136" t="s">
        <v>5302</v>
      </c>
      <c r="I248" s="136" t="s">
        <v>4043</v>
      </c>
      <c r="J248" s="136" t="s">
        <v>5303</v>
      </c>
      <c r="K248" s="136">
        <v>73.0</v>
      </c>
      <c r="L248" s="136">
        <v>67.0</v>
      </c>
      <c r="M248" s="136">
        <v>38.56667</v>
      </c>
      <c r="N248" s="136">
        <v>0.0</v>
      </c>
      <c r="O248" s="137">
        <v>38.56667</v>
      </c>
      <c r="P248" s="136">
        <v>100.0</v>
      </c>
      <c r="Q248" s="136">
        <v>38.56667</v>
      </c>
      <c r="R248" s="136" t="s">
        <v>4045</v>
      </c>
      <c r="S248" s="136">
        <v>45.83333</v>
      </c>
      <c r="T248" s="136">
        <v>1.0</v>
      </c>
      <c r="U248" s="138">
        <v>45747.864583333336</v>
      </c>
      <c r="V248" s="139"/>
      <c r="W248" s="141"/>
      <c r="X248" s="141"/>
      <c r="Y248" s="141"/>
      <c r="Z248" s="141"/>
    </row>
    <row r="249">
      <c r="A249" s="135" t="s">
        <v>5304</v>
      </c>
      <c r="B249" s="136" t="s">
        <v>5305</v>
      </c>
      <c r="C249" s="136" t="s">
        <v>5306</v>
      </c>
      <c r="D249" s="136" t="s">
        <v>5307</v>
      </c>
      <c r="E249" s="136">
        <v>2025.0</v>
      </c>
      <c r="F249" s="136" t="s">
        <v>5172</v>
      </c>
      <c r="G249" s="136" t="s">
        <v>4041</v>
      </c>
      <c r="H249" s="136" t="s">
        <v>5308</v>
      </c>
      <c r="I249" s="136" t="s">
        <v>4043</v>
      </c>
      <c r="J249" s="136" t="s">
        <v>5309</v>
      </c>
      <c r="K249" s="136">
        <v>73.0</v>
      </c>
      <c r="L249" s="136">
        <v>70.0</v>
      </c>
      <c r="M249" s="136">
        <v>28.0</v>
      </c>
      <c r="N249" s="136">
        <v>0.0</v>
      </c>
      <c r="O249" s="137">
        <v>28.0</v>
      </c>
      <c r="P249" s="136">
        <v>100.0</v>
      </c>
      <c r="Q249" s="136">
        <v>28.0</v>
      </c>
      <c r="R249" s="136" t="s">
        <v>4045</v>
      </c>
      <c r="S249" s="136">
        <v>40.0</v>
      </c>
      <c r="T249" s="136">
        <v>1.0</v>
      </c>
      <c r="U249" s="138">
        <v>45746.85712962963</v>
      </c>
      <c r="V249" s="139"/>
      <c r="W249" s="141"/>
      <c r="X249" s="141"/>
      <c r="Y249" s="141"/>
      <c r="Z249" s="141"/>
    </row>
    <row r="250">
      <c r="A250" s="135" t="s">
        <v>5310</v>
      </c>
      <c r="B250" s="136" t="s">
        <v>5311</v>
      </c>
      <c r="C250" s="136" t="s">
        <v>5312</v>
      </c>
      <c r="D250" s="136" t="s">
        <v>5313</v>
      </c>
      <c r="E250" s="136">
        <v>2025.0</v>
      </c>
      <c r="F250" s="136" t="s">
        <v>5172</v>
      </c>
      <c r="G250" s="136" t="s">
        <v>4041</v>
      </c>
      <c r="H250" s="136" t="s">
        <v>5314</v>
      </c>
      <c r="I250" s="136" t="s">
        <v>4043</v>
      </c>
      <c r="J250" s="136" t="s">
        <v>5315</v>
      </c>
      <c r="K250" s="136">
        <v>73.0</v>
      </c>
      <c r="L250" s="136">
        <v>71.0</v>
      </c>
      <c r="M250" s="136">
        <v>32.23333</v>
      </c>
      <c r="N250" s="136">
        <v>0.0</v>
      </c>
      <c r="O250" s="137">
        <v>32.23333</v>
      </c>
      <c r="P250" s="136">
        <v>100.0</v>
      </c>
      <c r="Q250" s="136">
        <v>32.23333</v>
      </c>
      <c r="R250" s="136" t="s">
        <v>4045</v>
      </c>
      <c r="S250" s="136">
        <v>38.57143</v>
      </c>
      <c r="T250" s="136">
        <v>4.0</v>
      </c>
      <c r="U250" s="138">
        <v>45746.85142361111</v>
      </c>
      <c r="V250" s="139"/>
      <c r="W250" s="141"/>
      <c r="X250" s="141"/>
      <c r="Y250" s="141"/>
      <c r="Z250" s="141"/>
    </row>
    <row r="251">
      <c r="A251" s="135" t="s">
        <v>5316</v>
      </c>
      <c r="B251" s="136" t="s">
        <v>5317</v>
      </c>
      <c r="C251" s="136" t="s">
        <v>5318</v>
      </c>
      <c r="D251" s="136" t="s">
        <v>5319</v>
      </c>
      <c r="E251" s="136">
        <v>2025.0</v>
      </c>
      <c r="F251" s="136" t="s">
        <v>5172</v>
      </c>
      <c r="G251" s="136" t="s">
        <v>4041</v>
      </c>
      <c r="H251" s="136" t="s">
        <v>5320</v>
      </c>
      <c r="I251" s="136" t="s">
        <v>4043</v>
      </c>
      <c r="J251" s="136" t="s">
        <v>5321</v>
      </c>
      <c r="K251" s="136">
        <v>73.0</v>
      </c>
      <c r="L251" s="136">
        <v>65.0</v>
      </c>
      <c r="M251" s="136">
        <v>56.9</v>
      </c>
      <c r="N251" s="136">
        <v>0.0</v>
      </c>
      <c r="O251" s="137">
        <v>56.9</v>
      </c>
      <c r="P251" s="136">
        <v>100.0</v>
      </c>
      <c r="Q251" s="136">
        <v>56.9</v>
      </c>
      <c r="R251" s="136" t="s">
        <v>4045</v>
      </c>
      <c r="S251" s="136">
        <v>74.28571</v>
      </c>
      <c r="T251" s="136">
        <v>1.0</v>
      </c>
      <c r="U251" s="138">
        <v>45745.87230324074</v>
      </c>
      <c r="V251" s="139"/>
      <c r="W251" s="141"/>
      <c r="X251" s="141"/>
      <c r="Y251" s="141"/>
      <c r="Z251" s="141"/>
    </row>
    <row r="252">
      <c r="A252" s="135" t="s">
        <v>5322</v>
      </c>
      <c r="B252" s="136" t="s">
        <v>5323</v>
      </c>
      <c r="C252" s="136" t="s">
        <v>5324</v>
      </c>
      <c r="D252" s="136" t="s">
        <v>5325</v>
      </c>
      <c r="E252" s="136">
        <v>2025.0</v>
      </c>
      <c r="F252" s="136" t="s">
        <v>5172</v>
      </c>
      <c r="G252" s="136" t="s">
        <v>4041</v>
      </c>
      <c r="H252" s="136" t="s">
        <v>5326</v>
      </c>
      <c r="I252" s="136" t="s">
        <v>4043</v>
      </c>
      <c r="J252" s="136" t="s">
        <v>4127</v>
      </c>
      <c r="K252" s="136">
        <v>73.0</v>
      </c>
      <c r="L252" s="136">
        <v>72.0</v>
      </c>
      <c r="M252" s="136">
        <v>35.5</v>
      </c>
      <c r="N252" s="136">
        <v>0.0</v>
      </c>
      <c r="O252" s="137">
        <v>35.5</v>
      </c>
      <c r="P252" s="136">
        <v>100.0</v>
      </c>
      <c r="Q252" s="136">
        <v>35.5</v>
      </c>
      <c r="R252" s="136" t="s">
        <v>4045</v>
      </c>
      <c r="S252" s="136">
        <v>40.54054</v>
      </c>
      <c r="T252" s="136">
        <v>1.0</v>
      </c>
      <c r="U252" s="138">
        <v>45746.92209490741</v>
      </c>
      <c r="V252" s="139"/>
      <c r="W252" s="141"/>
      <c r="X252" s="141"/>
      <c r="Y252" s="141"/>
      <c r="Z252" s="141"/>
    </row>
    <row r="253">
      <c r="A253" s="135" t="s">
        <v>5327</v>
      </c>
      <c r="B253" s="136" t="s">
        <v>5328</v>
      </c>
      <c r="C253" s="136" t="s">
        <v>5329</v>
      </c>
      <c r="D253" s="136" t="s">
        <v>5330</v>
      </c>
      <c r="E253" s="136">
        <v>2025.0</v>
      </c>
      <c r="F253" s="136" t="s">
        <v>5172</v>
      </c>
      <c r="G253" s="136" t="s">
        <v>4041</v>
      </c>
      <c r="H253" s="136" t="s">
        <v>5331</v>
      </c>
      <c r="I253" s="136" t="s">
        <v>4043</v>
      </c>
      <c r="J253" s="136" t="s">
        <v>5332</v>
      </c>
      <c r="K253" s="136">
        <v>73.0</v>
      </c>
      <c r="L253" s="136">
        <v>72.0</v>
      </c>
      <c r="M253" s="136">
        <v>44.3</v>
      </c>
      <c r="N253" s="136">
        <v>0.0</v>
      </c>
      <c r="O253" s="137">
        <v>44.3</v>
      </c>
      <c r="P253" s="136">
        <v>100.0</v>
      </c>
      <c r="Q253" s="136">
        <v>44.3</v>
      </c>
      <c r="R253" s="136" t="s">
        <v>4045</v>
      </c>
      <c r="S253" s="136">
        <v>51.35135</v>
      </c>
      <c r="T253" s="136">
        <v>0.0</v>
      </c>
      <c r="U253" s="138">
        <v>45748.83939814815</v>
      </c>
      <c r="V253" s="139"/>
      <c r="W253" s="141"/>
      <c r="X253" s="141"/>
      <c r="Y253" s="141"/>
      <c r="Z253" s="141"/>
    </row>
    <row r="254">
      <c r="A254" s="135" t="s">
        <v>5333</v>
      </c>
      <c r="B254" s="136" t="s">
        <v>5334</v>
      </c>
      <c r="C254" s="136" t="s">
        <v>5335</v>
      </c>
      <c r="D254" s="136" t="s">
        <v>5336</v>
      </c>
      <c r="E254" s="136">
        <v>2025.0</v>
      </c>
      <c r="F254" s="136" t="s">
        <v>5172</v>
      </c>
      <c r="G254" s="136" t="s">
        <v>4041</v>
      </c>
      <c r="H254" s="136" t="s">
        <v>5337</v>
      </c>
      <c r="I254" s="136" t="s">
        <v>4152</v>
      </c>
      <c r="J254" s="136" t="s">
        <v>4153</v>
      </c>
      <c r="K254" s="136" t="s">
        <v>1003</v>
      </c>
      <c r="L254" s="136" t="s">
        <v>1003</v>
      </c>
      <c r="M254" s="136" t="s">
        <v>1003</v>
      </c>
      <c r="N254" s="136" t="s">
        <v>1003</v>
      </c>
      <c r="O254" s="137" t="s">
        <v>1003</v>
      </c>
      <c r="P254" s="136" t="s">
        <v>1003</v>
      </c>
      <c r="Q254" s="136" t="s">
        <v>1003</v>
      </c>
      <c r="R254" s="136" t="s">
        <v>1003</v>
      </c>
      <c r="S254" s="136" t="s">
        <v>1003</v>
      </c>
      <c r="T254" s="136">
        <v>1.0</v>
      </c>
      <c r="U254" s="136" t="s">
        <v>1003</v>
      </c>
      <c r="V254" s="139"/>
      <c r="W254" s="141"/>
      <c r="X254" s="141"/>
      <c r="Y254" s="141"/>
      <c r="Z254" s="141"/>
    </row>
    <row r="255">
      <c r="A255" s="135" t="s">
        <v>5338</v>
      </c>
      <c r="B255" s="136" t="s">
        <v>5339</v>
      </c>
      <c r="C255" s="136" t="s">
        <v>5340</v>
      </c>
      <c r="D255" s="136" t="s">
        <v>5341</v>
      </c>
      <c r="E255" s="136">
        <v>2025.0</v>
      </c>
      <c r="F255" s="136" t="s">
        <v>5172</v>
      </c>
      <c r="G255" s="136" t="s">
        <v>4041</v>
      </c>
      <c r="H255" s="136" t="s">
        <v>5342</v>
      </c>
      <c r="I255" s="136" t="s">
        <v>4043</v>
      </c>
      <c r="J255" s="136" t="s">
        <v>5343</v>
      </c>
      <c r="K255" s="136">
        <v>73.0</v>
      </c>
      <c r="L255" s="136">
        <v>71.0</v>
      </c>
      <c r="M255" s="136">
        <v>31.16667</v>
      </c>
      <c r="N255" s="136">
        <v>0.0</v>
      </c>
      <c r="O255" s="137">
        <v>31.16667</v>
      </c>
      <c r="P255" s="136">
        <v>100.0</v>
      </c>
      <c r="Q255" s="136">
        <v>31.16667</v>
      </c>
      <c r="R255" s="136" t="s">
        <v>4045</v>
      </c>
      <c r="S255" s="136">
        <v>38.57143</v>
      </c>
      <c r="T255" s="136">
        <v>4.0</v>
      </c>
      <c r="U255" s="138">
        <v>45745.93067129629</v>
      </c>
      <c r="V255" s="139"/>
      <c r="W255" s="141"/>
      <c r="X255" s="141"/>
      <c r="Y255" s="141"/>
      <c r="Z255" s="141"/>
    </row>
    <row r="256">
      <c r="A256" s="135" t="s">
        <v>5344</v>
      </c>
      <c r="B256" s="136" t="s">
        <v>5345</v>
      </c>
      <c r="C256" s="136" t="s">
        <v>5346</v>
      </c>
      <c r="D256" s="136" t="s">
        <v>5347</v>
      </c>
      <c r="E256" s="136">
        <v>2025.0</v>
      </c>
      <c r="F256" s="136" t="s">
        <v>5172</v>
      </c>
      <c r="G256" s="136" t="s">
        <v>4041</v>
      </c>
      <c r="H256" s="136" t="s">
        <v>5348</v>
      </c>
      <c r="I256" s="136" t="s">
        <v>4043</v>
      </c>
      <c r="J256" s="136" t="s">
        <v>5349</v>
      </c>
      <c r="K256" s="136">
        <v>73.0</v>
      </c>
      <c r="L256" s="136">
        <v>72.0</v>
      </c>
      <c r="M256" s="136">
        <v>40.86667</v>
      </c>
      <c r="N256" s="136">
        <v>0.0</v>
      </c>
      <c r="O256" s="137">
        <v>40.86667</v>
      </c>
      <c r="P256" s="136">
        <v>100.0</v>
      </c>
      <c r="Q256" s="136">
        <v>40.86667</v>
      </c>
      <c r="R256" s="136" t="s">
        <v>4045</v>
      </c>
      <c r="S256" s="136">
        <v>47.2973</v>
      </c>
      <c r="T256" s="136">
        <v>3.0</v>
      </c>
      <c r="U256" s="138">
        <v>45746.7328587963</v>
      </c>
      <c r="V256" s="139"/>
      <c r="W256" s="141"/>
      <c r="X256" s="141"/>
      <c r="Y256" s="141"/>
      <c r="Z256" s="141"/>
    </row>
    <row r="257">
      <c r="A257" s="135" t="s">
        <v>5350</v>
      </c>
      <c r="B257" s="136" t="s">
        <v>5351</v>
      </c>
      <c r="C257" s="136" t="s">
        <v>5352</v>
      </c>
      <c r="D257" s="136" t="s">
        <v>5353</v>
      </c>
      <c r="E257" s="136">
        <v>2025.0</v>
      </c>
      <c r="F257" s="136" t="s">
        <v>5172</v>
      </c>
      <c r="G257" s="136" t="s">
        <v>4041</v>
      </c>
      <c r="H257" s="136" t="s">
        <v>5354</v>
      </c>
      <c r="I257" s="136" t="s">
        <v>4043</v>
      </c>
      <c r="J257" s="136" t="s">
        <v>4199</v>
      </c>
      <c r="K257" s="136">
        <v>73.0</v>
      </c>
      <c r="L257" s="136">
        <v>73.0</v>
      </c>
      <c r="M257" s="136">
        <v>42.96667</v>
      </c>
      <c r="N257" s="136">
        <v>0.0</v>
      </c>
      <c r="O257" s="137">
        <v>42.96667</v>
      </c>
      <c r="P257" s="136">
        <v>100.0</v>
      </c>
      <c r="Q257" s="136">
        <v>42.96667</v>
      </c>
      <c r="R257" s="136" t="s">
        <v>4045</v>
      </c>
      <c r="S257" s="136">
        <v>41.02564</v>
      </c>
      <c r="T257" s="136">
        <v>2.0</v>
      </c>
      <c r="U257" s="138">
        <v>45748.71960648148</v>
      </c>
      <c r="V257" s="139"/>
      <c r="W257" s="141"/>
      <c r="X257" s="141"/>
      <c r="Y257" s="141"/>
      <c r="Z257" s="141"/>
    </row>
    <row r="258">
      <c r="A258" s="135" t="s">
        <v>5355</v>
      </c>
      <c r="B258" s="136" t="s">
        <v>5356</v>
      </c>
      <c r="C258" s="136" t="s">
        <v>5357</v>
      </c>
      <c r="D258" s="136" t="s">
        <v>5358</v>
      </c>
      <c r="E258" s="136">
        <v>2025.0</v>
      </c>
      <c r="F258" s="136" t="s">
        <v>5172</v>
      </c>
      <c r="G258" s="136" t="s">
        <v>4041</v>
      </c>
      <c r="H258" s="136" t="s">
        <v>5359</v>
      </c>
      <c r="I258" s="136" t="s">
        <v>4043</v>
      </c>
      <c r="J258" s="136" t="s">
        <v>5360</v>
      </c>
      <c r="K258" s="136">
        <v>73.0</v>
      </c>
      <c r="L258" s="136">
        <v>62.0</v>
      </c>
      <c r="M258" s="136">
        <v>25.16667</v>
      </c>
      <c r="N258" s="136">
        <v>0.0</v>
      </c>
      <c r="O258" s="137">
        <v>25.16667</v>
      </c>
      <c r="P258" s="136">
        <v>100.0</v>
      </c>
      <c r="Q258" s="136">
        <v>25.16667</v>
      </c>
      <c r="R258" s="136" t="s">
        <v>4045</v>
      </c>
      <c r="S258" s="136">
        <v>31.14754</v>
      </c>
      <c r="T258" s="136">
        <v>1.0</v>
      </c>
      <c r="U258" s="138">
        <v>45748.718136574076</v>
      </c>
      <c r="V258" s="139"/>
      <c r="W258" s="141"/>
      <c r="X258" s="141"/>
      <c r="Y258" s="141"/>
      <c r="Z258" s="141"/>
    </row>
    <row r="259">
      <c r="A259" s="135" t="s">
        <v>5361</v>
      </c>
      <c r="B259" s="136" t="s">
        <v>3512</v>
      </c>
      <c r="C259" s="136" t="s">
        <v>5362</v>
      </c>
      <c r="D259" s="136" t="s">
        <v>3509</v>
      </c>
      <c r="E259" s="136">
        <v>2025.0</v>
      </c>
      <c r="F259" s="136" t="s">
        <v>3514</v>
      </c>
      <c r="G259" s="136" t="s">
        <v>4041</v>
      </c>
      <c r="H259" s="136" t="s">
        <v>5363</v>
      </c>
      <c r="I259" s="136" t="s">
        <v>4043</v>
      </c>
      <c r="J259" s="136" t="s">
        <v>5364</v>
      </c>
      <c r="K259" s="136">
        <v>73.0</v>
      </c>
      <c r="L259" s="136">
        <v>34.0</v>
      </c>
      <c r="M259" s="136">
        <v>12.0</v>
      </c>
      <c r="N259" s="136">
        <v>0.0</v>
      </c>
      <c r="O259" s="137">
        <v>12.0</v>
      </c>
      <c r="P259" s="136">
        <v>100.0</v>
      </c>
      <c r="Q259" s="136">
        <v>12.0</v>
      </c>
      <c r="R259" s="136" t="s">
        <v>4045</v>
      </c>
      <c r="S259" s="136">
        <v>35.29412</v>
      </c>
      <c r="T259" s="136">
        <v>1.0</v>
      </c>
      <c r="U259" s="138">
        <v>45746.9812962963</v>
      </c>
      <c r="V259" s="139"/>
      <c r="W259" s="141"/>
      <c r="X259" s="141"/>
      <c r="Y259" s="141"/>
      <c r="Z259" s="141"/>
    </row>
    <row r="260">
      <c r="A260" s="135" t="s">
        <v>5365</v>
      </c>
      <c r="B260" s="136" t="s">
        <v>3521</v>
      </c>
      <c r="C260" s="136" t="s">
        <v>3523</v>
      </c>
      <c r="D260" s="136" t="s">
        <v>3518</v>
      </c>
      <c r="E260" s="136">
        <v>2025.0</v>
      </c>
      <c r="F260" s="136" t="s">
        <v>3514</v>
      </c>
      <c r="G260" s="136" t="s">
        <v>4041</v>
      </c>
      <c r="H260" s="136" t="s">
        <v>5366</v>
      </c>
      <c r="I260" s="136" t="s">
        <v>4043</v>
      </c>
      <c r="J260" s="136" t="s">
        <v>5367</v>
      </c>
      <c r="K260" s="136">
        <v>73.0</v>
      </c>
      <c r="L260" s="136">
        <v>24.0</v>
      </c>
      <c r="M260" s="136">
        <v>18.0</v>
      </c>
      <c r="N260" s="136">
        <v>0.0</v>
      </c>
      <c r="O260" s="137">
        <v>18.0</v>
      </c>
      <c r="P260" s="136">
        <v>100.0</v>
      </c>
      <c r="Q260" s="136">
        <v>18.0</v>
      </c>
      <c r="R260" s="136" t="s">
        <v>4045</v>
      </c>
      <c r="S260" s="136">
        <v>75.0</v>
      </c>
      <c r="T260" s="136">
        <v>3.0</v>
      </c>
      <c r="U260" s="138">
        <v>45747.77153935185</v>
      </c>
      <c r="V260" s="139"/>
      <c r="W260" s="141"/>
      <c r="X260" s="141"/>
      <c r="Y260" s="141"/>
      <c r="Z260" s="141"/>
    </row>
    <row r="261">
      <c r="A261" s="135" t="s">
        <v>5368</v>
      </c>
      <c r="B261" s="136" t="s">
        <v>5369</v>
      </c>
      <c r="C261" s="136" t="s">
        <v>3536</v>
      </c>
      <c r="D261" s="136" t="s">
        <v>3532</v>
      </c>
      <c r="E261" s="136">
        <v>2025.0</v>
      </c>
      <c r="F261" s="136" t="s">
        <v>3514</v>
      </c>
      <c r="G261" s="136" t="s">
        <v>4041</v>
      </c>
      <c r="H261" s="136" t="s">
        <v>5370</v>
      </c>
      <c r="I261" s="136" t="s">
        <v>4043</v>
      </c>
      <c r="J261" s="136" t="s">
        <v>5371</v>
      </c>
      <c r="K261" s="136">
        <v>73.0</v>
      </c>
      <c r="L261" s="136">
        <v>71.0</v>
      </c>
      <c r="M261" s="136">
        <v>55.33333</v>
      </c>
      <c r="N261" s="136">
        <v>0.0</v>
      </c>
      <c r="O261" s="137">
        <v>55.33333</v>
      </c>
      <c r="P261" s="136">
        <v>100.0</v>
      </c>
      <c r="Q261" s="136">
        <v>55.33333</v>
      </c>
      <c r="R261" s="136" t="s">
        <v>4045</v>
      </c>
      <c r="S261" s="136">
        <v>71.42857</v>
      </c>
      <c r="T261" s="136">
        <v>1.0</v>
      </c>
      <c r="U261" s="138">
        <v>45747.71538194444</v>
      </c>
      <c r="V261" s="139"/>
      <c r="W261" s="141"/>
      <c r="X261" s="141"/>
      <c r="Y261" s="141"/>
      <c r="Z261" s="141"/>
    </row>
    <row r="262">
      <c r="A262" s="135" t="s">
        <v>5372</v>
      </c>
      <c r="B262" s="136" t="s">
        <v>5373</v>
      </c>
      <c r="C262" s="136" t="s">
        <v>5374</v>
      </c>
      <c r="D262" s="136" t="s">
        <v>5375</v>
      </c>
      <c r="E262" s="136">
        <v>2025.0</v>
      </c>
      <c r="F262" s="136" t="s">
        <v>3514</v>
      </c>
      <c r="G262" s="136" t="s">
        <v>4041</v>
      </c>
      <c r="H262" s="136" t="s">
        <v>5376</v>
      </c>
      <c r="I262" s="136" t="s">
        <v>4043</v>
      </c>
      <c r="J262" s="136" t="s">
        <v>5377</v>
      </c>
      <c r="K262" s="136">
        <v>73.0</v>
      </c>
      <c r="L262" s="136">
        <v>71.0</v>
      </c>
      <c r="M262" s="136">
        <v>55.83333</v>
      </c>
      <c r="N262" s="136">
        <v>0.0</v>
      </c>
      <c r="O262" s="137">
        <v>55.83333</v>
      </c>
      <c r="P262" s="136">
        <v>100.0</v>
      </c>
      <c r="Q262" s="136">
        <v>55.83333</v>
      </c>
      <c r="R262" s="136" t="s">
        <v>4045</v>
      </c>
      <c r="S262" s="136">
        <v>67.12329</v>
      </c>
      <c r="T262" s="136">
        <v>2.0</v>
      </c>
      <c r="U262" s="138">
        <v>45746.9459375</v>
      </c>
      <c r="V262" s="139"/>
      <c r="W262" s="141"/>
      <c r="X262" s="141"/>
      <c r="Y262" s="141"/>
      <c r="Z262" s="141"/>
    </row>
    <row r="263">
      <c r="A263" s="135" t="s">
        <v>5378</v>
      </c>
      <c r="B263" s="136" t="s">
        <v>5379</v>
      </c>
      <c r="C263" s="136" t="s">
        <v>5380</v>
      </c>
      <c r="D263" s="136" t="s">
        <v>5381</v>
      </c>
      <c r="E263" s="136">
        <v>2025.0</v>
      </c>
      <c r="F263" s="136" t="s">
        <v>3514</v>
      </c>
      <c r="G263" s="136" t="s">
        <v>4041</v>
      </c>
      <c r="H263" s="136" t="s">
        <v>5382</v>
      </c>
      <c r="I263" s="136" t="s">
        <v>4043</v>
      </c>
      <c r="J263" s="136" t="s">
        <v>5383</v>
      </c>
      <c r="K263" s="136">
        <v>73.0</v>
      </c>
      <c r="L263" s="136">
        <v>70.0</v>
      </c>
      <c r="M263" s="136">
        <v>35.0</v>
      </c>
      <c r="N263" s="136">
        <v>0.0</v>
      </c>
      <c r="O263" s="137">
        <v>35.0</v>
      </c>
      <c r="P263" s="136">
        <v>100.0</v>
      </c>
      <c r="Q263" s="136">
        <v>35.0</v>
      </c>
      <c r="R263" s="136" t="s">
        <v>4045</v>
      </c>
      <c r="S263" s="136">
        <v>50.0</v>
      </c>
      <c r="T263" s="136">
        <v>2.0</v>
      </c>
      <c r="U263" s="138">
        <v>45747.965578703705</v>
      </c>
      <c r="V263" s="139"/>
      <c r="W263" s="141"/>
      <c r="X263" s="141"/>
      <c r="Y263" s="141"/>
      <c r="Z263" s="141"/>
    </row>
    <row r="264">
      <c r="A264" s="135" t="s">
        <v>5384</v>
      </c>
      <c r="B264" s="136" t="s">
        <v>5385</v>
      </c>
      <c r="C264" s="136" t="s">
        <v>5386</v>
      </c>
      <c r="D264" s="136" t="s">
        <v>5387</v>
      </c>
      <c r="E264" s="136">
        <v>2025.0</v>
      </c>
      <c r="F264" s="136" t="s">
        <v>3514</v>
      </c>
      <c r="G264" s="136" t="s">
        <v>4041</v>
      </c>
      <c r="H264" s="136" t="s">
        <v>5388</v>
      </c>
      <c r="I264" s="136" t="s">
        <v>4043</v>
      </c>
      <c r="J264" s="136" t="s">
        <v>5389</v>
      </c>
      <c r="K264" s="136">
        <v>73.0</v>
      </c>
      <c r="L264" s="136">
        <v>71.0</v>
      </c>
      <c r="M264" s="136">
        <v>23.23333</v>
      </c>
      <c r="N264" s="136">
        <v>0.0</v>
      </c>
      <c r="O264" s="137">
        <v>23.23333</v>
      </c>
      <c r="P264" s="136">
        <v>100.0</v>
      </c>
      <c r="Q264" s="136">
        <v>23.23333</v>
      </c>
      <c r="R264" s="136" t="s">
        <v>4045</v>
      </c>
      <c r="S264" s="136">
        <v>25.71429</v>
      </c>
      <c r="T264" s="136">
        <v>1.0</v>
      </c>
      <c r="U264" s="138">
        <v>45747.77112268518</v>
      </c>
      <c r="V264" s="139"/>
      <c r="W264" s="141"/>
      <c r="X264" s="141"/>
      <c r="Y264" s="141"/>
      <c r="Z264" s="141"/>
    </row>
    <row r="265">
      <c r="A265" s="135" t="s">
        <v>5390</v>
      </c>
      <c r="B265" s="136" t="s">
        <v>5391</v>
      </c>
      <c r="C265" s="136" t="s">
        <v>5392</v>
      </c>
      <c r="D265" s="136" t="s">
        <v>5393</v>
      </c>
      <c r="E265" s="136">
        <v>2025.0</v>
      </c>
      <c r="F265" s="136" t="s">
        <v>3514</v>
      </c>
      <c r="G265" s="136" t="s">
        <v>4041</v>
      </c>
      <c r="H265" s="136" t="s">
        <v>5394</v>
      </c>
      <c r="I265" s="136" t="s">
        <v>4043</v>
      </c>
      <c r="J265" s="136" t="s">
        <v>5395</v>
      </c>
      <c r="K265" s="136">
        <v>73.0</v>
      </c>
      <c r="L265" s="136">
        <v>4.0</v>
      </c>
      <c r="M265" s="136">
        <v>2.0</v>
      </c>
      <c r="N265" s="136">
        <v>0.0</v>
      </c>
      <c r="O265" s="137">
        <v>2.0</v>
      </c>
      <c r="P265" s="136">
        <v>100.0</v>
      </c>
      <c r="Q265" s="136">
        <v>2.0</v>
      </c>
      <c r="R265" s="136" t="s">
        <v>4045</v>
      </c>
      <c r="S265" s="136">
        <v>50.0</v>
      </c>
      <c r="T265" s="136">
        <v>8.0</v>
      </c>
      <c r="U265" s="138">
        <v>45746.49512731482</v>
      </c>
      <c r="V265" s="139"/>
      <c r="W265" s="141"/>
      <c r="X265" s="141"/>
      <c r="Y265" s="141"/>
      <c r="Z265" s="141"/>
    </row>
    <row r="266">
      <c r="A266" s="135" t="s">
        <v>5396</v>
      </c>
      <c r="B266" s="136" t="s">
        <v>3541</v>
      </c>
      <c r="C266" s="136" t="s">
        <v>3542</v>
      </c>
      <c r="D266" s="136" t="s">
        <v>3538</v>
      </c>
      <c r="E266" s="136">
        <v>2025.0</v>
      </c>
      <c r="F266" s="136" t="s">
        <v>3514</v>
      </c>
      <c r="G266" s="136" t="s">
        <v>4041</v>
      </c>
      <c r="H266" s="136" t="s">
        <v>5397</v>
      </c>
      <c r="I266" s="136" t="s">
        <v>4043</v>
      </c>
      <c r="J266" s="136" t="s">
        <v>5398</v>
      </c>
      <c r="K266" s="136">
        <v>73.0</v>
      </c>
      <c r="L266" s="136">
        <v>72.0</v>
      </c>
      <c r="M266" s="136">
        <v>75.73333</v>
      </c>
      <c r="N266" s="136">
        <v>0.0</v>
      </c>
      <c r="O266" s="137">
        <v>75.73333</v>
      </c>
      <c r="P266" s="136">
        <v>100.0</v>
      </c>
      <c r="Q266" s="136">
        <v>75.73333</v>
      </c>
      <c r="R266" s="136" t="s">
        <v>4200</v>
      </c>
      <c r="S266" s="136">
        <v>86.48649</v>
      </c>
      <c r="T266" s="136">
        <v>1.0</v>
      </c>
      <c r="U266" s="138">
        <v>45745.9624537037</v>
      </c>
      <c r="V266" s="139"/>
      <c r="W266" s="141"/>
      <c r="X266" s="141"/>
      <c r="Y266" s="141"/>
      <c r="Z266" s="141"/>
    </row>
    <row r="267">
      <c r="A267" s="135" t="s">
        <v>5399</v>
      </c>
      <c r="B267" s="136" t="s">
        <v>5400</v>
      </c>
      <c r="C267" s="136" t="s">
        <v>5401</v>
      </c>
      <c r="D267" s="136" t="s">
        <v>5402</v>
      </c>
      <c r="E267" s="136">
        <v>2025.0</v>
      </c>
      <c r="F267" s="136" t="s">
        <v>3514</v>
      </c>
      <c r="G267" s="136" t="s">
        <v>4041</v>
      </c>
      <c r="H267" s="136" t="s">
        <v>5403</v>
      </c>
      <c r="I267" s="136" t="s">
        <v>4043</v>
      </c>
      <c r="J267" s="136" t="s">
        <v>5404</v>
      </c>
      <c r="K267" s="136">
        <v>73.0</v>
      </c>
      <c r="L267" s="136">
        <v>72.0</v>
      </c>
      <c r="M267" s="136">
        <v>49.13333</v>
      </c>
      <c r="N267" s="136">
        <v>0.0</v>
      </c>
      <c r="O267" s="137">
        <v>49.13333</v>
      </c>
      <c r="P267" s="136">
        <v>100.0</v>
      </c>
      <c r="Q267" s="136">
        <v>49.13333</v>
      </c>
      <c r="R267" s="136" t="s">
        <v>4045</v>
      </c>
      <c r="S267" s="136">
        <v>61.42857</v>
      </c>
      <c r="T267" s="136">
        <v>1.0</v>
      </c>
      <c r="U267" s="138">
        <v>45746.76032407407</v>
      </c>
      <c r="V267" s="139"/>
      <c r="W267" s="141"/>
      <c r="X267" s="141"/>
      <c r="Y267" s="141"/>
      <c r="Z267" s="141"/>
    </row>
    <row r="268">
      <c r="A268" s="135" t="s">
        <v>5405</v>
      </c>
      <c r="B268" s="136" t="s">
        <v>5406</v>
      </c>
      <c r="C268" s="136" t="s">
        <v>5407</v>
      </c>
      <c r="D268" s="136" t="s">
        <v>5408</v>
      </c>
      <c r="E268" s="136">
        <v>2025.0</v>
      </c>
      <c r="F268" s="136" t="s">
        <v>3514</v>
      </c>
      <c r="G268" s="136" t="s">
        <v>4041</v>
      </c>
      <c r="H268" s="136" t="s">
        <v>5409</v>
      </c>
      <c r="I268" s="136" t="s">
        <v>4043</v>
      </c>
      <c r="J268" s="136" t="s">
        <v>5410</v>
      </c>
      <c r="K268" s="136">
        <v>73.0</v>
      </c>
      <c r="L268" s="136">
        <v>18.0</v>
      </c>
      <c r="M268" s="136">
        <v>8.0</v>
      </c>
      <c r="N268" s="136">
        <v>0.0</v>
      </c>
      <c r="O268" s="137">
        <v>8.0</v>
      </c>
      <c r="P268" s="136">
        <v>100.0</v>
      </c>
      <c r="Q268" s="136">
        <v>8.0</v>
      </c>
      <c r="R268" s="136" t="s">
        <v>4045</v>
      </c>
      <c r="S268" s="136">
        <v>44.44444</v>
      </c>
      <c r="T268" s="136">
        <v>4.0</v>
      </c>
      <c r="U268" s="138">
        <v>45747.880949074075</v>
      </c>
      <c r="V268" s="139"/>
      <c r="W268" s="141"/>
      <c r="X268" s="141"/>
      <c r="Y268" s="141"/>
      <c r="Z268" s="141"/>
    </row>
    <row r="269">
      <c r="A269" s="135" t="s">
        <v>5411</v>
      </c>
      <c r="B269" s="136" t="s">
        <v>5412</v>
      </c>
      <c r="C269" s="136" t="s">
        <v>5413</v>
      </c>
      <c r="D269" s="136" t="s">
        <v>5414</v>
      </c>
      <c r="E269" s="136">
        <v>2025.0</v>
      </c>
      <c r="F269" s="136" t="s">
        <v>3514</v>
      </c>
      <c r="G269" s="136" t="s">
        <v>4041</v>
      </c>
      <c r="H269" s="136" t="s">
        <v>5415</v>
      </c>
      <c r="I269" s="136" t="s">
        <v>4043</v>
      </c>
      <c r="J269" s="136" t="s">
        <v>5416</v>
      </c>
      <c r="K269" s="136">
        <v>73.0</v>
      </c>
      <c r="L269" s="136">
        <v>72.0</v>
      </c>
      <c r="M269" s="136">
        <v>62.56667</v>
      </c>
      <c r="N269" s="136">
        <v>0.0</v>
      </c>
      <c r="O269" s="137">
        <v>62.56667</v>
      </c>
      <c r="P269" s="136">
        <v>100.0</v>
      </c>
      <c r="Q269" s="136">
        <v>62.56667</v>
      </c>
      <c r="R269" s="136" t="s">
        <v>4200</v>
      </c>
      <c r="S269" s="136">
        <v>77.02703</v>
      </c>
      <c r="T269" s="136">
        <v>1.0</v>
      </c>
      <c r="U269" s="138">
        <v>45746.739074074074</v>
      </c>
      <c r="V269" s="139"/>
      <c r="W269" s="141"/>
      <c r="X269" s="141"/>
      <c r="Y269" s="141"/>
      <c r="Z269" s="141"/>
    </row>
    <row r="270">
      <c r="A270" s="135" t="s">
        <v>5417</v>
      </c>
      <c r="B270" s="136" t="s">
        <v>5418</v>
      </c>
      <c r="C270" s="136" t="s">
        <v>5419</v>
      </c>
      <c r="D270" s="136" t="s">
        <v>5420</v>
      </c>
      <c r="E270" s="136">
        <v>2025.0</v>
      </c>
      <c r="F270" s="136" t="s">
        <v>3514</v>
      </c>
      <c r="G270" s="136" t="s">
        <v>4041</v>
      </c>
      <c r="H270" s="136" t="s">
        <v>5421</v>
      </c>
      <c r="I270" s="136" t="s">
        <v>4043</v>
      </c>
      <c r="J270" s="136" t="s">
        <v>5422</v>
      </c>
      <c r="K270" s="136">
        <v>73.0</v>
      </c>
      <c r="L270" s="136">
        <v>70.0</v>
      </c>
      <c r="M270" s="136">
        <v>52.0</v>
      </c>
      <c r="N270" s="136">
        <v>0.0</v>
      </c>
      <c r="O270" s="137">
        <v>52.0</v>
      </c>
      <c r="P270" s="136">
        <v>100.0</v>
      </c>
      <c r="Q270" s="136">
        <v>52.0</v>
      </c>
      <c r="R270" s="136" t="s">
        <v>4045</v>
      </c>
      <c r="S270" s="136">
        <v>74.28571</v>
      </c>
      <c r="T270" s="136">
        <v>2.0</v>
      </c>
      <c r="U270" s="138">
        <v>45747.65923611111</v>
      </c>
      <c r="V270" s="139"/>
      <c r="W270" s="141"/>
      <c r="X270" s="141"/>
      <c r="Y270" s="141"/>
      <c r="Z270" s="141"/>
    </row>
    <row r="271">
      <c r="A271" s="135" t="s">
        <v>5423</v>
      </c>
      <c r="B271" s="136" t="s">
        <v>5424</v>
      </c>
      <c r="C271" s="136" t="s">
        <v>5425</v>
      </c>
      <c r="D271" s="136" t="s">
        <v>5426</v>
      </c>
      <c r="E271" s="136">
        <v>2025.0</v>
      </c>
      <c r="F271" s="136" t="s">
        <v>3514</v>
      </c>
      <c r="G271" s="136" t="s">
        <v>4041</v>
      </c>
      <c r="H271" s="136" t="s">
        <v>5427</v>
      </c>
      <c r="I271" s="136" t="s">
        <v>4043</v>
      </c>
      <c r="J271" s="136" t="s">
        <v>5428</v>
      </c>
      <c r="K271" s="136">
        <v>73.0</v>
      </c>
      <c r="L271" s="136">
        <v>71.0</v>
      </c>
      <c r="M271" s="136">
        <v>44.03333</v>
      </c>
      <c r="N271" s="136">
        <v>0.0</v>
      </c>
      <c r="O271" s="137">
        <v>44.03333</v>
      </c>
      <c r="P271" s="136">
        <v>100.0</v>
      </c>
      <c r="Q271" s="136">
        <v>44.03333</v>
      </c>
      <c r="R271" s="136" t="s">
        <v>4045</v>
      </c>
      <c r="S271" s="136">
        <v>54.28571</v>
      </c>
      <c r="T271" s="136">
        <v>3.0</v>
      </c>
      <c r="U271" s="138">
        <v>45747.61886574074</v>
      </c>
      <c r="V271" s="139"/>
      <c r="W271" s="141"/>
      <c r="X271" s="141"/>
      <c r="Y271" s="141"/>
      <c r="Z271" s="141"/>
    </row>
    <row r="272">
      <c r="A272" s="135" t="s">
        <v>5429</v>
      </c>
      <c r="B272" s="136" t="s">
        <v>3547</v>
      </c>
      <c r="C272" s="136" t="s">
        <v>3548</v>
      </c>
      <c r="D272" s="136" t="s">
        <v>3544</v>
      </c>
      <c r="E272" s="136">
        <v>2025.0</v>
      </c>
      <c r="F272" s="136" t="s">
        <v>3514</v>
      </c>
      <c r="G272" s="136" t="s">
        <v>4041</v>
      </c>
      <c r="H272" s="136" t="s">
        <v>5430</v>
      </c>
      <c r="I272" s="136" t="s">
        <v>4043</v>
      </c>
      <c r="J272" s="136" t="s">
        <v>4670</v>
      </c>
      <c r="K272" s="136">
        <v>73.0</v>
      </c>
      <c r="L272" s="136">
        <v>73.0</v>
      </c>
      <c r="M272" s="136">
        <v>78.66667</v>
      </c>
      <c r="N272" s="136">
        <v>0.0</v>
      </c>
      <c r="O272" s="137">
        <v>78.66667</v>
      </c>
      <c r="P272" s="136">
        <v>100.0</v>
      </c>
      <c r="Q272" s="136">
        <v>78.66667</v>
      </c>
      <c r="R272" s="136" t="s">
        <v>4200</v>
      </c>
      <c r="S272" s="136">
        <v>79.48718</v>
      </c>
      <c r="T272" s="136">
        <v>1.0</v>
      </c>
      <c r="U272" s="138">
        <v>45746.02854166667</v>
      </c>
      <c r="V272" s="139"/>
      <c r="W272" s="141"/>
      <c r="X272" s="141"/>
      <c r="Y272" s="141"/>
      <c r="Z272" s="141"/>
    </row>
    <row r="273">
      <c r="A273" s="135" t="s">
        <v>5431</v>
      </c>
      <c r="B273" s="136" t="s">
        <v>5432</v>
      </c>
      <c r="C273" s="136" t="s">
        <v>5433</v>
      </c>
      <c r="D273" s="136" t="s">
        <v>5434</v>
      </c>
      <c r="E273" s="136">
        <v>2025.0</v>
      </c>
      <c r="F273" s="136" t="s">
        <v>3514</v>
      </c>
      <c r="G273" s="136" t="s">
        <v>4041</v>
      </c>
      <c r="H273" s="136" t="s">
        <v>5435</v>
      </c>
      <c r="I273" s="136" t="s">
        <v>4043</v>
      </c>
      <c r="J273" s="136" t="s">
        <v>5436</v>
      </c>
      <c r="K273" s="136">
        <v>73.0</v>
      </c>
      <c r="L273" s="136">
        <v>71.0</v>
      </c>
      <c r="M273" s="136">
        <v>54.0</v>
      </c>
      <c r="N273" s="136">
        <v>0.0</v>
      </c>
      <c r="O273" s="137">
        <v>54.0</v>
      </c>
      <c r="P273" s="136">
        <v>100.0</v>
      </c>
      <c r="Q273" s="136">
        <v>54.0</v>
      </c>
      <c r="R273" s="136" t="s">
        <v>4045</v>
      </c>
      <c r="S273" s="136">
        <v>62.33766</v>
      </c>
      <c r="T273" s="136">
        <v>2.0</v>
      </c>
      <c r="U273" s="138">
        <v>45748.45853009259</v>
      </c>
      <c r="V273" s="139"/>
      <c r="W273" s="141"/>
      <c r="X273" s="141"/>
      <c r="Y273" s="141"/>
      <c r="Z273" s="141"/>
    </row>
    <row r="274">
      <c r="A274" s="135" t="s">
        <v>5437</v>
      </c>
      <c r="B274" s="136" t="s">
        <v>5438</v>
      </c>
      <c r="C274" s="136" t="s">
        <v>5439</v>
      </c>
      <c r="D274" s="136" t="s">
        <v>5440</v>
      </c>
      <c r="E274" s="136">
        <v>2025.0</v>
      </c>
      <c r="F274" s="136" t="s">
        <v>3514</v>
      </c>
      <c r="G274" s="136" t="s">
        <v>4041</v>
      </c>
      <c r="H274" s="136" t="s">
        <v>5441</v>
      </c>
      <c r="I274" s="136" t="s">
        <v>4152</v>
      </c>
      <c r="J274" s="136" t="s">
        <v>4153</v>
      </c>
      <c r="K274" s="136" t="s">
        <v>1003</v>
      </c>
      <c r="L274" s="136" t="s">
        <v>1003</v>
      </c>
      <c r="M274" s="136" t="s">
        <v>1003</v>
      </c>
      <c r="N274" s="136" t="s">
        <v>1003</v>
      </c>
      <c r="O274" s="137" t="s">
        <v>1003</v>
      </c>
      <c r="P274" s="136" t="s">
        <v>1003</v>
      </c>
      <c r="Q274" s="136" t="s">
        <v>1003</v>
      </c>
      <c r="R274" s="136" t="s">
        <v>1003</v>
      </c>
      <c r="S274" s="136" t="s">
        <v>1003</v>
      </c>
      <c r="T274" s="136">
        <v>1.0</v>
      </c>
      <c r="U274" s="136" t="s">
        <v>1003</v>
      </c>
      <c r="V274" s="139"/>
      <c r="W274" s="141"/>
      <c r="X274" s="141"/>
      <c r="Y274" s="141"/>
      <c r="Z274" s="141"/>
    </row>
    <row r="275">
      <c r="A275" s="135" t="s">
        <v>5442</v>
      </c>
      <c r="B275" s="136" t="s">
        <v>5443</v>
      </c>
      <c r="C275" s="136" t="s">
        <v>5444</v>
      </c>
      <c r="D275" s="136" t="s">
        <v>5445</v>
      </c>
      <c r="E275" s="136">
        <v>2025.0</v>
      </c>
      <c r="F275" s="136" t="s">
        <v>3514</v>
      </c>
      <c r="G275" s="136" t="s">
        <v>4041</v>
      </c>
      <c r="H275" s="136" t="s">
        <v>5446</v>
      </c>
      <c r="I275" s="136" t="s">
        <v>4043</v>
      </c>
      <c r="J275" s="136" t="s">
        <v>5447</v>
      </c>
      <c r="K275" s="136">
        <v>73.0</v>
      </c>
      <c r="L275" s="136">
        <v>73.0</v>
      </c>
      <c r="M275" s="136">
        <v>17.1</v>
      </c>
      <c r="N275" s="136">
        <v>0.0</v>
      </c>
      <c r="O275" s="137">
        <v>17.1</v>
      </c>
      <c r="P275" s="136">
        <v>100.0</v>
      </c>
      <c r="Q275" s="136">
        <v>17.1</v>
      </c>
      <c r="R275" s="136" t="s">
        <v>4045</v>
      </c>
      <c r="S275" s="136">
        <v>17.94872</v>
      </c>
      <c r="T275" s="136">
        <v>1.0</v>
      </c>
      <c r="U275" s="138">
        <v>45748.476168981484</v>
      </c>
      <c r="V275" s="139"/>
      <c r="W275" s="141"/>
      <c r="X275" s="141"/>
      <c r="Y275" s="141"/>
      <c r="Z275" s="141"/>
    </row>
    <row r="276">
      <c r="A276" s="135" t="s">
        <v>5448</v>
      </c>
      <c r="B276" s="136" t="s">
        <v>5449</v>
      </c>
      <c r="C276" s="136" t="s">
        <v>5450</v>
      </c>
      <c r="D276" s="136" t="s">
        <v>5451</v>
      </c>
      <c r="E276" s="136">
        <v>2025.0</v>
      </c>
      <c r="F276" s="136" t="s">
        <v>3514</v>
      </c>
      <c r="G276" s="136" t="s">
        <v>4041</v>
      </c>
      <c r="H276" s="136" t="s">
        <v>5452</v>
      </c>
      <c r="I276" s="136" t="s">
        <v>4043</v>
      </c>
      <c r="J276" s="136" t="s">
        <v>5453</v>
      </c>
      <c r="K276" s="136">
        <v>73.0</v>
      </c>
      <c r="L276" s="136">
        <v>71.0</v>
      </c>
      <c r="M276" s="136">
        <v>64.66667</v>
      </c>
      <c r="N276" s="136">
        <v>0.0</v>
      </c>
      <c r="O276" s="137">
        <v>64.66667</v>
      </c>
      <c r="P276" s="136">
        <v>100.0</v>
      </c>
      <c r="Q276" s="136">
        <v>64.66667</v>
      </c>
      <c r="R276" s="136" t="s">
        <v>4200</v>
      </c>
      <c r="S276" s="136">
        <v>82.85714</v>
      </c>
      <c r="T276" s="136">
        <v>2.0</v>
      </c>
      <c r="U276" s="138">
        <v>45746.011875</v>
      </c>
      <c r="V276" s="139"/>
      <c r="W276" s="141"/>
      <c r="X276" s="141"/>
      <c r="Y276" s="141"/>
      <c r="Z276" s="141"/>
    </row>
    <row r="277">
      <c r="A277" s="135" t="s">
        <v>5454</v>
      </c>
      <c r="B277" s="136" t="s">
        <v>3560</v>
      </c>
      <c r="C277" s="136" t="s">
        <v>3563</v>
      </c>
      <c r="D277" s="136" t="s">
        <v>5455</v>
      </c>
      <c r="E277" s="136">
        <v>2025.0</v>
      </c>
      <c r="F277" s="136" t="s">
        <v>3514</v>
      </c>
      <c r="G277" s="136" t="s">
        <v>4041</v>
      </c>
      <c r="H277" s="136" t="s">
        <v>5456</v>
      </c>
      <c r="I277" s="136" t="s">
        <v>4043</v>
      </c>
      <c r="J277" s="136" t="s">
        <v>5457</v>
      </c>
      <c r="K277" s="136">
        <v>73.0</v>
      </c>
      <c r="L277" s="136">
        <v>70.0</v>
      </c>
      <c r="M277" s="136">
        <v>45.13333</v>
      </c>
      <c r="N277" s="136">
        <v>0.0</v>
      </c>
      <c r="O277" s="137">
        <v>45.13333</v>
      </c>
      <c r="P277" s="136">
        <v>100.0</v>
      </c>
      <c r="Q277" s="136">
        <v>45.13333</v>
      </c>
      <c r="R277" s="136" t="s">
        <v>4045</v>
      </c>
      <c r="S277" s="136">
        <v>60.86957</v>
      </c>
      <c r="T277" s="136">
        <v>6.0</v>
      </c>
      <c r="U277" s="138">
        <v>45747.514328703706</v>
      </c>
      <c r="V277" s="139"/>
      <c r="W277" s="141"/>
      <c r="X277" s="141"/>
      <c r="Y277" s="141"/>
      <c r="Z277" s="141"/>
    </row>
    <row r="278">
      <c r="A278" s="135" t="s">
        <v>5458</v>
      </c>
      <c r="B278" s="136" t="s">
        <v>5459</v>
      </c>
      <c r="C278" s="136" t="s">
        <v>5460</v>
      </c>
      <c r="D278" s="136" t="s">
        <v>5461</v>
      </c>
      <c r="E278" s="136">
        <v>2025.0</v>
      </c>
      <c r="F278" s="136" t="s">
        <v>3514</v>
      </c>
      <c r="G278" s="136" t="s">
        <v>4041</v>
      </c>
      <c r="H278" s="136" t="s">
        <v>5462</v>
      </c>
      <c r="I278" s="136" t="s">
        <v>4043</v>
      </c>
      <c r="J278" s="136" t="s">
        <v>5463</v>
      </c>
      <c r="K278" s="136">
        <v>73.0</v>
      </c>
      <c r="L278" s="136">
        <v>71.0</v>
      </c>
      <c r="M278" s="136">
        <v>46.66667</v>
      </c>
      <c r="N278" s="136">
        <v>0.0</v>
      </c>
      <c r="O278" s="137">
        <v>46.66667</v>
      </c>
      <c r="P278" s="136">
        <v>100.0</v>
      </c>
      <c r="Q278" s="136">
        <v>46.66667</v>
      </c>
      <c r="R278" s="136" t="s">
        <v>4045</v>
      </c>
      <c r="S278" s="136">
        <v>62.85714</v>
      </c>
      <c r="T278" s="136">
        <v>2.0</v>
      </c>
      <c r="U278" s="138">
        <v>45748.74550925926</v>
      </c>
      <c r="V278" s="139"/>
      <c r="W278" s="141"/>
      <c r="X278" s="141"/>
      <c r="Y278" s="141"/>
      <c r="Z278" s="141"/>
    </row>
    <row r="279">
      <c r="A279" s="135" t="s">
        <v>5464</v>
      </c>
      <c r="B279" s="136" t="s">
        <v>5465</v>
      </c>
      <c r="C279" s="136" t="s">
        <v>5466</v>
      </c>
      <c r="D279" s="136" t="s">
        <v>5467</v>
      </c>
      <c r="E279" s="136">
        <v>2025.0</v>
      </c>
      <c r="F279" s="136" t="s">
        <v>3514</v>
      </c>
      <c r="G279" s="136" t="s">
        <v>4041</v>
      </c>
      <c r="H279" s="136" t="s">
        <v>5468</v>
      </c>
      <c r="I279" s="136" t="s">
        <v>4043</v>
      </c>
      <c r="J279" s="136" t="s">
        <v>5469</v>
      </c>
      <c r="K279" s="136">
        <v>73.0</v>
      </c>
      <c r="L279" s="136">
        <v>72.0</v>
      </c>
      <c r="M279" s="136">
        <v>41.0</v>
      </c>
      <c r="N279" s="136">
        <v>0.0</v>
      </c>
      <c r="O279" s="137">
        <v>41.0</v>
      </c>
      <c r="P279" s="136">
        <v>100.0</v>
      </c>
      <c r="Q279" s="136">
        <v>41.0</v>
      </c>
      <c r="R279" s="136" t="s">
        <v>4045</v>
      </c>
      <c r="S279" s="136">
        <v>47.2973</v>
      </c>
      <c r="T279" s="136">
        <v>2.0</v>
      </c>
      <c r="U279" s="138">
        <v>45746.51814814815</v>
      </c>
      <c r="V279" s="139"/>
      <c r="W279" s="141"/>
      <c r="X279" s="141"/>
      <c r="Y279" s="141"/>
      <c r="Z279" s="141"/>
    </row>
    <row r="280">
      <c r="A280" s="135" t="s">
        <v>5470</v>
      </c>
      <c r="B280" s="136" t="s">
        <v>3568</v>
      </c>
      <c r="C280" s="136" t="s">
        <v>3570</v>
      </c>
      <c r="D280" s="136" t="s">
        <v>3565</v>
      </c>
      <c r="E280" s="136">
        <v>2025.0</v>
      </c>
      <c r="F280" s="136" t="s">
        <v>3514</v>
      </c>
      <c r="G280" s="136" t="s">
        <v>4041</v>
      </c>
      <c r="H280" s="136" t="s">
        <v>5471</v>
      </c>
      <c r="I280" s="136" t="s">
        <v>4043</v>
      </c>
      <c r="J280" s="136" t="s">
        <v>5472</v>
      </c>
      <c r="K280" s="136">
        <v>73.0</v>
      </c>
      <c r="L280" s="136">
        <v>71.0</v>
      </c>
      <c r="M280" s="136">
        <v>38.9</v>
      </c>
      <c r="N280" s="136">
        <v>0.0</v>
      </c>
      <c r="O280" s="137">
        <v>38.9</v>
      </c>
      <c r="P280" s="136">
        <v>100.0</v>
      </c>
      <c r="Q280" s="136">
        <v>38.9</v>
      </c>
      <c r="R280" s="136" t="s">
        <v>4045</v>
      </c>
      <c r="S280" s="136">
        <v>51.42857</v>
      </c>
      <c r="T280" s="136">
        <v>1.0</v>
      </c>
      <c r="U280" s="138">
        <v>45746.82472222222</v>
      </c>
      <c r="V280" s="139"/>
      <c r="W280" s="141"/>
      <c r="X280" s="141"/>
      <c r="Y280" s="141"/>
      <c r="Z280" s="141"/>
    </row>
    <row r="281">
      <c r="A281" s="135" t="s">
        <v>5473</v>
      </c>
      <c r="B281" s="136" t="s">
        <v>5474</v>
      </c>
      <c r="C281" s="136" t="s">
        <v>5475</v>
      </c>
      <c r="D281" s="136" t="s">
        <v>5476</v>
      </c>
      <c r="E281" s="136">
        <v>2025.0</v>
      </c>
      <c r="F281" s="136" t="s">
        <v>3514</v>
      </c>
      <c r="G281" s="136" t="s">
        <v>4041</v>
      </c>
      <c r="H281" s="136" t="s">
        <v>5477</v>
      </c>
      <c r="I281" s="136" t="s">
        <v>4043</v>
      </c>
      <c r="J281" s="136" t="s">
        <v>5478</v>
      </c>
      <c r="K281" s="136">
        <v>73.0</v>
      </c>
      <c r="L281" s="136">
        <v>70.0</v>
      </c>
      <c r="M281" s="136">
        <v>20.0</v>
      </c>
      <c r="N281" s="136">
        <v>0.0</v>
      </c>
      <c r="O281" s="137">
        <v>20.0</v>
      </c>
      <c r="P281" s="136">
        <v>100.0</v>
      </c>
      <c r="Q281" s="136">
        <v>20.0</v>
      </c>
      <c r="R281" s="136" t="s">
        <v>4045</v>
      </c>
      <c r="S281" s="136">
        <v>28.57143</v>
      </c>
      <c r="T281" s="136">
        <v>2.0</v>
      </c>
      <c r="U281" s="138">
        <v>45747.661527777775</v>
      </c>
      <c r="V281" s="139"/>
      <c r="W281" s="141"/>
      <c r="X281" s="141"/>
      <c r="Y281" s="141"/>
      <c r="Z281" s="141"/>
    </row>
    <row r="282">
      <c r="A282" s="135" t="s">
        <v>5479</v>
      </c>
      <c r="B282" s="136" t="s">
        <v>5480</v>
      </c>
      <c r="C282" s="136" t="s">
        <v>5481</v>
      </c>
      <c r="D282" s="136" t="s">
        <v>5482</v>
      </c>
      <c r="E282" s="136">
        <v>2025.0</v>
      </c>
      <c r="F282" s="136" t="s">
        <v>3514</v>
      </c>
      <c r="G282" s="136" t="s">
        <v>4041</v>
      </c>
      <c r="H282" s="136" t="s">
        <v>5483</v>
      </c>
      <c r="I282" s="136" t="s">
        <v>4043</v>
      </c>
      <c r="J282" s="136" t="s">
        <v>5484</v>
      </c>
      <c r="K282" s="136">
        <v>73.0</v>
      </c>
      <c r="L282" s="136">
        <v>57.0</v>
      </c>
      <c r="M282" s="136">
        <v>41.66667</v>
      </c>
      <c r="N282" s="136">
        <v>0.0</v>
      </c>
      <c r="O282" s="137">
        <v>41.66667</v>
      </c>
      <c r="P282" s="136">
        <v>100.0</v>
      </c>
      <c r="Q282" s="136">
        <v>41.66667</v>
      </c>
      <c r="R282" s="136" t="s">
        <v>4045</v>
      </c>
      <c r="S282" s="136">
        <v>57.62712</v>
      </c>
      <c r="T282" s="136">
        <v>5.0</v>
      </c>
      <c r="U282" s="138">
        <v>45747.421631944446</v>
      </c>
      <c r="V282" s="141"/>
      <c r="W282" s="141"/>
      <c r="X282" s="141"/>
      <c r="Y282" s="141"/>
      <c r="Z282" s="141"/>
    </row>
    <row r="283">
      <c r="A283" s="135" t="s">
        <v>5485</v>
      </c>
      <c r="B283" s="136" t="s">
        <v>3590</v>
      </c>
      <c r="C283" s="136" t="s">
        <v>3592</v>
      </c>
      <c r="D283" s="136" t="s">
        <v>3587</v>
      </c>
      <c r="E283" s="136">
        <v>2025.0</v>
      </c>
      <c r="F283" s="136" t="s">
        <v>3514</v>
      </c>
      <c r="G283" s="136" t="s">
        <v>4041</v>
      </c>
      <c r="H283" s="136" t="s">
        <v>5486</v>
      </c>
      <c r="I283" s="136" t="s">
        <v>4043</v>
      </c>
      <c r="J283" s="136" t="s">
        <v>4705</v>
      </c>
      <c r="K283" s="136">
        <v>73.0</v>
      </c>
      <c r="L283" s="136">
        <v>71.0</v>
      </c>
      <c r="M283" s="136">
        <v>22.46667</v>
      </c>
      <c r="N283" s="136">
        <v>0.0</v>
      </c>
      <c r="O283" s="137">
        <v>22.46667</v>
      </c>
      <c r="P283" s="136">
        <v>100.0</v>
      </c>
      <c r="Q283" s="136">
        <v>22.46667</v>
      </c>
      <c r="R283" s="136" t="s">
        <v>4045</v>
      </c>
      <c r="S283" s="136">
        <v>25.71429</v>
      </c>
      <c r="T283" s="136">
        <v>1.0</v>
      </c>
      <c r="U283" s="138">
        <v>45748.35706018518</v>
      </c>
      <c r="V283" s="141"/>
      <c r="W283" s="141"/>
      <c r="X283" s="141"/>
      <c r="Y283" s="141"/>
      <c r="Z283" s="141"/>
    </row>
    <row r="284">
      <c r="A284" s="135" t="s">
        <v>5487</v>
      </c>
      <c r="B284" s="136" t="s">
        <v>5488</v>
      </c>
      <c r="C284" s="136" t="s">
        <v>5489</v>
      </c>
      <c r="D284" s="136" t="s">
        <v>5490</v>
      </c>
      <c r="E284" s="136">
        <v>2025.0</v>
      </c>
      <c r="F284" s="136" t="s">
        <v>3514</v>
      </c>
      <c r="G284" s="136" t="s">
        <v>4041</v>
      </c>
      <c r="H284" s="136" t="s">
        <v>5491</v>
      </c>
      <c r="I284" s="136" t="s">
        <v>4043</v>
      </c>
      <c r="J284" s="136" t="s">
        <v>5492</v>
      </c>
      <c r="K284" s="136">
        <v>73.0</v>
      </c>
      <c r="L284" s="136">
        <v>34.0</v>
      </c>
      <c r="M284" s="136">
        <v>13.5</v>
      </c>
      <c r="N284" s="136">
        <v>0.0</v>
      </c>
      <c r="O284" s="137">
        <v>13.5</v>
      </c>
      <c r="P284" s="136">
        <v>100.0</v>
      </c>
      <c r="Q284" s="136">
        <v>13.5</v>
      </c>
      <c r="R284" s="136" t="s">
        <v>4045</v>
      </c>
      <c r="S284" s="136">
        <v>30.0</v>
      </c>
      <c r="T284" s="136">
        <v>2.0</v>
      </c>
      <c r="U284" s="138">
        <v>45747.50349537037</v>
      </c>
      <c r="V284" s="141"/>
      <c r="W284" s="141"/>
      <c r="X284" s="141"/>
      <c r="Y284" s="141"/>
      <c r="Z284" s="141"/>
    </row>
    <row r="285">
      <c r="A285" s="135" t="s">
        <v>5493</v>
      </c>
      <c r="B285" s="136" t="s">
        <v>5494</v>
      </c>
      <c r="C285" s="136" t="s">
        <v>3597</v>
      </c>
      <c r="D285" s="136" t="s">
        <v>3594</v>
      </c>
      <c r="E285" s="136">
        <v>2025.0</v>
      </c>
      <c r="F285" s="136" t="s">
        <v>3514</v>
      </c>
      <c r="G285" s="136" t="s">
        <v>4041</v>
      </c>
      <c r="H285" s="136" t="s">
        <v>5495</v>
      </c>
      <c r="I285" s="136" t="s">
        <v>4043</v>
      </c>
      <c r="J285" s="136" t="s">
        <v>5496</v>
      </c>
      <c r="K285" s="136">
        <v>73.0</v>
      </c>
      <c r="L285" s="136">
        <v>71.0</v>
      </c>
      <c r="M285" s="136">
        <v>54.7</v>
      </c>
      <c r="N285" s="136">
        <v>0.0</v>
      </c>
      <c r="O285" s="137">
        <v>54.7</v>
      </c>
      <c r="P285" s="136">
        <v>100.0</v>
      </c>
      <c r="Q285" s="136">
        <v>54.7</v>
      </c>
      <c r="R285" s="136" t="s">
        <v>4045</v>
      </c>
      <c r="S285" s="136">
        <v>71.42857</v>
      </c>
      <c r="T285" s="136">
        <v>2.0</v>
      </c>
      <c r="U285" s="138">
        <v>45746.57189814815</v>
      </c>
      <c r="V285" s="141"/>
      <c r="W285" s="141"/>
      <c r="X285" s="141"/>
      <c r="Y285" s="141"/>
      <c r="Z285" s="141"/>
    </row>
    <row r="286">
      <c r="A286" s="135" t="s">
        <v>5497</v>
      </c>
      <c r="B286" s="136" t="s">
        <v>5498</v>
      </c>
      <c r="C286" s="136" t="s">
        <v>5499</v>
      </c>
      <c r="D286" s="136" t="s">
        <v>5500</v>
      </c>
      <c r="E286" s="136">
        <v>2025.0</v>
      </c>
      <c r="F286" s="136" t="s">
        <v>3514</v>
      </c>
      <c r="G286" s="136" t="s">
        <v>4041</v>
      </c>
      <c r="H286" s="136" t="s">
        <v>5501</v>
      </c>
      <c r="I286" s="136" t="s">
        <v>4043</v>
      </c>
      <c r="J286" s="136" t="s">
        <v>5502</v>
      </c>
      <c r="K286" s="136">
        <v>73.0</v>
      </c>
      <c r="L286" s="136">
        <v>72.0</v>
      </c>
      <c r="M286" s="136">
        <v>62.1</v>
      </c>
      <c r="N286" s="136">
        <v>0.0</v>
      </c>
      <c r="O286" s="137">
        <v>62.1</v>
      </c>
      <c r="P286" s="136">
        <v>100.0</v>
      </c>
      <c r="Q286" s="136">
        <v>62.1</v>
      </c>
      <c r="R286" s="136" t="s">
        <v>4200</v>
      </c>
      <c r="S286" s="136">
        <v>77.02703</v>
      </c>
      <c r="T286" s="136">
        <v>1.0</v>
      </c>
      <c r="U286" s="138">
        <v>45747.92390046296</v>
      </c>
      <c r="V286" s="141"/>
      <c r="W286" s="141"/>
      <c r="X286" s="141"/>
      <c r="Y286" s="141"/>
      <c r="Z286" s="141"/>
    </row>
    <row r="287">
      <c r="A287" s="135" t="s">
        <v>5503</v>
      </c>
      <c r="B287" s="136" t="s">
        <v>5504</v>
      </c>
      <c r="C287" s="136" t="s">
        <v>5505</v>
      </c>
      <c r="D287" s="136" t="s">
        <v>5506</v>
      </c>
      <c r="E287" s="136">
        <v>2025.0</v>
      </c>
      <c r="F287" s="136" t="s">
        <v>3514</v>
      </c>
      <c r="G287" s="136" t="s">
        <v>4041</v>
      </c>
      <c r="H287" s="136" t="s">
        <v>5507</v>
      </c>
      <c r="I287" s="136" t="s">
        <v>4043</v>
      </c>
      <c r="J287" s="136" t="s">
        <v>5508</v>
      </c>
      <c r="K287" s="136">
        <v>73.0</v>
      </c>
      <c r="L287" s="136">
        <v>71.0</v>
      </c>
      <c r="M287" s="136">
        <v>43.4</v>
      </c>
      <c r="N287" s="136">
        <v>0.0</v>
      </c>
      <c r="O287" s="137">
        <v>43.4</v>
      </c>
      <c r="P287" s="136">
        <v>100.0</v>
      </c>
      <c r="Q287" s="136">
        <v>43.4</v>
      </c>
      <c r="R287" s="136" t="s">
        <v>4045</v>
      </c>
      <c r="S287" s="136">
        <v>55.71429</v>
      </c>
      <c r="T287" s="136">
        <v>0.0</v>
      </c>
      <c r="U287" s="138">
        <v>45748.70920138889</v>
      </c>
      <c r="V287" s="141"/>
      <c r="W287" s="141"/>
      <c r="X287" s="141"/>
      <c r="Y287" s="141"/>
      <c r="Z287" s="141"/>
    </row>
    <row r="288">
      <c r="A288" s="135" t="s">
        <v>5509</v>
      </c>
      <c r="B288" s="136" t="s">
        <v>5510</v>
      </c>
      <c r="C288" s="136" t="s">
        <v>5511</v>
      </c>
      <c r="D288" s="136" t="s">
        <v>5512</v>
      </c>
      <c r="E288" s="136">
        <v>2025.0</v>
      </c>
      <c r="F288" s="136" t="s">
        <v>3514</v>
      </c>
      <c r="G288" s="136" t="s">
        <v>4041</v>
      </c>
      <c r="H288" s="136" t="s">
        <v>5513</v>
      </c>
      <c r="I288" s="136" t="s">
        <v>4043</v>
      </c>
      <c r="J288" s="136" t="s">
        <v>5514</v>
      </c>
      <c r="K288" s="136">
        <v>73.0</v>
      </c>
      <c r="L288" s="136">
        <v>68.0</v>
      </c>
      <c r="M288" s="136">
        <v>44.93333</v>
      </c>
      <c r="N288" s="136">
        <v>0.0</v>
      </c>
      <c r="O288" s="137">
        <v>44.93333</v>
      </c>
      <c r="P288" s="136">
        <v>100.0</v>
      </c>
      <c r="Q288" s="136">
        <v>44.93333</v>
      </c>
      <c r="R288" s="136" t="s">
        <v>4045</v>
      </c>
      <c r="S288" s="136">
        <v>47.14286</v>
      </c>
      <c r="T288" s="136">
        <v>1.0</v>
      </c>
      <c r="U288" s="138">
        <v>45746.571909722225</v>
      </c>
      <c r="V288" s="141"/>
      <c r="W288" s="141"/>
      <c r="X288" s="141"/>
      <c r="Y288" s="141"/>
      <c r="Z288" s="141"/>
    </row>
    <row r="289">
      <c r="A289" s="135" t="s">
        <v>5515</v>
      </c>
      <c r="B289" s="136" t="s">
        <v>5516</v>
      </c>
      <c r="C289" s="136" t="s">
        <v>5517</v>
      </c>
      <c r="D289" s="136" t="s">
        <v>5518</v>
      </c>
      <c r="E289" s="136">
        <v>2025.0</v>
      </c>
      <c r="F289" s="136" t="s">
        <v>3514</v>
      </c>
      <c r="G289" s="136" t="s">
        <v>4041</v>
      </c>
      <c r="H289" s="136" t="s">
        <v>5519</v>
      </c>
      <c r="I289" s="136" t="s">
        <v>4152</v>
      </c>
      <c r="J289" s="136" t="s">
        <v>4153</v>
      </c>
      <c r="K289" s="136" t="s">
        <v>1003</v>
      </c>
      <c r="L289" s="136" t="s">
        <v>1003</v>
      </c>
      <c r="M289" s="136" t="s">
        <v>1003</v>
      </c>
      <c r="N289" s="136" t="s">
        <v>1003</v>
      </c>
      <c r="O289" s="137" t="s">
        <v>1003</v>
      </c>
      <c r="P289" s="136" t="s">
        <v>1003</v>
      </c>
      <c r="Q289" s="136" t="s">
        <v>1003</v>
      </c>
      <c r="R289" s="136" t="s">
        <v>1003</v>
      </c>
      <c r="S289" s="136" t="s">
        <v>1003</v>
      </c>
      <c r="T289" s="136">
        <v>0.0</v>
      </c>
      <c r="U289" s="136" t="s">
        <v>1003</v>
      </c>
      <c r="V289" s="141"/>
      <c r="W289" s="141"/>
      <c r="X289" s="141"/>
      <c r="Y289" s="141"/>
      <c r="Z289" s="141"/>
    </row>
    <row r="290">
      <c r="A290" s="135" t="s">
        <v>5520</v>
      </c>
      <c r="B290" s="136" t="s">
        <v>3602</v>
      </c>
      <c r="C290" s="136" t="s">
        <v>3604</v>
      </c>
      <c r="D290" s="136" t="s">
        <v>3600</v>
      </c>
      <c r="E290" s="136">
        <v>2025.0</v>
      </c>
      <c r="F290" s="136" t="s">
        <v>3514</v>
      </c>
      <c r="G290" s="136" t="s">
        <v>4041</v>
      </c>
      <c r="H290" s="136" t="s">
        <v>5521</v>
      </c>
      <c r="I290" s="136" t="s">
        <v>4152</v>
      </c>
      <c r="J290" s="136" t="s">
        <v>4153</v>
      </c>
      <c r="K290" s="136" t="s">
        <v>1003</v>
      </c>
      <c r="L290" s="136" t="s">
        <v>1003</v>
      </c>
      <c r="M290" s="136" t="s">
        <v>1003</v>
      </c>
      <c r="N290" s="136" t="s">
        <v>1003</v>
      </c>
      <c r="O290" s="137" t="s">
        <v>1003</v>
      </c>
      <c r="P290" s="136" t="s">
        <v>1003</v>
      </c>
      <c r="Q290" s="136" t="s">
        <v>1003</v>
      </c>
      <c r="R290" s="136" t="s">
        <v>1003</v>
      </c>
      <c r="S290" s="136" t="s">
        <v>1003</v>
      </c>
      <c r="T290" s="136">
        <v>1.0</v>
      </c>
      <c r="U290" s="136" t="s">
        <v>1003</v>
      </c>
      <c r="V290" s="141"/>
      <c r="W290" s="141"/>
      <c r="X290" s="141"/>
      <c r="Y290" s="141"/>
      <c r="Z290" s="141"/>
    </row>
    <row r="291">
      <c r="A291" s="135" t="s">
        <v>5522</v>
      </c>
      <c r="B291" s="136" t="s">
        <v>5523</v>
      </c>
      <c r="C291" s="136" t="s">
        <v>5524</v>
      </c>
      <c r="D291" s="136" t="s">
        <v>5525</v>
      </c>
      <c r="E291" s="136">
        <v>2025.0</v>
      </c>
      <c r="F291" s="136" t="s">
        <v>3514</v>
      </c>
      <c r="G291" s="136" t="s">
        <v>4041</v>
      </c>
      <c r="H291" s="136" t="s">
        <v>5526</v>
      </c>
      <c r="I291" s="136" t="s">
        <v>4043</v>
      </c>
      <c r="J291" s="136" t="s">
        <v>4710</v>
      </c>
      <c r="K291" s="136">
        <v>73.0</v>
      </c>
      <c r="L291" s="136">
        <v>70.0</v>
      </c>
      <c r="M291" s="136">
        <v>22.33333</v>
      </c>
      <c r="N291" s="136">
        <v>0.0</v>
      </c>
      <c r="O291" s="137">
        <v>22.33333</v>
      </c>
      <c r="P291" s="136">
        <v>100.0</v>
      </c>
      <c r="Q291" s="136">
        <v>22.33333</v>
      </c>
      <c r="R291" s="136" t="s">
        <v>4045</v>
      </c>
      <c r="S291" s="136">
        <v>26.08696</v>
      </c>
      <c r="T291" s="136">
        <v>1.0</v>
      </c>
      <c r="U291" s="138">
        <v>45747.839108796295</v>
      </c>
      <c r="V291" s="141"/>
      <c r="W291" s="141"/>
      <c r="X291" s="141"/>
      <c r="Y291" s="141"/>
      <c r="Z291" s="141"/>
    </row>
    <row r="292">
      <c r="A292" s="135" t="s">
        <v>5527</v>
      </c>
      <c r="B292" s="136" t="s">
        <v>5528</v>
      </c>
      <c r="C292" s="136" t="s">
        <v>5529</v>
      </c>
      <c r="D292" s="136" t="s">
        <v>5530</v>
      </c>
      <c r="E292" s="136">
        <v>2025.0</v>
      </c>
      <c r="F292" s="136" t="s">
        <v>3514</v>
      </c>
      <c r="G292" s="136" t="s">
        <v>4041</v>
      </c>
      <c r="H292" s="136" t="s">
        <v>5531</v>
      </c>
      <c r="I292" s="136" t="s">
        <v>4043</v>
      </c>
      <c r="J292" s="136" t="s">
        <v>5532</v>
      </c>
      <c r="K292" s="136">
        <v>73.0</v>
      </c>
      <c r="L292" s="136">
        <v>70.0</v>
      </c>
      <c r="M292" s="136">
        <v>32.0</v>
      </c>
      <c r="N292" s="136">
        <v>0.0</v>
      </c>
      <c r="O292" s="137">
        <v>32.0</v>
      </c>
      <c r="P292" s="136">
        <v>100.0</v>
      </c>
      <c r="Q292" s="136">
        <v>32.0</v>
      </c>
      <c r="R292" s="136" t="s">
        <v>4045</v>
      </c>
      <c r="S292" s="136">
        <v>45.71429</v>
      </c>
      <c r="T292" s="136">
        <v>1.0</v>
      </c>
      <c r="U292" s="138">
        <v>45748.80434027778</v>
      </c>
      <c r="V292" s="141"/>
      <c r="W292" s="141"/>
      <c r="X292" s="141"/>
      <c r="Y292" s="141"/>
      <c r="Z292" s="141"/>
    </row>
    <row r="293">
      <c r="A293" s="135" t="s">
        <v>5533</v>
      </c>
      <c r="B293" s="136" t="s">
        <v>5534</v>
      </c>
      <c r="C293" s="136" t="s">
        <v>5535</v>
      </c>
      <c r="D293" s="136" t="s">
        <v>5536</v>
      </c>
      <c r="E293" s="136">
        <v>2025.0</v>
      </c>
      <c r="F293" s="136" t="s">
        <v>3514</v>
      </c>
      <c r="G293" s="136" t="s">
        <v>4041</v>
      </c>
      <c r="H293" s="136" t="s">
        <v>5537</v>
      </c>
      <c r="I293" s="136" t="s">
        <v>4152</v>
      </c>
      <c r="J293" s="136" t="s">
        <v>4153</v>
      </c>
      <c r="K293" s="136" t="s">
        <v>1003</v>
      </c>
      <c r="L293" s="136" t="s">
        <v>1003</v>
      </c>
      <c r="M293" s="136" t="s">
        <v>1003</v>
      </c>
      <c r="N293" s="136" t="s">
        <v>1003</v>
      </c>
      <c r="O293" s="137" t="s">
        <v>1003</v>
      </c>
      <c r="P293" s="136" t="s">
        <v>1003</v>
      </c>
      <c r="Q293" s="136" t="s">
        <v>1003</v>
      </c>
      <c r="R293" s="136" t="s">
        <v>1003</v>
      </c>
      <c r="S293" s="136" t="s">
        <v>1003</v>
      </c>
      <c r="T293" s="136">
        <v>2.0</v>
      </c>
      <c r="U293" s="136" t="s">
        <v>1003</v>
      </c>
      <c r="V293" s="141"/>
      <c r="W293" s="141"/>
      <c r="X293" s="141"/>
      <c r="Y293" s="141"/>
      <c r="Z293" s="141"/>
    </row>
    <row r="294">
      <c r="A294" s="135" t="s">
        <v>5538</v>
      </c>
      <c r="B294" s="136" t="s">
        <v>5539</v>
      </c>
      <c r="C294" s="136" t="s">
        <v>5540</v>
      </c>
      <c r="D294" s="136" t="s">
        <v>5541</v>
      </c>
      <c r="E294" s="136">
        <v>2025.0</v>
      </c>
      <c r="F294" s="136" t="s">
        <v>3514</v>
      </c>
      <c r="G294" s="136" t="s">
        <v>4041</v>
      </c>
      <c r="H294" s="136" t="s">
        <v>5542</v>
      </c>
      <c r="I294" s="136" t="s">
        <v>4043</v>
      </c>
      <c r="J294" s="136" t="s">
        <v>5543</v>
      </c>
      <c r="K294" s="136">
        <v>73.0</v>
      </c>
      <c r="L294" s="136">
        <v>71.0</v>
      </c>
      <c r="M294" s="136">
        <v>36.43333</v>
      </c>
      <c r="N294" s="136">
        <v>0.0</v>
      </c>
      <c r="O294" s="137">
        <v>36.43333</v>
      </c>
      <c r="P294" s="136">
        <v>100.0</v>
      </c>
      <c r="Q294" s="136">
        <v>36.43333</v>
      </c>
      <c r="R294" s="136" t="s">
        <v>4045</v>
      </c>
      <c r="S294" s="136">
        <v>44.28571</v>
      </c>
      <c r="T294" s="136">
        <v>1.0</v>
      </c>
      <c r="U294" s="138">
        <v>45746.73136574074</v>
      </c>
      <c r="V294" s="141"/>
      <c r="W294" s="141"/>
      <c r="X294" s="141"/>
      <c r="Y294" s="141"/>
      <c r="Z294" s="141"/>
    </row>
    <row r="295">
      <c r="A295" s="135" t="s">
        <v>5544</v>
      </c>
      <c r="B295" s="136" t="s">
        <v>5545</v>
      </c>
      <c r="C295" s="136" t="s">
        <v>5546</v>
      </c>
      <c r="D295" s="136" t="s">
        <v>5547</v>
      </c>
      <c r="E295" s="136">
        <v>2025.0</v>
      </c>
      <c r="F295" s="136" t="s">
        <v>3514</v>
      </c>
      <c r="G295" s="136" t="s">
        <v>4041</v>
      </c>
      <c r="H295" s="136" t="s">
        <v>5548</v>
      </c>
      <c r="I295" s="136" t="s">
        <v>4043</v>
      </c>
      <c r="J295" s="136" t="s">
        <v>5549</v>
      </c>
      <c r="K295" s="136">
        <v>73.0</v>
      </c>
      <c r="L295" s="136">
        <v>73.0</v>
      </c>
      <c r="M295" s="136">
        <v>36.16667</v>
      </c>
      <c r="N295" s="136">
        <v>0.0</v>
      </c>
      <c r="O295" s="137">
        <v>36.16667</v>
      </c>
      <c r="P295" s="136">
        <v>100.0</v>
      </c>
      <c r="Q295" s="136">
        <v>36.16667</v>
      </c>
      <c r="R295" s="136" t="s">
        <v>4045</v>
      </c>
      <c r="S295" s="136">
        <v>41.02564</v>
      </c>
      <c r="T295" s="136">
        <v>2.0</v>
      </c>
      <c r="U295" s="138">
        <v>45748.571550925924</v>
      </c>
      <c r="V295" s="141"/>
      <c r="W295" s="141"/>
      <c r="X295" s="141"/>
      <c r="Y295" s="141"/>
      <c r="Z295" s="141"/>
    </row>
    <row r="296">
      <c r="A296" s="135" t="s">
        <v>5550</v>
      </c>
      <c r="B296" s="136" t="s">
        <v>5551</v>
      </c>
      <c r="C296" s="136" t="s">
        <v>5552</v>
      </c>
      <c r="D296" s="136" t="s">
        <v>5553</v>
      </c>
      <c r="E296" s="136">
        <v>2025.0</v>
      </c>
      <c r="F296" s="136" t="s">
        <v>3514</v>
      </c>
      <c r="G296" s="136" t="s">
        <v>4041</v>
      </c>
      <c r="H296" s="136" t="s">
        <v>5554</v>
      </c>
      <c r="I296" s="136" t="s">
        <v>4043</v>
      </c>
      <c r="J296" s="136" t="s">
        <v>5555</v>
      </c>
      <c r="K296" s="136">
        <v>73.0</v>
      </c>
      <c r="L296" s="136">
        <v>70.0</v>
      </c>
      <c r="M296" s="136">
        <v>55.93333</v>
      </c>
      <c r="N296" s="136">
        <v>0.0</v>
      </c>
      <c r="O296" s="137">
        <v>55.93333</v>
      </c>
      <c r="P296" s="136">
        <v>100.0</v>
      </c>
      <c r="Q296" s="136">
        <v>55.93333</v>
      </c>
      <c r="R296" s="136" t="s">
        <v>4045</v>
      </c>
      <c r="S296" s="136">
        <v>72.46377</v>
      </c>
      <c r="T296" s="136">
        <v>3.0</v>
      </c>
      <c r="U296" s="138">
        <v>45748.542962962965</v>
      </c>
      <c r="V296" s="141"/>
      <c r="W296" s="141"/>
      <c r="X296" s="141"/>
      <c r="Y296" s="141"/>
      <c r="Z296" s="141"/>
    </row>
    <row r="297">
      <c r="A297" s="135" t="s">
        <v>5556</v>
      </c>
      <c r="B297" s="136" t="s">
        <v>5557</v>
      </c>
      <c r="C297" s="136" t="s">
        <v>5558</v>
      </c>
      <c r="D297" s="136" t="s">
        <v>5559</v>
      </c>
      <c r="E297" s="136">
        <v>2025.0</v>
      </c>
      <c r="F297" s="136" t="s">
        <v>3514</v>
      </c>
      <c r="G297" s="136" t="s">
        <v>4041</v>
      </c>
      <c r="H297" s="136" t="s">
        <v>5560</v>
      </c>
      <c r="I297" s="136" t="s">
        <v>4043</v>
      </c>
      <c r="J297" s="136" t="s">
        <v>5561</v>
      </c>
      <c r="K297" s="136">
        <v>73.0</v>
      </c>
      <c r="L297" s="136">
        <v>70.0</v>
      </c>
      <c r="M297" s="136">
        <v>36.16667</v>
      </c>
      <c r="N297" s="136">
        <v>0.0</v>
      </c>
      <c r="O297" s="137">
        <v>36.16667</v>
      </c>
      <c r="P297" s="136">
        <v>100.0</v>
      </c>
      <c r="Q297" s="136">
        <v>36.16667</v>
      </c>
      <c r="R297" s="136" t="s">
        <v>4045</v>
      </c>
      <c r="S297" s="136">
        <v>46.37681</v>
      </c>
      <c r="T297" s="136">
        <v>4.0</v>
      </c>
      <c r="U297" s="138">
        <v>45747.88827546296</v>
      </c>
      <c r="V297" s="141"/>
      <c r="W297" s="141"/>
      <c r="X297" s="141"/>
      <c r="Y297" s="141"/>
      <c r="Z297" s="141"/>
    </row>
    <row r="298">
      <c r="A298" s="135" t="s">
        <v>5562</v>
      </c>
      <c r="B298" s="136" t="s">
        <v>3637</v>
      </c>
      <c r="C298" s="136" t="s">
        <v>5563</v>
      </c>
      <c r="D298" s="136" t="s">
        <v>5564</v>
      </c>
      <c r="E298" s="136">
        <v>2025.0</v>
      </c>
      <c r="F298" s="136" t="s">
        <v>3514</v>
      </c>
      <c r="G298" s="136" t="s">
        <v>4041</v>
      </c>
      <c r="H298" s="136" t="s">
        <v>5565</v>
      </c>
      <c r="I298" s="136" t="s">
        <v>4043</v>
      </c>
      <c r="J298" s="136" t="s">
        <v>5566</v>
      </c>
      <c r="K298" s="136">
        <v>73.0</v>
      </c>
      <c r="L298" s="136">
        <v>72.0</v>
      </c>
      <c r="M298" s="136">
        <v>39.73333</v>
      </c>
      <c r="N298" s="136">
        <v>0.0</v>
      </c>
      <c r="O298" s="137">
        <v>39.73333</v>
      </c>
      <c r="P298" s="136">
        <v>100.0</v>
      </c>
      <c r="Q298" s="136">
        <v>39.73333</v>
      </c>
      <c r="R298" s="136" t="s">
        <v>4045</v>
      </c>
      <c r="S298" s="136">
        <v>41.89189</v>
      </c>
      <c r="T298" s="136">
        <v>2.0</v>
      </c>
      <c r="U298" s="138">
        <v>45747.75467592593</v>
      </c>
      <c r="V298" s="141"/>
      <c r="W298" s="141"/>
      <c r="X298" s="141"/>
      <c r="Y298" s="141"/>
      <c r="Z298" s="141"/>
    </row>
    <row r="299">
      <c r="A299" s="135" t="s">
        <v>5567</v>
      </c>
      <c r="B299" s="136" t="s">
        <v>5568</v>
      </c>
      <c r="C299" s="136" t="s">
        <v>5569</v>
      </c>
      <c r="D299" s="136" t="s">
        <v>5570</v>
      </c>
      <c r="E299" s="136">
        <v>2025.0</v>
      </c>
      <c r="F299" s="136" t="s">
        <v>3514</v>
      </c>
      <c r="G299" s="136" t="s">
        <v>4041</v>
      </c>
      <c r="H299" s="136" t="s">
        <v>5571</v>
      </c>
      <c r="I299" s="136" t="s">
        <v>4043</v>
      </c>
      <c r="J299" s="136" t="s">
        <v>5572</v>
      </c>
      <c r="K299" s="136">
        <v>73.0</v>
      </c>
      <c r="L299" s="136">
        <v>63.0</v>
      </c>
      <c r="M299" s="136">
        <v>46.53333</v>
      </c>
      <c r="N299" s="136">
        <v>0.0</v>
      </c>
      <c r="O299" s="137">
        <v>46.53333</v>
      </c>
      <c r="P299" s="136">
        <v>100.0</v>
      </c>
      <c r="Q299" s="136">
        <v>46.53333</v>
      </c>
      <c r="R299" s="136" t="s">
        <v>4045</v>
      </c>
      <c r="S299" s="136">
        <v>66.12903</v>
      </c>
      <c r="T299" s="136">
        <v>2.0</v>
      </c>
      <c r="U299" s="138">
        <v>45745.94552083333</v>
      </c>
      <c r="V299" s="141"/>
      <c r="W299" s="141"/>
      <c r="X299" s="141"/>
      <c r="Y299" s="141"/>
      <c r="Z299" s="141"/>
    </row>
    <row r="300">
      <c r="A300" s="135" t="s">
        <v>5573</v>
      </c>
      <c r="B300" s="136" t="s">
        <v>3920</v>
      </c>
      <c r="C300" s="136" t="s">
        <v>5574</v>
      </c>
      <c r="D300" s="136" t="s">
        <v>3917</v>
      </c>
      <c r="E300" s="136">
        <v>2025.0</v>
      </c>
      <c r="F300" s="136" t="s">
        <v>3514</v>
      </c>
      <c r="G300" s="136" t="s">
        <v>4041</v>
      </c>
      <c r="H300" s="136" t="s">
        <v>5575</v>
      </c>
      <c r="I300" s="136" t="s">
        <v>4043</v>
      </c>
      <c r="J300" s="136" t="s">
        <v>5576</v>
      </c>
      <c r="K300" s="136">
        <v>73.0</v>
      </c>
      <c r="L300" s="136">
        <v>48.0</v>
      </c>
      <c r="M300" s="136">
        <v>23.0</v>
      </c>
      <c r="N300" s="136">
        <v>0.0</v>
      </c>
      <c r="O300" s="137">
        <v>23.0</v>
      </c>
      <c r="P300" s="136">
        <v>100.0</v>
      </c>
      <c r="Q300" s="136">
        <v>23.0</v>
      </c>
      <c r="R300" s="136" t="s">
        <v>4045</v>
      </c>
      <c r="S300" s="136">
        <v>36.17021</v>
      </c>
      <c r="T300" s="136">
        <v>2.0</v>
      </c>
      <c r="U300" s="138">
        <v>45746.79189814815</v>
      </c>
      <c r="V300" s="141"/>
      <c r="W300" s="141"/>
      <c r="X300" s="141"/>
      <c r="Y300" s="141"/>
      <c r="Z300" s="141"/>
    </row>
    <row r="301">
      <c r="A301" s="135" t="s">
        <v>5577</v>
      </c>
      <c r="B301" s="136" t="s">
        <v>5578</v>
      </c>
      <c r="C301" s="136" t="s">
        <v>3931</v>
      </c>
      <c r="D301" s="136" t="s">
        <v>3926</v>
      </c>
      <c r="E301" s="136">
        <v>2025.0</v>
      </c>
      <c r="F301" s="136" t="s">
        <v>3514</v>
      </c>
      <c r="G301" s="136" t="s">
        <v>4041</v>
      </c>
      <c r="H301" s="136" t="s">
        <v>5579</v>
      </c>
      <c r="I301" s="136" t="s">
        <v>4043</v>
      </c>
      <c r="J301" s="136" t="s">
        <v>5580</v>
      </c>
      <c r="K301" s="136">
        <v>73.0</v>
      </c>
      <c r="L301" s="136">
        <v>71.0</v>
      </c>
      <c r="M301" s="136">
        <v>29.3</v>
      </c>
      <c r="N301" s="136">
        <v>0.0</v>
      </c>
      <c r="O301" s="137">
        <v>29.3</v>
      </c>
      <c r="P301" s="136">
        <v>100.0</v>
      </c>
      <c r="Q301" s="136">
        <v>29.3</v>
      </c>
      <c r="R301" s="136" t="s">
        <v>4045</v>
      </c>
      <c r="S301" s="136">
        <v>37.14286</v>
      </c>
      <c r="T301" s="136">
        <v>1.0</v>
      </c>
      <c r="U301" s="138">
        <v>45747.701377314814</v>
      </c>
      <c r="V301" s="141"/>
      <c r="W301" s="141"/>
      <c r="X301" s="141"/>
      <c r="Y301" s="141"/>
      <c r="Z301" s="141"/>
    </row>
    <row r="302">
      <c r="A302" s="135" t="s">
        <v>5581</v>
      </c>
      <c r="B302" s="136" t="s">
        <v>5582</v>
      </c>
      <c r="C302" s="136" t="s">
        <v>5583</v>
      </c>
      <c r="D302" s="136" t="s">
        <v>5584</v>
      </c>
      <c r="E302" s="136">
        <v>2025.0</v>
      </c>
      <c r="F302" s="136" t="s">
        <v>3514</v>
      </c>
      <c r="G302" s="136" t="s">
        <v>4041</v>
      </c>
      <c r="H302" s="136" t="s">
        <v>5585</v>
      </c>
      <c r="I302" s="136" t="s">
        <v>4043</v>
      </c>
      <c r="J302" s="136" t="s">
        <v>5410</v>
      </c>
      <c r="K302" s="136">
        <v>73.0</v>
      </c>
      <c r="L302" s="136">
        <v>71.0</v>
      </c>
      <c r="M302" s="136">
        <v>24.43333</v>
      </c>
      <c r="N302" s="136">
        <v>0.0</v>
      </c>
      <c r="O302" s="137">
        <v>24.43333</v>
      </c>
      <c r="P302" s="136">
        <v>100.0</v>
      </c>
      <c r="Q302" s="136">
        <v>24.43333</v>
      </c>
      <c r="R302" s="136" t="s">
        <v>4045</v>
      </c>
      <c r="S302" s="136">
        <v>27.14286</v>
      </c>
      <c r="T302" s="136">
        <v>1.0</v>
      </c>
      <c r="U302" s="138">
        <v>45748.90384259259</v>
      </c>
      <c r="V302" s="141"/>
      <c r="W302" s="141"/>
      <c r="X302" s="141"/>
      <c r="Y302" s="141"/>
      <c r="Z302" s="141"/>
    </row>
    <row r="303">
      <c r="A303" s="135" t="s">
        <v>5586</v>
      </c>
      <c r="B303" s="136" t="s">
        <v>3946</v>
      </c>
      <c r="C303" s="136" t="s">
        <v>3949</v>
      </c>
      <c r="D303" s="136" t="s">
        <v>3943</v>
      </c>
      <c r="E303" s="136">
        <v>2025.0</v>
      </c>
      <c r="F303" s="136" t="s">
        <v>3514</v>
      </c>
      <c r="G303" s="136" t="s">
        <v>4041</v>
      </c>
      <c r="H303" s="136" t="s">
        <v>5587</v>
      </c>
      <c r="I303" s="136" t="s">
        <v>4152</v>
      </c>
      <c r="J303" s="136" t="s">
        <v>4153</v>
      </c>
      <c r="K303" s="136" t="s">
        <v>1003</v>
      </c>
      <c r="L303" s="136" t="s">
        <v>1003</v>
      </c>
      <c r="M303" s="136" t="s">
        <v>1003</v>
      </c>
      <c r="N303" s="136" t="s">
        <v>1003</v>
      </c>
      <c r="O303" s="137" t="s">
        <v>1003</v>
      </c>
      <c r="P303" s="136" t="s">
        <v>1003</v>
      </c>
      <c r="Q303" s="136" t="s">
        <v>1003</v>
      </c>
      <c r="R303" s="136" t="s">
        <v>1003</v>
      </c>
      <c r="S303" s="136" t="s">
        <v>1003</v>
      </c>
      <c r="T303" s="136">
        <v>1.0</v>
      </c>
      <c r="U303" s="136" t="s">
        <v>1003</v>
      </c>
      <c r="V303" s="141"/>
      <c r="W303" s="141"/>
      <c r="X303" s="141"/>
      <c r="Y303" s="141"/>
      <c r="Z303" s="141"/>
    </row>
    <row r="304">
      <c r="A304" s="135" t="s">
        <v>5588</v>
      </c>
      <c r="B304" s="136" t="s">
        <v>5589</v>
      </c>
      <c r="C304" s="136" t="s">
        <v>5590</v>
      </c>
      <c r="D304" s="136" t="s">
        <v>5591</v>
      </c>
      <c r="E304" s="136">
        <v>2025.0</v>
      </c>
      <c r="F304" s="136" t="s">
        <v>3514</v>
      </c>
      <c r="G304" s="136" t="s">
        <v>4041</v>
      </c>
      <c r="H304" s="136" t="s">
        <v>5592</v>
      </c>
      <c r="I304" s="136" t="s">
        <v>4043</v>
      </c>
      <c r="J304" s="136" t="s">
        <v>5593</v>
      </c>
      <c r="K304" s="136">
        <v>73.0</v>
      </c>
      <c r="L304" s="136">
        <v>43.0</v>
      </c>
      <c r="M304" s="136">
        <v>31.8</v>
      </c>
      <c r="N304" s="136">
        <v>0.0</v>
      </c>
      <c r="O304" s="137">
        <v>31.8</v>
      </c>
      <c r="P304" s="136">
        <v>100.0</v>
      </c>
      <c r="Q304" s="136">
        <v>31.8</v>
      </c>
      <c r="R304" s="136" t="s">
        <v>4045</v>
      </c>
      <c r="S304" s="136">
        <v>64.28571</v>
      </c>
      <c r="T304" s="136">
        <v>1.0</v>
      </c>
      <c r="U304" s="138">
        <v>45747.41422453704</v>
      </c>
      <c r="V304" s="141"/>
      <c r="W304" s="141"/>
      <c r="X304" s="141"/>
      <c r="Y304" s="141"/>
      <c r="Z304" s="141"/>
    </row>
    <row r="305">
      <c r="A305" s="135" t="s">
        <v>5594</v>
      </c>
      <c r="B305" s="136" t="s">
        <v>5595</v>
      </c>
      <c r="C305" s="136" t="s">
        <v>5596</v>
      </c>
      <c r="D305" s="136" t="s">
        <v>5597</v>
      </c>
      <c r="E305" s="136">
        <v>2025.0</v>
      </c>
      <c r="F305" s="136" t="s">
        <v>5598</v>
      </c>
      <c r="G305" s="136" t="s">
        <v>4041</v>
      </c>
      <c r="H305" s="136" t="s">
        <v>5599</v>
      </c>
      <c r="I305" s="136" t="s">
        <v>4043</v>
      </c>
      <c r="J305" s="136" t="s">
        <v>5600</v>
      </c>
      <c r="K305" s="136">
        <v>73.0</v>
      </c>
      <c r="L305" s="136">
        <v>71.0</v>
      </c>
      <c r="M305" s="136">
        <v>31.0</v>
      </c>
      <c r="N305" s="136">
        <v>0.0</v>
      </c>
      <c r="O305" s="137">
        <v>31.0</v>
      </c>
      <c r="P305" s="136">
        <v>100.0</v>
      </c>
      <c r="Q305" s="136">
        <v>31.0</v>
      </c>
      <c r="R305" s="136" t="s">
        <v>4045</v>
      </c>
      <c r="S305" s="136">
        <v>37.14286</v>
      </c>
      <c r="T305" s="136">
        <v>4.0</v>
      </c>
      <c r="U305" s="138">
        <v>45746.75858796296</v>
      </c>
      <c r="V305" s="141"/>
      <c r="W305" s="141"/>
      <c r="X305" s="141"/>
      <c r="Y305" s="141"/>
      <c r="Z305" s="141"/>
    </row>
    <row r="306">
      <c r="A306" s="135" t="s">
        <v>5601</v>
      </c>
      <c r="B306" s="136" t="s">
        <v>5602</v>
      </c>
      <c r="C306" s="136" t="s">
        <v>5603</v>
      </c>
      <c r="D306" s="136" t="s">
        <v>5604</v>
      </c>
      <c r="E306" s="136">
        <v>2025.0</v>
      </c>
      <c r="F306" s="136" t="s">
        <v>5598</v>
      </c>
      <c r="G306" s="136" t="s">
        <v>4041</v>
      </c>
      <c r="H306" s="136" t="s">
        <v>5605</v>
      </c>
      <c r="I306" s="136" t="s">
        <v>4043</v>
      </c>
      <c r="J306" s="136" t="s">
        <v>5606</v>
      </c>
      <c r="K306" s="136">
        <v>73.0</v>
      </c>
      <c r="L306" s="136">
        <v>68.0</v>
      </c>
      <c r="M306" s="136">
        <v>39.0</v>
      </c>
      <c r="N306" s="136">
        <v>0.0</v>
      </c>
      <c r="O306" s="137">
        <v>39.0</v>
      </c>
      <c r="P306" s="136">
        <v>100.0</v>
      </c>
      <c r="Q306" s="136">
        <v>39.0</v>
      </c>
      <c r="R306" s="136" t="s">
        <v>4045</v>
      </c>
      <c r="S306" s="136">
        <v>57.35294</v>
      </c>
      <c r="T306" s="136">
        <v>3.0</v>
      </c>
      <c r="U306" s="138">
        <v>45746.79094907407</v>
      </c>
      <c r="V306" s="141"/>
      <c r="W306" s="141"/>
      <c r="X306" s="141"/>
      <c r="Y306" s="141"/>
      <c r="Z306" s="141"/>
    </row>
    <row r="307">
      <c r="A307" s="135" t="s">
        <v>5607</v>
      </c>
      <c r="B307" s="136" t="s">
        <v>5608</v>
      </c>
      <c r="C307" s="136" t="s">
        <v>5609</v>
      </c>
      <c r="D307" s="136" t="s">
        <v>5610</v>
      </c>
      <c r="E307" s="136">
        <v>2025.0</v>
      </c>
      <c r="F307" s="136" t="s">
        <v>5598</v>
      </c>
      <c r="G307" s="136" t="s">
        <v>4041</v>
      </c>
      <c r="H307" s="136" t="s">
        <v>5611</v>
      </c>
      <c r="I307" s="136" t="s">
        <v>4043</v>
      </c>
      <c r="J307" s="136" t="s">
        <v>4686</v>
      </c>
      <c r="K307" s="136">
        <v>73.0</v>
      </c>
      <c r="L307" s="136">
        <v>72.0</v>
      </c>
      <c r="M307" s="136">
        <v>19.13333</v>
      </c>
      <c r="N307" s="136">
        <v>0.0</v>
      </c>
      <c r="O307" s="137">
        <v>19.13333</v>
      </c>
      <c r="P307" s="136">
        <v>100.0</v>
      </c>
      <c r="Q307" s="136">
        <v>19.13333</v>
      </c>
      <c r="R307" s="136" t="s">
        <v>4045</v>
      </c>
      <c r="S307" s="136">
        <v>18.91892</v>
      </c>
      <c r="T307" s="136">
        <v>1.0</v>
      </c>
      <c r="U307" s="138">
        <v>45746.556226851855</v>
      </c>
      <c r="V307" s="141"/>
      <c r="W307" s="141"/>
      <c r="X307" s="141"/>
      <c r="Y307" s="141"/>
      <c r="Z307" s="141"/>
    </row>
    <row r="308">
      <c r="A308" s="135" t="s">
        <v>5612</v>
      </c>
      <c r="B308" s="136" t="s">
        <v>5613</v>
      </c>
      <c r="C308" s="136" t="s">
        <v>5614</v>
      </c>
      <c r="D308" s="136" t="s">
        <v>5615</v>
      </c>
      <c r="E308" s="136">
        <v>2025.0</v>
      </c>
      <c r="F308" s="136" t="s">
        <v>5598</v>
      </c>
      <c r="G308" s="136" t="s">
        <v>4041</v>
      </c>
      <c r="H308" s="136" t="s">
        <v>5616</v>
      </c>
      <c r="I308" s="136" t="s">
        <v>4043</v>
      </c>
      <c r="J308" s="136" t="s">
        <v>5617</v>
      </c>
      <c r="K308" s="136">
        <v>73.0</v>
      </c>
      <c r="L308" s="136">
        <v>60.0</v>
      </c>
      <c r="M308" s="136">
        <v>15.0</v>
      </c>
      <c r="N308" s="136">
        <v>0.0</v>
      </c>
      <c r="O308" s="137">
        <v>15.0</v>
      </c>
      <c r="P308" s="136">
        <v>100.0</v>
      </c>
      <c r="Q308" s="136">
        <v>15.0</v>
      </c>
      <c r="R308" s="136" t="s">
        <v>4045</v>
      </c>
      <c r="S308" s="136">
        <v>25.0</v>
      </c>
      <c r="T308" s="136">
        <v>1.0</v>
      </c>
      <c r="U308" s="138">
        <v>45747.83740740741</v>
      </c>
      <c r="V308" s="141"/>
      <c r="W308" s="141"/>
      <c r="X308" s="141"/>
      <c r="Y308" s="141"/>
      <c r="Z308" s="141"/>
    </row>
    <row r="309">
      <c r="A309" s="135" t="s">
        <v>5618</v>
      </c>
      <c r="B309" s="136" t="s">
        <v>5619</v>
      </c>
      <c r="C309" s="136" t="s">
        <v>5620</v>
      </c>
      <c r="D309" s="136" t="s">
        <v>5621</v>
      </c>
      <c r="E309" s="136">
        <v>2025.0</v>
      </c>
      <c r="F309" s="136" t="s">
        <v>5598</v>
      </c>
      <c r="G309" s="136" t="s">
        <v>4041</v>
      </c>
      <c r="H309" s="136" t="s">
        <v>5622</v>
      </c>
      <c r="I309" s="136" t="s">
        <v>4043</v>
      </c>
      <c r="J309" s="136" t="s">
        <v>5623</v>
      </c>
      <c r="K309" s="136">
        <v>73.0</v>
      </c>
      <c r="L309" s="136">
        <v>71.0</v>
      </c>
      <c r="M309" s="136">
        <v>25.6</v>
      </c>
      <c r="N309" s="136">
        <v>0.0</v>
      </c>
      <c r="O309" s="137">
        <v>25.6</v>
      </c>
      <c r="P309" s="136">
        <v>100.0</v>
      </c>
      <c r="Q309" s="136">
        <v>25.6</v>
      </c>
      <c r="R309" s="136" t="s">
        <v>4045</v>
      </c>
      <c r="S309" s="136">
        <v>32.85714</v>
      </c>
      <c r="T309" s="136">
        <v>2.0</v>
      </c>
      <c r="U309" s="138">
        <v>45746.93871527778</v>
      </c>
      <c r="V309" s="141"/>
      <c r="W309" s="141"/>
      <c r="X309" s="141"/>
      <c r="Y309" s="141"/>
      <c r="Z309" s="141"/>
    </row>
    <row r="310">
      <c r="A310" s="135" t="s">
        <v>5624</v>
      </c>
      <c r="B310" s="136" t="s">
        <v>5625</v>
      </c>
      <c r="C310" s="136" t="s">
        <v>5626</v>
      </c>
      <c r="D310" s="136" t="s">
        <v>5627</v>
      </c>
      <c r="E310" s="136">
        <v>2025.0</v>
      </c>
      <c r="F310" s="136" t="s">
        <v>5598</v>
      </c>
      <c r="G310" s="136" t="s">
        <v>4041</v>
      </c>
      <c r="H310" s="136" t="s">
        <v>5628</v>
      </c>
      <c r="I310" s="136" t="s">
        <v>4043</v>
      </c>
      <c r="J310" s="136" t="s">
        <v>5629</v>
      </c>
      <c r="K310" s="136">
        <v>73.0</v>
      </c>
      <c r="L310" s="136">
        <v>71.0</v>
      </c>
      <c r="M310" s="136">
        <v>27.83333</v>
      </c>
      <c r="N310" s="136">
        <v>0.0</v>
      </c>
      <c r="O310" s="137">
        <v>27.83333</v>
      </c>
      <c r="P310" s="136">
        <v>100.0</v>
      </c>
      <c r="Q310" s="136">
        <v>27.83333</v>
      </c>
      <c r="R310" s="136" t="s">
        <v>4045</v>
      </c>
      <c r="S310" s="136">
        <v>31.42857</v>
      </c>
      <c r="T310" s="136">
        <v>1.0</v>
      </c>
      <c r="U310" s="138">
        <v>45747.630277777775</v>
      </c>
      <c r="V310" s="141"/>
      <c r="W310" s="141"/>
      <c r="X310" s="141"/>
      <c r="Y310" s="141"/>
      <c r="Z310" s="141"/>
    </row>
    <row r="311">
      <c r="A311" s="135" t="s">
        <v>5630</v>
      </c>
      <c r="B311" s="136" t="s">
        <v>5631</v>
      </c>
      <c r="C311" s="136" t="s">
        <v>5632</v>
      </c>
      <c r="D311" s="136" t="s">
        <v>5633</v>
      </c>
      <c r="E311" s="136">
        <v>2025.0</v>
      </c>
      <c r="F311" s="136" t="s">
        <v>5598</v>
      </c>
      <c r="G311" s="136" t="s">
        <v>4041</v>
      </c>
      <c r="H311" s="136" t="s">
        <v>5634</v>
      </c>
      <c r="I311" s="136" t="s">
        <v>4043</v>
      </c>
      <c r="J311" s="136" t="s">
        <v>4153</v>
      </c>
      <c r="K311" s="136">
        <v>73.0</v>
      </c>
      <c r="L311" s="136">
        <v>0.0</v>
      </c>
      <c r="M311" s="136">
        <v>0.0</v>
      </c>
      <c r="N311" s="136">
        <v>0.0</v>
      </c>
      <c r="O311" s="137">
        <v>0.0</v>
      </c>
      <c r="P311" s="136">
        <v>100.0</v>
      </c>
      <c r="Q311" s="136">
        <v>0.0</v>
      </c>
      <c r="R311" s="136" t="s">
        <v>4045</v>
      </c>
      <c r="S311" s="136">
        <v>0.0</v>
      </c>
      <c r="T311" s="136">
        <v>1.0</v>
      </c>
      <c r="U311" s="138">
        <v>45747.72998842593</v>
      </c>
      <c r="V311" s="141"/>
      <c r="W311" s="141"/>
      <c r="X311" s="141"/>
      <c r="Y311" s="141"/>
      <c r="Z311" s="141"/>
    </row>
    <row r="312">
      <c r="A312" s="135" t="s">
        <v>5635</v>
      </c>
      <c r="B312" s="136" t="s">
        <v>5636</v>
      </c>
      <c r="C312" s="136" t="s">
        <v>5637</v>
      </c>
      <c r="D312" s="136" t="s">
        <v>5638</v>
      </c>
      <c r="E312" s="136">
        <v>2025.0</v>
      </c>
      <c r="F312" s="136" t="s">
        <v>5598</v>
      </c>
      <c r="G312" s="136" t="s">
        <v>4041</v>
      </c>
      <c r="H312" s="136" t="s">
        <v>5639</v>
      </c>
      <c r="I312" s="136" t="s">
        <v>4043</v>
      </c>
      <c r="J312" s="136" t="s">
        <v>5576</v>
      </c>
      <c r="K312" s="136">
        <v>73.0</v>
      </c>
      <c r="L312" s="136">
        <v>71.0</v>
      </c>
      <c r="M312" s="136">
        <v>26.23333</v>
      </c>
      <c r="N312" s="136">
        <v>0.0</v>
      </c>
      <c r="O312" s="137">
        <v>26.23333</v>
      </c>
      <c r="P312" s="136">
        <v>100.0</v>
      </c>
      <c r="Q312" s="136">
        <v>26.23333</v>
      </c>
      <c r="R312" s="136" t="s">
        <v>4045</v>
      </c>
      <c r="S312" s="136">
        <v>30.0</v>
      </c>
      <c r="T312" s="136">
        <v>0.0</v>
      </c>
      <c r="U312" s="138">
        <v>45748.75834490741</v>
      </c>
      <c r="V312" s="141"/>
      <c r="W312" s="141"/>
      <c r="X312" s="141"/>
      <c r="Y312" s="141"/>
      <c r="Z312" s="141"/>
    </row>
    <row r="313">
      <c r="A313" s="135" t="s">
        <v>5640</v>
      </c>
      <c r="B313" s="136" t="s">
        <v>5641</v>
      </c>
      <c r="C313" s="136" t="s">
        <v>5642</v>
      </c>
      <c r="D313" s="136" t="s">
        <v>5643</v>
      </c>
      <c r="E313" s="136">
        <v>2025.0</v>
      </c>
      <c r="F313" s="136" t="s">
        <v>5598</v>
      </c>
      <c r="G313" s="136" t="s">
        <v>4041</v>
      </c>
      <c r="H313" s="136" t="s">
        <v>5644</v>
      </c>
      <c r="I313" s="136" t="s">
        <v>4043</v>
      </c>
      <c r="J313" s="136" t="s">
        <v>5645</v>
      </c>
      <c r="K313" s="136">
        <v>73.0</v>
      </c>
      <c r="L313" s="136">
        <v>69.0</v>
      </c>
      <c r="M313" s="136">
        <v>51.0</v>
      </c>
      <c r="N313" s="136">
        <v>0.0</v>
      </c>
      <c r="O313" s="137">
        <v>51.0</v>
      </c>
      <c r="P313" s="136">
        <v>100.0</v>
      </c>
      <c r="Q313" s="136">
        <v>51.0</v>
      </c>
      <c r="R313" s="136" t="s">
        <v>4045</v>
      </c>
      <c r="S313" s="136">
        <v>73.91304</v>
      </c>
      <c r="T313" s="136">
        <v>1.0</v>
      </c>
      <c r="U313" s="138">
        <v>45748.66138888889</v>
      </c>
      <c r="V313" s="141"/>
      <c r="W313" s="141"/>
      <c r="X313" s="141"/>
      <c r="Y313" s="141"/>
      <c r="Z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37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37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37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37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37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37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37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37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37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37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37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37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37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37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37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37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37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37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37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37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37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37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37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37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37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37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37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37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37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37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37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37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37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37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37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37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37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37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37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37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1" t="s">
        <v>4016</v>
      </c>
      <c r="B1" s="132" t="s">
        <v>35</v>
      </c>
      <c r="C1" s="132" t="s">
        <v>4017</v>
      </c>
      <c r="D1" s="132" t="s">
        <v>4018</v>
      </c>
      <c r="E1" s="132" t="s">
        <v>4019</v>
      </c>
      <c r="F1" s="132" t="s">
        <v>4020</v>
      </c>
      <c r="G1" s="132" t="s">
        <v>4021</v>
      </c>
      <c r="H1" s="132" t="s">
        <v>4022</v>
      </c>
      <c r="I1" s="132" t="s">
        <v>4023</v>
      </c>
      <c r="J1" s="132" t="s">
        <v>4024</v>
      </c>
      <c r="K1" s="132" t="s">
        <v>4025</v>
      </c>
      <c r="L1" s="132" t="s">
        <v>4026</v>
      </c>
      <c r="M1" s="132" t="s">
        <v>4027</v>
      </c>
      <c r="N1" s="132" t="s">
        <v>4028</v>
      </c>
      <c r="O1" s="132" t="s">
        <v>4029</v>
      </c>
      <c r="P1" s="132" t="s">
        <v>4030</v>
      </c>
      <c r="Q1" s="132" t="s">
        <v>4031</v>
      </c>
      <c r="R1" s="132" t="s">
        <v>4032</v>
      </c>
      <c r="S1" s="132" t="s">
        <v>4033</v>
      </c>
      <c r="T1" s="132" t="s">
        <v>4034</v>
      </c>
      <c r="U1" s="132" t="s">
        <v>4035</v>
      </c>
      <c r="V1" s="133"/>
      <c r="W1" s="134"/>
      <c r="X1" s="134"/>
      <c r="Y1" s="134"/>
      <c r="Z1" s="134"/>
    </row>
    <row r="2">
      <c r="A2" s="135" t="s">
        <v>4036</v>
      </c>
      <c r="B2" s="136" t="s">
        <v>4037</v>
      </c>
      <c r="C2" s="136" t="s">
        <v>4038</v>
      </c>
      <c r="D2" s="136" t="s">
        <v>4039</v>
      </c>
      <c r="E2" s="136">
        <v>2025.0</v>
      </c>
      <c r="F2" s="136" t="s">
        <v>4040</v>
      </c>
      <c r="G2" s="136" t="s">
        <v>5646</v>
      </c>
      <c r="H2" s="136" t="s">
        <v>5647</v>
      </c>
      <c r="I2" s="136" t="s">
        <v>4043</v>
      </c>
      <c r="J2" s="136" t="s">
        <v>5555</v>
      </c>
      <c r="K2" s="136">
        <v>73.0</v>
      </c>
      <c r="L2" s="136">
        <v>71.0</v>
      </c>
      <c r="M2" s="136">
        <v>61.13333</v>
      </c>
      <c r="N2" s="136">
        <v>0.0</v>
      </c>
      <c r="O2" s="136">
        <v>61.13333</v>
      </c>
      <c r="P2" s="136">
        <v>100.0</v>
      </c>
      <c r="Q2" s="136">
        <v>61.13333</v>
      </c>
      <c r="R2" s="136" t="s">
        <v>4200</v>
      </c>
      <c r="S2" s="136">
        <v>80.0</v>
      </c>
      <c r="T2" s="136">
        <v>2.0</v>
      </c>
      <c r="U2" s="138">
        <v>45747.49244212963</v>
      </c>
      <c r="V2" s="140"/>
      <c r="W2" s="140"/>
      <c r="X2" s="140"/>
      <c r="Y2" s="140"/>
      <c r="Z2" s="140"/>
    </row>
    <row r="3">
      <c r="A3" s="135" t="s">
        <v>4046</v>
      </c>
      <c r="B3" s="136" t="s">
        <v>4047</v>
      </c>
      <c r="C3" s="136" t="s">
        <v>4048</v>
      </c>
      <c r="D3" s="136" t="s">
        <v>4049</v>
      </c>
      <c r="E3" s="136">
        <v>2025.0</v>
      </c>
      <c r="F3" s="136" t="s">
        <v>4040</v>
      </c>
      <c r="G3" s="136" t="s">
        <v>5646</v>
      </c>
      <c r="H3" s="136" t="s">
        <v>5648</v>
      </c>
      <c r="I3" s="136" t="s">
        <v>4043</v>
      </c>
      <c r="J3" s="136" t="s">
        <v>5649</v>
      </c>
      <c r="K3" s="136">
        <v>73.0</v>
      </c>
      <c r="L3" s="136">
        <v>42.0</v>
      </c>
      <c r="M3" s="136">
        <v>10.0</v>
      </c>
      <c r="N3" s="136">
        <v>0.0</v>
      </c>
      <c r="O3" s="136">
        <v>10.0</v>
      </c>
      <c r="P3" s="136">
        <v>100.0</v>
      </c>
      <c r="Q3" s="136">
        <v>10.0</v>
      </c>
      <c r="R3" s="136" t="s">
        <v>4045</v>
      </c>
      <c r="S3" s="136">
        <v>23.80952</v>
      </c>
      <c r="T3" s="136">
        <v>0.0</v>
      </c>
      <c r="U3" s="138">
        <v>45747.76070601852</v>
      </c>
      <c r="V3" s="140"/>
      <c r="W3" s="140"/>
      <c r="X3" s="140"/>
      <c r="Y3" s="140"/>
      <c r="Z3" s="140"/>
    </row>
    <row r="4">
      <c r="A4" s="135" t="s">
        <v>4052</v>
      </c>
      <c r="B4" s="136" t="s">
        <v>4053</v>
      </c>
      <c r="C4" s="136" t="s">
        <v>4054</v>
      </c>
      <c r="D4" s="136" t="s">
        <v>4055</v>
      </c>
      <c r="E4" s="136">
        <v>2025.0</v>
      </c>
      <c r="F4" s="136" t="s">
        <v>4040</v>
      </c>
      <c r="G4" s="136" t="s">
        <v>5646</v>
      </c>
      <c r="H4" s="136" t="s">
        <v>5650</v>
      </c>
      <c r="I4" s="136" t="s">
        <v>4043</v>
      </c>
      <c r="J4" s="136" t="s">
        <v>5651</v>
      </c>
      <c r="K4" s="136">
        <v>73.0</v>
      </c>
      <c r="L4" s="136">
        <v>71.0</v>
      </c>
      <c r="M4" s="136">
        <v>50.16667</v>
      </c>
      <c r="N4" s="136">
        <v>0.0</v>
      </c>
      <c r="O4" s="136">
        <v>50.16667</v>
      </c>
      <c r="P4" s="136">
        <v>100.0</v>
      </c>
      <c r="Q4" s="136">
        <v>50.16667</v>
      </c>
      <c r="R4" s="136" t="s">
        <v>4045</v>
      </c>
      <c r="S4" s="136">
        <v>62.85714</v>
      </c>
      <c r="T4" s="136">
        <v>6.0</v>
      </c>
      <c r="U4" s="138">
        <v>45747.51856481482</v>
      </c>
      <c r="V4" s="140"/>
      <c r="W4" s="140"/>
      <c r="X4" s="140"/>
      <c r="Y4" s="140"/>
      <c r="Z4" s="140"/>
    </row>
    <row r="5">
      <c r="A5" s="135" t="s">
        <v>4064</v>
      </c>
      <c r="B5" s="136" t="s">
        <v>4065</v>
      </c>
      <c r="C5" s="136" t="s">
        <v>4066</v>
      </c>
      <c r="D5" s="136" t="s">
        <v>4067</v>
      </c>
      <c r="E5" s="136">
        <v>2025.0</v>
      </c>
      <c r="F5" s="136" t="s">
        <v>4040</v>
      </c>
      <c r="G5" s="136" t="s">
        <v>5646</v>
      </c>
      <c r="H5" s="136" t="s">
        <v>5652</v>
      </c>
      <c r="I5" s="136" t="s">
        <v>4043</v>
      </c>
      <c r="J5" s="136" t="s">
        <v>4264</v>
      </c>
      <c r="K5" s="136">
        <v>73.0</v>
      </c>
      <c r="L5" s="136">
        <v>71.0</v>
      </c>
      <c r="M5" s="136">
        <v>33.13333</v>
      </c>
      <c r="N5" s="136">
        <v>0.0</v>
      </c>
      <c r="O5" s="136">
        <v>33.13333</v>
      </c>
      <c r="P5" s="136">
        <v>100.0</v>
      </c>
      <c r="Q5" s="136">
        <v>33.13333</v>
      </c>
      <c r="R5" s="136" t="s">
        <v>4045</v>
      </c>
      <c r="S5" s="136">
        <v>38.57143</v>
      </c>
      <c r="T5" s="136">
        <v>1.0</v>
      </c>
      <c r="U5" s="138">
        <v>45748.46481481481</v>
      </c>
      <c r="V5" s="140"/>
      <c r="W5" s="140"/>
      <c r="X5" s="140"/>
      <c r="Y5" s="140"/>
      <c r="Z5" s="140"/>
    </row>
    <row r="6">
      <c r="A6" s="135" t="s">
        <v>5653</v>
      </c>
      <c r="B6" s="136" t="s">
        <v>5654</v>
      </c>
      <c r="C6" s="136" t="s">
        <v>5655</v>
      </c>
      <c r="D6" s="136" t="s">
        <v>5656</v>
      </c>
      <c r="E6" s="136">
        <v>2025.0</v>
      </c>
      <c r="F6" s="136" t="s">
        <v>4040</v>
      </c>
      <c r="G6" s="136" t="s">
        <v>5646</v>
      </c>
      <c r="H6" s="136" t="s">
        <v>5657</v>
      </c>
      <c r="I6" s="136" t="s">
        <v>4043</v>
      </c>
      <c r="J6" s="136" t="s">
        <v>5658</v>
      </c>
      <c r="K6" s="136">
        <v>73.0</v>
      </c>
      <c r="L6" s="136">
        <v>39.0</v>
      </c>
      <c r="M6" s="136">
        <v>13.0</v>
      </c>
      <c r="N6" s="136">
        <v>0.0</v>
      </c>
      <c r="O6" s="136">
        <v>13.0</v>
      </c>
      <c r="P6" s="136">
        <v>100.0</v>
      </c>
      <c r="Q6" s="136">
        <v>13.0</v>
      </c>
      <c r="R6" s="136" t="s">
        <v>4045</v>
      </c>
      <c r="S6" s="136">
        <v>33.33333</v>
      </c>
      <c r="T6" s="136">
        <v>0.0</v>
      </c>
      <c r="U6" s="138">
        <v>45748.48631944445</v>
      </c>
      <c r="V6" s="140"/>
      <c r="W6" s="140"/>
      <c r="X6" s="140"/>
      <c r="Y6" s="140"/>
      <c r="Z6" s="140"/>
    </row>
    <row r="7">
      <c r="A7" s="135" t="s">
        <v>4076</v>
      </c>
      <c r="B7" s="136" t="s">
        <v>4077</v>
      </c>
      <c r="C7" s="136" t="s">
        <v>3864</v>
      </c>
      <c r="D7" s="136" t="s">
        <v>3858</v>
      </c>
      <c r="E7" s="136">
        <v>2025.0</v>
      </c>
      <c r="F7" s="136" t="s">
        <v>4040</v>
      </c>
      <c r="G7" s="136" t="s">
        <v>5646</v>
      </c>
      <c r="H7" s="136" t="s">
        <v>5659</v>
      </c>
      <c r="I7" s="136" t="s">
        <v>4043</v>
      </c>
      <c r="J7" s="136" t="s">
        <v>5660</v>
      </c>
      <c r="K7" s="136">
        <v>73.0</v>
      </c>
      <c r="L7" s="136">
        <v>70.0</v>
      </c>
      <c r="M7" s="136">
        <v>20.0</v>
      </c>
      <c r="N7" s="136">
        <v>0.0</v>
      </c>
      <c r="O7" s="136">
        <v>20.0</v>
      </c>
      <c r="P7" s="136">
        <v>100.0</v>
      </c>
      <c r="Q7" s="136">
        <v>20.0</v>
      </c>
      <c r="R7" s="136" t="s">
        <v>4045</v>
      </c>
      <c r="S7" s="136">
        <v>28.57143</v>
      </c>
      <c r="T7" s="136">
        <v>1.0</v>
      </c>
      <c r="U7" s="138">
        <v>45747.709131944444</v>
      </c>
      <c r="V7" s="140"/>
      <c r="W7" s="140"/>
      <c r="X7" s="140"/>
      <c r="Y7" s="140"/>
      <c r="Z7" s="140"/>
    </row>
    <row r="8">
      <c r="A8" s="135" t="s">
        <v>4080</v>
      </c>
      <c r="B8" s="136" t="s">
        <v>4081</v>
      </c>
      <c r="C8" s="136" t="s">
        <v>4082</v>
      </c>
      <c r="D8" s="136" t="s">
        <v>4083</v>
      </c>
      <c r="E8" s="136">
        <v>2025.0</v>
      </c>
      <c r="F8" s="136" t="s">
        <v>4040</v>
      </c>
      <c r="G8" s="136" t="s">
        <v>5646</v>
      </c>
      <c r="H8" s="136" t="s">
        <v>5661</v>
      </c>
      <c r="I8" s="136" t="s">
        <v>4043</v>
      </c>
      <c r="J8" s="136" t="s">
        <v>5662</v>
      </c>
      <c r="K8" s="136">
        <v>73.0</v>
      </c>
      <c r="L8" s="136">
        <v>70.0</v>
      </c>
      <c r="M8" s="136">
        <v>35.0</v>
      </c>
      <c r="N8" s="136">
        <v>0.0</v>
      </c>
      <c r="O8" s="136">
        <v>35.0</v>
      </c>
      <c r="P8" s="136">
        <v>100.0</v>
      </c>
      <c r="Q8" s="136">
        <v>35.0</v>
      </c>
      <c r="R8" s="136" t="s">
        <v>4045</v>
      </c>
      <c r="S8" s="136">
        <v>50.0</v>
      </c>
      <c r="T8" s="136">
        <v>2.0</v>
      </c>
      <c r="U8" s="138">
        <v>45747.857986111114</v>
      </c>
      <c r="V8" s="140"/>
      <c r="W8" s="140"/>
      <c r="X8" s="140"/>
      <c r="Y8" s="140"/>
      <c r="Z8" s="140"/>
    </row>
    <row r="9">
      <c r="A9" s="135" t="s">
        <v>4092</v>
      </c>
      <c r="B9" s="136" t="s">
        <v>4093</v>
      </c>
      <c r="C9" s="136" t="s">
        <v>4094</v>
      </c>
      <c r="D9" s="136" t="s">
        <v>4095</v>
      </c>
      <c r="E9" s="136">
        <v>2025.0</v>
      </c>
      <c r="F9" s="136" t="s">
        <v>4040</v>
      </c>
      <c r="G9" s="136" t="s">
        <v>5646</v>
      </c>
      <c r="H9" s="136" t="s">
        <v>5663</v>
      </c>
      <c r="I9" s="136" t="s">
        <v>4043</v>
      </c>
      <c r="J9" s="136" t="s">
        <v>5664</v>
      </c>
      <c r="K9" s="136">
        <v>73.0</v>
      </c>
      <c r="L9" s="136">
        <v>71.0</v>
      </c>
      <c r="M9" s="136">
        <v>34.33333</v>
      </c>
      <c r="N9" s="136">
        <v>0.0</v>
      </c>
      <c r="O9" s="136">
        <v>34.33333</v>
      </c>
      <c r="P9" s="136">
        <v>100.0</v>
      </c>
      <c r="Q9" s="136">
        <v>34.33333</v>
      </c>
      <c r="R9" s="136" t="s">
        <v>4045</v>
      </c>
      <c r="S9" s="136">
        <v>44.28571</v>
      </c>
      <c r="T9" s="136">
        <v>1.0</v>
      </c>
      <c r="U9" s="138">
        <v>45747.797418981485</v>
      </c>
      <c r="V9" s="140"/>
      <c r="W9" s="140"/>
      <c r="X9" s="140"/>
      <c r="Y9" s="140"/>
      <c r="Z9" s="140"/>
    </row>
    <row r="10">
      <c r="A10" s="135" t="s">
        <v>4098</v>
      </c>
      <c r="B10" s="136" t="s">
        <v>4099</v>
      </c>
      <c r="C10" s="136" t="s">
        <v>4100</v>
      </c>
      <c r="D10" s="136" t="s">
        <v>4101</v>
      </c>
      <c r="E10" s="136">
        <v>2025.0</v>
      </c>
      <c r="F10" s="136" t="s">
        <v>4040</v>
      </c>
      <c r="G10" s="136" t="s">
        <v>5646</v>
      </c>
      <c r="H10" s="136" t="s">
        <v>5665</v>
      </c>
      <c r="I10" s="136" t="s">
        <v>4043</v>
      </c>
      <c r="J10" s="136" t="s">
        <v>5666</v>
      </c>
      <c r="K10" s="136">
        <v>73.0</v>
      </c>
      <c r="L10" s="136">
        <v>70.0</v>
      </c>
      <c r="M10" s="136">
        <v>44.0</v>
      </c>
      <c r="N10" s="136">
        <v>0.0</v>
      </c>
      <c r="O10" s="136">
        <v>44.0</v>
      </c>
      <c r="P10" s="136">
        <v>100.0</v>
      </c>
      <c r="Q10" s="136">
        <v>44.0</v>
      </c>
      <c r="R10" s="136" t="s">
        <v>4045</v>
      </c>
      <c r="S10" s="136">
        <v>62.85714</v>
      </c>
      <c r="T10" s="136">
        <v>1.0</v>
      </c>
      <c r="U10" s="138">
        <v>45747.90457175926</v>
      </c>
      <c r="V10" s="140"/>
      <c r="W10" s="140"/>
      <c r="X10" s="140"/>
      <c r="Y10" s="140"/>
      <c r="Z10" s="140"/>
    </row>
    <row r="11">
      <c r="A11" s="135" t="s">
        <v>4104</v>
      </c>
      <c r="B11" s="136" t="s">
        <v>4105</v>
      </c>
      <c r="C11" s="136" t="s">
        <v>4106</v>
      </c>
      <c r="D11" s="136" t="s">
        <v>4107</v>
      </c>
      <c r="E11" s="136">
        <v>2025.0</v>
      </c>
      <c r="F11" s="136" t="s">
        <v>4040</v>
      </c>
      <c r="G11" s="136" t="s">
        <v>5646</v>
      </c>
      <c r="H11" s="136" t="s">
        <v>5667</v>
      </c>
      <c r="I11" s="136" t="s">
        <v>4043</v>
      </c>
      <c r="J11" s="136" t="s">
        <v>5668</v>
      </c>
      <c r="K11" s="136">
        <v>73.0</v>
      </c>
      <c r="L11" s="136">
        <v>71.0</v>
      </c>
      <c r="M11" s="136">
        <v>57.06667</v>
      </c>
      <c r="N11" s="136">
        <v>0.0</v>
      </c>
      <c r="O11" s="136">
        <v>57.06667</v>
      </c>
      <c r="P11" s="136">
        <v>100.0</v>
      </c>
      <c r="Q11" s="136">
        <v>57.06667</v>
      </c>
      <c r="R11" s="136" t="s">
        <v>4045</v>
      </c>
      <c r="S11" s="136">
        <v>64.78873</v>
      </c>
      <c r="T11" s="136">
        <v>1.0</v>
      </c>
      <c r="U11" s="138">
        <v>45747.849074074074</v>
      </c>
      <c r="V11" s="140"/>
      <c r="W11" s="140"/>
      <c r="X11" s="140"/>
      <c r="Y11" s="140"/>
      <c r="Z11" s="140"/>
    </row>
    <row r="12">
      <c r="A12" s="135" t="s">
        <v>4110</v>
      </c>
      <c r="B12" s="136" t="s">
        <v>4111</v>
      </c>
      <c r="C12" s="136" t="s">
        <v>4112</v>
      </c>
      <c r="D12" s="136" t="s">
        <v>4113</v>
      </c>
      <c r="E12" s="136">
        <v>2025.0</v>
      </c>
      <c r="F12" s="136" t="s">
        <v>4040</v>
      </c>
      <c r="G12" s="136" t="s">
        <v>5646</v>
      </c>
      <c r="H12" s="136" t="s">
        <v>5669</v>
      </c>
      <c r="I12" s="136" t="s">
        <v>4043</v>
      </c>
      <c r="J12" s="136" t="s">
        <v>5670</v>
      </c>
      <c r="K12" s="136">
        <v>73.0</v>
      </c>
      <c r="L12" s="136">
        <v>61.0</v>
      </c>
      <c r="M12" s="136">
        <v>50.13333</v>
      </c>
      <c r="N12" s="136">
        <v>0.0</v>
      </c>
      <c r="O12" s="136">
        <v>50.13333</v>
      </c>
      <c r="P12" s="136">
        <v>100.0</v>
      </c>
      <c r="Q12" s="136">
        <v>50.13333</v>
      </c>
      <c r="R12" s="136" t="s">
        <v>4045</v>
      </c>
      <c r="S12" s="136">
        <v>73.33333</v>
      </c>
      <c r="T12" s="136">
        <v>2.0</v>
      </c>
      <c r="U12" s="138">
        <v>45747.83846064815</v>
      </c>
      <c r="V12" s="140"/>
      <c r="W12" s="140"/>
      <c r="X12" s="140"/>
      <c r="Y12" s="140"/>
      <c r="Z12" s="140"/>
    </row>
    <row r="13">
      <c r="A13" s="135" t="s">
        <v>4116</v>
      </c>
      <c r="B13" s="136" t="s">
        <v>4117</v>
      </c>
      <c r="C13" s="136" t="s">
        <v>4118</v>
      </c>
      <c r="D13" s="136" t="s">
        <v>4119</v>
      </c>
      <c r="E13" s="136">
        <v>2025.0</v>
      </c>
      <c r="F13" s="136" t="s">
        <v>4040</v>
      </c>
      <c r="G13" s="136" t="s">
        <v>5646</v>
      </c>
      <c r="H13" s="136" t="s">
        <v>5671</v>
      </c>
      <c r="I13" s="136" t="s">
        <v>4043</v>
      </c>
      <c r="J13" s="136" t="s">
        <v>5672</v>
      </c>
      <c r="K13" s="136">
        <v>73.0</v>
      </c>
      <c r="L13" s="136">
        <v>71.0</v>
      </c>
      <c r="M13" s="136">
        <v>42.66667</v>
      </c>
      <c r="N13" s="136">
        <v>0.0</v>
      </c>
      <c r="O13" s="136">
        <v>42.66667</v>
      </c>
      <c r="P13" s="136">
        <v>100.0</v>
      </c>
      <c r="Q13" s="136">
        <v>42.66667</v>
      </c>
      <c r="R13" s="136" t="s">
        <v>4045</v>
      </c>
      <c r="S13" s="136">
        <v>51.42857</v>
      </c>
      <c r="T13" s="136">
        <v>3.0</v>
      </c>
      <c r="U13" s="138">
        <v>45747.860300925924</v>
      </c>
      <c r="V13" s="140"/>
      <c r="W13" s="140"/>
      <c r="X13" s="140"/>
      <c r="Y13" s="140"/>
      <c r="Z13" s="140"/>
    </row>
    <row r="14">
      <c r="A14" s="135" t="s">
        <v>4122</v>
      </c>
      <c r="B14" s="136" t="s">
        <v>4123</v>
      </c>
      <c r="C14" s="136" t="s">
        <v>4124</v>
      </c>
      <c r="D14" s="136" t="s">
        <v>4125</v>
      </c>
      <c r="E14" s="136">
        <v>2025.0</v>
      </c>
      <c r="F14" s="136" t="s">
        <v>4040</v>
      </c>
      <c r="G14" s="136" t="s">
        <v>5646</v>
      </c>
      <c r="H14" s="136" t="s">
        <v>5673</v>
      </c>
      <c r="I14" s="136" t="s">
        <v>4043</v>
      </c>
      <c r="J14" s="136" t="s">
        <v>5674</v>
      </c>
      <c r="K14" s="136">
        <v>73.0</v>
      </c>
      <c r="L14" s="136">
        <v>71.0</v>
      </c>
      <c r="M14" s="136">
        <v>58.66667</v>
      </c>
      <c r="N14" s="136">
        <v>0.0</v>
      </c>
      <c r="O14" s="136">
        <v>58.66667</v>
      </c>
      <c r="P14" s="136">
        <v>100.0</v>
      </c>
      <c r="Q14" s="136">
        <v>58.66667</v>
      </c>
      <c r="R14" s="136" t="s">
        <v>4045</v>
      </c>
      <c r="S14" s="136">
        <v>62.5</v>
      </c>
      <c r="T14" s="136">
        <v>1.0</v>
      </c>
      <c r="U14" s="138">
        <v>45747.91857638889</v>
      </c>
      <c r="V14" s="140"/>
      <c r="W14" s="140"/>
      <c r="X14" s="140"/>
      <c r="Y14" s="140"/>
      <c r="Z14" s="140"/>
    </row>
    <row r="15">
      <c r="A15" s="135" t="s">
        <v>5675</v>
      </c>
      <c r="B15" s="136" t="s">
        <v>5676</v>
      </c>
      <c r="C15" s="136" t="s">
        <v>5677</v>
      </c>
      <c r="D15" s="136" t="s">
        <v>5678</v>
      </c>
      <c r="E15" s="136">
        <v>2025.0</v>
      </c>
      <c r="F15" s="136" t="s">
        <v>4040</v>
      </c>
      <c r="G15" s="136" t="s">
        <v>5646</v>
      </c>
      <c r="H15" s="136" t="s">
        <v>5679</v>
      </c>
      <c r="I15" s="136" t="s">
        <v>4043</v>
      </c>
      <c r="J15" s="136" t="s">
        <v>5680</v>
      </c>
      <c r="K15" s="136">
        <v>73.0</v>
      </c>
      <c r="L15" s="136">
        <v>27.0</v>
      </c>
      <c r="M15" s="136">
        <v>10.0</v>
      </c>
      <c r="N15" s="136">
        <v>0.0</v>
      </c>
      <c r="O15" s="136">
        <v>10.0</v>
      </c>
      <c r="P15" s="136">
        <v>100.0</v>
      </c>
      <c r="Q15" s="136">
        <v>10.0</v>
      </c>
      <c r="R15" s="136" t="s">
        <v>4045</v>
      </c>
      <c r="S15" s="136">
        <v>37.03704</v>
      </c>
      <c r="T15" s="136">
        <v>1.0</v>
      </c>
      <c r="U15" s="138">
        <v>45747.99868055555</v>
      </c>
      <c r="V15" s="140"/>
      <c r="W15" s="140"/>
      <c r="X15" s="140"/>
      <c r="Y15" s="140"/>
      <c r="Z15" s="140"/>
    </row>
    <row r="16">
      <c r="A16" s="135" t="s">
        <v>4128</v>
      </c>
      <c r="B16" s="136" t="s">
        <v>4129</v>
      </c>
      <c r="C16" s="136" t="s">
        <v>4130</v>
      </c>
      <c r="D16" s="136" t="s">
        <v>4131</v>
      </c>
      <c r="E16" s="136">
        <v>2025.0</v>
      </c>
      <c r="F16" s="136" t="s">
        <v>4132</v>
      </c>
      <c r="G16" s="136" t="s">
        <v>5646</v>
      </c>
      <c r="H16" s="136" t="s">
        <v>5681</v>
      </c>
      <c r="I16" s="136" t="s">
        <v>4043</v>
      </c>
      <c r="J16" s="136" t="s">
        <v>5682</v>
      </c>
      <c r="K16" s="136">
        <v>73.0</v>
      </c>
      <c r="L16" s="136">
        <v>70.0</v>
      </c>
      <c r="M16" s="136">
        <v>38.0</v>
      </c>
      <c r="N16" s="136">
        <v>0.0</v>
      </c>
      <c r="O16" s="136">
        <v>38.0</v>
      </c>
      <c r="P16" s="136">
        <v>100.0</v>
      </c>
      <c r="Q16" s="136">
        <v>38.0</v>
      </c>
      <c r="R16" s="136" t="s">
        <v>4045</v>
      </c>
      <c r="S16" s="136">
        <v>54.28571</v>
      </c>
      <c r="T16" s="136">
        <v>1.0</v>
      </c>
      <c r="U16" s="138">
        <v>45747.9284375</v>
      </c>
      <c r="V16" s="140"/>
      <c r="W16" s="140"/>
      <c r="X16" s="140"/>
      <c r="Y16" s="140"/>
      <c r="Z16" s="140"/>
    </row>
    <row r="17">
      <c r="A17" s="135" t="s">
        <v>4135</v>
      </c>
      <c r="B17" s="136" t="s">
        <v>4136</v>
      </c>
      <c r="C17" s="136" t="s">
        <v>4137</v>
      </c>
      <c r="D17" s="136" t="s">
        <v>4138</v>
      </c>
      <c r="E17" s="136">
        <v>2025.0</v>
      </c>
      <c r="F17" s="136" t="s">
        <v>4132</v>
      </c>
      <c r="G17" s="136" t="s">
        <v>5646</v>
      </c>
      <c r="H17" s="136" t="s">
        <v>5683</v>
      </c>
      <c r="I17" s="136" t="s">
        <v>4043</v>
      </c>
      <c r="J17" s="136" t="s">
        <v>5684</v>
      </c>
      <c r="K17" s="136">
        <v>73.0</v>
      </c>
      <c r="L17" s="136">
        <v>71.0</v>
      </c>
      <c r="M17" s="136">
        <v>39.53333</v>
      </c>
      <c r="N17" s="136">
        <v>0.0</v>
      </c>
      <c r="O17" s="136">
        <v>39.53333</v>
      </c>
      <c r="P17" s="136">
        <v>100.0</v>
      </c>
      <c r="Q17" s="136">
        <v>39.53333</v>
      </c>
      <c r="R17" s="136" t="s">
        <v>4045</v>
      </c>
      <c r="S17" s="136">
        <v>48.57143</v>
      </c>
      <c r="T17" s="136">
        <v>1.0</v>
      </c>
      <c r="U17" s="138">
        <v>45747.73920138889</v>
      </c>
      <c r="V17" s="140"/>
      <c r="W17" s="140"/>
      <c r="X17" s="140"/>
      <c r="Y17" s="140"/>
      <c r="Z17" s="140"/>
    </row>
    <row r="18">
      <c r="A18" s="135" t="s">
        <v>4141</v>
      </c>
      <c r="B18" s="136" t="s">
        <v>4142</v>
      </c>
      <c r="C18" s="136" t="s">
        <v>4143</v>
      </c>
      <c r="D18" s="136" t="s">
        <v>4144</v>
      </c>
      <c r="E18" s="136">
        <v>2025.0</v>
      </c>
      <c r="F18" s="136" t="s">
        <v>4132</v>
      </c>
      <c r="G18" s="136" t="s">
        <v>5646</v>
      </c>
      <c r="H18" s="136" t="s">
        <v>5685</v>
      </c>
      <c r="I18" s="136" t="s">
        <v>4043</v>
      </c>
      <c r="J18" s="136" t="s">
        <v>5686</v>
      </c>
      <c r="K18" s="136">
        <v>73.0</v>
      </c>
      <c r="L18" s="136">
        <v>70.0</v>
      </c>
      <c r="M18" s="136">
        <v>32.0</v>
      </c>
      <c r="N18" s="136">
        <v>0.0</v>
      </c>
      <c r="O18" s="136">
        <v>32.0</v>
      </c>
      <c r="P18" s="136">
        <v>100.0</v>
      </c>
      <c r="Q18" s="136">
        <v>32.0</v>
      </c>
      <c r="R18" s="136" t="s">
        <v>4045</v>
      </c>
      <c r="S18" s="136">
        <v>45.71429</v>
      </c>
      <c r="T18" s="136">
        <v>2.0</v>
      </c>
      <c r="U18" s="138">
        <v>45747.92747685185</v>
      </c>
      <c r="V18" s="140"/>
      <c r="W18" s="140"/>
      <c r="X18" s="140"/>
      <c r="Y18" s="140"/>
      <c r="Z18" s="140"/>
    </row>
    <row r="19">
      <c r="A19" s="135" t="s">
        <v>4147</v>
      </c>
      <c r="B19" s="136" t="s">
        <v>4148</v>
      </c>
      <c r="C19" s="136" t="s">
        <v>4149</v>
      </c>
      <c r="D19" s="136" t="s">
        <v>4150</v>
      </c>
      <c r="E19" s="136">
        <v>2025.0</v>
      </c>
      <c r="F19" s="136" t="s">
        <v>4132</v>
      </c>
      <c r="G19" s="136" t="s">
        <v>5646</v>
      </c>
      <c r="H19" s="136" t="s">
        <v>5687</v>
      </c>
      <c r="I19" s="136" t="s">
        <v>4043</v>
      </c>
      <c r="J19" s="136" t="s">
        <v>5688</v>
      </c>
      <c r="K19" s="136">
        <v>73.0</v>
      </c>
      <c r="L19" s="136">
        <v>71.0</v>
      </c>
      <c r="M19" s="136">
        <v>58.66667</v>
      </c>
      <c r="N19" s="136">
        <v>0.0</v>
      </c>
      <c r="O19" s="136">
        <v>58.66667</v>
      </c>
      <c r="P19" s="136">
        <v>100.0</v>
      </c>
      <c r="Q19" s="136">
        <v>58.66667</v>
      </c>
      <c r="R19" s="136" t="s">
        <v>4045</v>
      </c>
      <c r="S19" s="136">
        <v>75.71429</v>
      </c>
      <c r="T19" s="136">
        <v>1.0</v>
      </c>
      <c r="U19" s="138">
        <v>45747.52520833333</v>
      </c>
      <c r="V19" s="140"/>
      <c r="W19" s="140"/>
      <c r="X19" s="140"/>
      <c r="Y19" s="140"/>
      <c r="Z19" s="140"/>
    </row>
    <row r="20">
      <c r="A20" s="135" t="s">
        <v>4154</v>
      </c>
      <c r="B20" s="136" t="s">
        <v>4155</v>
      </c>
      <c r="C20" s="136" t="s">
        <v>4156</v>
      </c>
      <c r="D20" s="136" t="s">
        <v>4157</v>
      </c>
      <c r="E20" s="136">
        <v>2025.0</v>
      </c>
      <c r="F20" s="136" t="s">
        <v>4132</v>
      </c>
      <c r="G20" s="136" t="s">
        <v>5646</v>
      </c>
      <c r="H20" s="136" t="s">
        <v>5689</v>
      </c>
      <c r="I20" s="136" t="s">
        <v>4043</v>
      </c>
      <c r="J20" s="136" t="s">
        <v>5690</v>
      </c>
      <c r="K20" s="136">
        <v>73.0</v>
      </c>
      <c r="L20" s="136">
        <v>70.0</v>
      </c>
      <c r="M20" s="136">
        <v>52.56667</v>
      </c>
      <c r="N20" s="136">
        <v>0.0</v>
      </c>
      <c r="O20" s="136">
        <v>52.56667</v>
      </c>
      <c r="P20" s="136">
        <v>100.0</v>
      </c>
      <c r="Q20" s="136">
        <v>52.56667</v>
      </c>
      <c r="R20" s="136" t="s">
        <v>4045</v>
      </c>
      <c r="S20" s="136">
        <v>68.11594</v>
      </c>
      <c r="T20" s="136">
        <v>2.0</v>
      </c>
      <c r="U20" s="138">
        <v>45747.87877314815</v>
      </c>
      <c r="V20" s="140"/>
      <c r="W20" s="140"/>
      <c r="X20" s="140"/>
      <c r="Y20" s="140"/>
      <c r="Z20" s="140"/>
    </row>
    <row r="21">
      <c r="A21" s="135" t="s">
        <v>4172</v>
      </c>
      <c r="B21" s="136" t="s">
        <v>4173</v>
      </c>
      <c r="C21" s="136" t="s">
        <v>4174</v>
      </c>
      <c r="D21" s="136" t="s">
        <v>4175</v>
      </c>
      <c r="E21" s="136">
        <v>2025.0</v>
      </c>
      <c r="F21" s="136" t="s">
        <v>4132</v>
      </c>
      <c r="G21" s="136" t="s">
        <v>5646</v>
      </c>
      <c r="H21" s="136" t="s">
        <v>5691</v>
      </c>
      <c r="I21" s="136" t="s">
        <v>4043</v>
      </c>
      <c r="J21" s="136" t="s">
        <v>5692</v>
      </c>
      <c r="K21" s="136">
        <v>73.0</v>
      </c>
      <c r="L21" s="136">
        <v>70.0</v>
      </c>
      <c r="M21" s="136">
        <v>41.63333</v>
      </c>
      <c r="N21" s="136">
        <v>0.0</v>
      </c>
      <c r="O21" s="136">
        <v>41.63333</v>
      </c>
      <c r="P21" s="136">
        <v>100.0</v>
      </c>
      <c r="Q21" s="136">
        <v>41.63333</v>
      </c>
      <c r="R21" s="136" t="s">
        <v>4045</v>
      </c>
      <c r="S21" s="136">
        <v>50.72464</v>
      </c>
      <c r="T21" s="136">
        <v>2.0</v>
      </c>
      <c r="U21" s="138">
        <v>45747.77737268519</v>
      </c>
      <c r="V21" s="140"/>
      <c r="W21" s="140"/>
      <c r="X21" s="140"/>
      <c r="Y21" s="140"/>
      <c r="Z21" s="140"/>
    </row>
    <row r="22">
      <c r="A22" s="135" t="s">
        <v>5693</v>
      </c>
      <c r="B22" s="136" t="s">
        <v>5694</v>
      </c>
      <c r="C22" s="136" t="s">
        <v>5695</v>
      </c>
      <c r="D22" s="136" t="s">
        <v>5696</v>
      </c>
      <c r="E22" s="136">
        <v>2025.0</v>
      </c>
      <c r="F22" s="136" t="s">
        <v>4251</v>
      </c>
      <c r="G22" s="136" t="s">
        <v>5646</v>
      </c>
      <c r="H22" s="136" t="s">
        <v>5697</v>
      </c>
      <c r="I22" s="136" t="s">
        <v>4043</v>
      </c>
      <c r="J22" s="136" t="s">
        <v>5698</v>
      </c>
      <c r="K22" s="136">
        <v>73.0</v>
      </c>
      <c r="L22" s="136">
        <v>70.0</v>
      </c>
      <c r="M22" s="136">
        <v>31.0</v>
      </c>
      <c r="N22" s="136">
        <v>0.0</v>
      </c>
      <c r="O22" s="136">
        <v>31.0</v>
      </c>
      <c r="P22" s="136">
        <v>100.0</v>
      </c>
      <c r="Q22" s="136">
        <v>31.0</v>
      </c>
      <c r="R22" s="136" t="s">
        <v>4045</v>
      </c>
      <c r="S22" s="136">
        <v>44.28571</v>
      </c>
      <c r="T22" s="136">
        <v>2.0</v>
      </c>
      <c r="U22" s="138">
        <v>45747.66731481482</v>
      </c>
      <c r="V22" s="140"/>
      <c r="W22" s="140"/>
      <c r="X22" s="140"/>
      <c r="Y22" s="140"/>
      <c r="Z22" s="140"/>
    </row>
    <row r="23">
      <c r="A23" s="135" t="s">
        <v>4254</v>
      </c>
      <c r="B23" s="136" t="s">
        <v>4255</v>
      </c>
      <c r="C23" s="136" t="s">
        <v>4256</v>
      </c>
      <c r="D23" s="136" t="s">
        <v>4257</v>
      </c>
      <c r="E23" s="136">
        <v>2025.0</v>
      </c>
      <c r="F23" s="136" t="s">
        <v>4251</v>
      </c>
      <c r="G23" s="136" t="s">
        <v>5646</v>
      </c>
      <c r="H23" s="136" t="s">
        <v>5699</v>
      </c>
      <c r="I23" s="136" t="s">
        <v>4043</v>
      </c>
      <c r="J23" s="136" t="s">
        <v>5700</v>
      </c>
      <c r="K23" s="136">
        <v>73.0</v>
      </c>
      <c r="L23" s="136">
        <v>70.0</v>
      </c>
      <c r="M23" s="136">
        <v>31.0</v>
      </c>
      <c r="N23" s="136">
        <v>0.0</v>
      </c>
      <c r="O23" s="136">
        <v>31.0</v>
      </c>
      <c r="P23" s="136">
        <v>100.0</v>
      </c>
      <c r="Q23" s="136">
        <v>31.0</v>
      </c>
      <c r="R23" s="136" t="s">
        <v>4045</v>
      </c>
      <c r="S23" s="136">
        <v>44.28571</v>
      </c>
      <c r="T23" s="136">
        <v>0.0</v>
      </c>
      <c r="U23" s="138">
        <v>45747.93454861111</v>
      </c>
      <c r="V23" s="140"/>
      <c r="W23" s="140"/>
      <c r="X23" s="140"/>
      <c r="Y23" s="140"/>
      <c r="Z23" s="140"/>
    </row>
    <row r="24">
      <c r="A24" s="135" t="s">
        <v>4259</v>
      </c>
      <c r="B24" s="136" t="s">
        <v>4260</v>
      </c>
      <c r="C24" s="136" t="s">
        <v>4261</v>
      </c>
      <c r="D24" s="136" t="s">
        <v>4262</v>
      </c>
      <c r="E24" s="136">
        <v>2025.0</v>
      </c>
      <c r="F24" s="136" t="s">
        <v>4251</v>
      </c>
      <c r="G24" s="136" t="s">
        <v>5646</v>
      </c>
      <c r="H24" s="136" t="s">
        <v>5701</v>
      </c>
      <c r="I24" s="136" t="s">
        <v>4043</v>
      </c>
      <c r="J24" s="136" t="s">
        <v>4405</v>
      </c>
      <c r="K24" s="136">
        <v>73.0</v>
      </c>
      <c r="L24" s="136">
        <v>70.0</v>
      </c>
      <c r="M24" s="136">
        <v>53.86667</v>
      </c>
      <c r="N24" s="136">
        <v>0.0</v>
      </c>
      <c r="O24" s="136">
        <v>53.86667</v>
      </c>
      <c r="P24" s="136">
        <v>100.0</v>
      </c>
      <c r="Q24" s="136">
        <v>53.86667</v>
      </c>
      <c r="R24" s="136" t="s">
        <v>4045</v>
      </c>
      <c r="S24" s="136">
        <v>69.56522</v>
      </c>
      <c r="T24" s="136">
        <v>4.0</v>
      </c>
      <c r="U24" s="138">
        <v>45748.37163194444</v>
      </c>
      <c r="V24" s="140"/>
      <c r="W24" s="140"/>
      <c r="X24" s="140"/>
      <c r="Y24" s="140"/>
      <c r="Z24" s="140"/>
    </row>
    <row r="25">
      <c r="A25" s="135" t="s">
        <v>4265</v>
      </c>
      <c r="B25" s="136" t="s">
        <v>4266</v>
      </c>
      <c r="C25" s="136" t="s">
        <v>4267</v>
      </c>
      <c r="D25" s="136" t="s">
        <v>4268</v>
      </c>
      <c r="E25" s="136">
        <v>2025.0</v>
      </c>
      <c r="F25" s="136" t="s">
        <v>4251</v>
      </c>
      <c r="G25" s="136" t="s">
        <v>5646</v>
      </c>
      <c r="H25" s="136" t="s">
        <v>5702</v>
      </c>
      <c r="I25" s="136" t="s">
        <v>4043</v>
      </c>
      <c r="J25" s="136" t="s">
        <v>5703</v>
      </c>
      <c r="K25" s="136">
        <v>73.0</v>
      </c>
      <c r="L25" s="136">
        <v>70.0</v>
      </c>
      <c r="M25" s="136">
        <v>52.0</v>
      </c>
      <c r="N25" s="136">
        <v>0.0</v>
      </c>
      <c r="O25" s="136">
        <v>52.0</v>
      </c>
      <c r="P25" s="136">
        <v>100.0</v>
      </c>
      <c r="Q25" s="136">
        <v>52.0</v>
      </c>
      <c r="R25" s="136" t="s">
        <v>4045</v>
      </c>
      <c r="S25" s="136">
        <v>74.28571</v>
      </c>
      <c r="T25" s="136">
        <v>5.0</v>
      </c>
      <c r="U25" s="138">
        <v>45747.89270833333</v>
      </c>
      <c r="V25" s="140"/>
      <c r="W25" s="140"/>
      <c r="X25" s="140"/>
      <c r="Y25" s="140"/>
      <c r="Z25" s="140"/>
    </row>
    <row r="26">
      <c r="A26" s="135" t="s">
        <v>5704</v>
      </c>
      <c r="B26" s="136" t="s">
        <v>5705</v>
      </c>
      <c r="C26" s="136" t="s">
        <v>5706</v>
      </c>
      <c r="D26" s="136" t="s">
        <v>5707</v>
      </c>
      <c r="E26" s="136">
        <v>2025.0</v>
      </c>
      <c r="F26" s="136" t="s">
        <v>4251</v>
      </c>
      <c r="G26" s="136" t="s">
        <v>5646</v>
      </c>
      <c r="H26" s="136" t="s">
        <v>5708</v>
      </c>
      <c r="I26" s="136" t="s">
        <v>4043</v>
      </c>
      <c r="J26" s="136" t="s">
        <v>5709</v>
      </c>
      <c r="K26" s="136">
        <v>73.0</v>
      </c>
      <c r="L26" s="136">
        <v>54.0</v>
      </c>
      <c r="M26" s="136">
        <v>16.0</v>
      </c>
      <c r="N26" s="136">
        <v>0.0</v>
      </c>
      <c r="O26" s="136">
        <v>16.0</v>
      </c>
      <c r="P26" s="136">
        <v>100.0</v>
      </c>
      <c r="Q26" s="136">
        <v>16.0</v>
      </c>
      <c r="R26" s="136" t="s">
        <v>4045</v>
      </c>
      <c r="S26" s="136">
        <v>29.62963</v>
      </c>
      <c r="T26" s="136">
        <v>1.0</v>
      </c>
      <c r="U26" s="138">
        <v>45748.01898148148</v>
      </c>
      <c r="V26" s="140"/>
      <c r="W26" s="140"/>
      <c r="X26" s="140"/>
      <c r="Y26" s="140"/>
      <c r="Z26" s="140"/>
    </row>
    <row r="27">
      <c r="A27" s="135" t="s">
        <v>4271</v>
      </c>
      <c r="B27" s="136" t="s">
        <v>4272</v>
      </c>
      <c r="C27" s="136" t="s">
        <v>4273</v>
      </c>
      <c r="D27" s="136" t="s">
        <v>4274</v>
      </c>
      <c r="E27" s="136">
        <v>2025.0</v>
      </c>
      <c r="F27" s="136" t="s">
        <v>4251</v>
      </c>
      <c r="G27" s="136" t="s">
        <v>5646</v>
      </c>
      <c r="H27" s="136" t="s">
        <v>5710</v>
      </c>
      <c r="I27" s="136" t="s">
        <v>4043</v>
      </c>
      <c r="J27" s="136" t="s">
        <v>5711</v>
      </c>
      <c r="K27" s="136">
        <v>73.0</v>
      </c>
      <c r="L27" s="136">
        <v>68.0</v>
      </c>
      <c r="M27" s="136">
        <v>20.0</v>
      </c>
      <c r="N27" s="136">
        <v>0.0</v>
      </c>
      <c r="O27" s="136">
        <v>20.0</v>
      </c>
      <c r="P27" s="136">
        <v>100.0</v>
      </c>
      <c r="Q27" s="136">
        <v>20.0</v>
      </c>
      <c r="R27" s="136" t="s">
        <v>4045</v>
      </c>
      <c r="S27" s="136">
        <v>29.41177</v>
      </c>
      <c r="T27" s="136">
        <v>0.0</v>
      </c>
      <c r="U27" s="138">
        <v>45747.93094907407</v>
      </c>
      <c r="V27" s="140"/>
      <c r="W27" s="140"/>
      <c r="X27" s="140"/>
      <c r="Y27" s="140"/>
      <c r="Z27" s="140"/>
    </row>
    <row r="28">
      <c r="A28" s="135" t="s">
        <v>4277</v>
      </c>
      <c r="B28" s="136" t="s">
        <v>4278</v>
      </c>
      <c r="C28" s="136" t="s">
        <v>1968</v>
      </c>
      <c r="D28" s="136" t="s">
        <v>4279</v>
      </c>
      <c r="E28" s="136">
        <v>2025.0</v>
      </c>
      <c r="F28" s="136" t="s">
        <v>3655</v>
      </c>
      <c r="G28" s="136" t="s">
        <v>5646</v>
      </c>
      <c r="H28" s="136" t="s">
        <v>5712</v>
      </c>
      <c r="I28" s="136" t="s">
        <v>4043</v>
      </c>
      <c r="J28" s="136" t="s">
        <v>4659</v>
      </c>
      <c r="K28" s="136">
        <v>73.0</v>
      </c>
      <c r="L28" s="136">
        <v>40.0</v>
      </c>
      <c r="M28" s="136">
        <v>20.0</v>
      </c>
      <c r="N28" s="136">
        <v>0.0</v>
      </c>
      <c r="O28" s="136">
        <v>20.0</v>
      </c>
      <c r="P28" s="136">
        <v>100.0</v>
      </c>
      <c r="Q28" s="136">
        <v>20.0</v>
      </c>
      <c r="R28" s="136" t="s">
        <v>4045</v>
      </c>
      <c r="S28" s="136">
        <v>50.0</v>
      </c>
      <c r="T28" s="136">
        <v>1.0</v>
      </c>
      <c r="U28" s="138">
        <v>45747.72920138889</v>
      </c>
      <c r="V28" s="140"/>
      <c r="W28" s="140"/>
      <c r="X28" s="140"/>
      <c r="Y28" s="140"/>
      <c r="Z28" s="140"/>
    </row>
    <row r="29">
      <c r="A29" s="135" t="s">
        <v>4282</v>
      </c>
      <c r="B29" s="136" t="s">
        <v>4283</v>
      </c>
      <c r="C29" s="136" t="s">
        <v>4284</v>
      </c>
      <c r="D29" s="136" t="s">
        <v>4285</v>
      </c>
      <c r="E29" s="136">
        <v>2025.0</v>
      </c>
      <c r="F29" s="136" t="s">
        <v>3655</v>
      </c>
      <c r="G29" s="136" t="s">
        <v>5646</v>
      </c>
      <c r="H29" s="136" t="s">
        <v>5713</v>
      </c>
      <c r="I29" s="136" t="s">
        <v>4043</v>
      </c>
      <c r="J29" s="136" t="s">
        <v>5343</v>
      </c>
      <c r="K29" s="136">
        <v>73.0</v>
      </c>
      <c r="L29" s="136">
        <v>70.0</v>
      </c>
      <c r="M29" s="136">
        <v>35.0</v>
      </c>
      <c r="N29" s="136">
        <v>0.0</v>
      </c>
      <c r="O29" s="136">
        <v>35.0</v>
      </c>
      <c r="P29" s="136">
        <v>100.0</v>
      </c>
      <c r="Q29" s="136">
        <v>35.0</v>
      </c>
      <c r="R29" s="136" t="s">
        <v>4045</v>
      </c>
      <c r="S29" s="136">
        <v>50.0</v>
      </c>
      <c r="T29" s="136">
        <v>1.0</v>
      </c>
      <c r="U29" s="138">
        <v>45747.7046875</v>
      </c>
      <c r="V29" s="140"/>
      <c r="W29" s="140"/>
      <c r="X29" s="140"/>
      <c r="Y29" s="140"/>
      <c r="Z29" s="140"/>
    </row>
    <row r="30">
      <c r="A30" s="135" t="s">
        <v>5714</v>
      </c>
      <c r="B30" s="136" t="s">
        <v>5715</v>
      </c>
      <c r="C30" s="136" t="s">
        <v>5716</v>
      </c>
      <c r="D30" s="136" t="s">
        <v>5717</v>
      </c>
      <c r="E30" s="136">
        <v>2025.0</v>
      </c>
      <c r="F30" s="136" t="s">
        <v>3655</v>
      </c>
      <c r="G30" s="136" t="s">
        <v>5646</v>
      </c>
      <c r="H30" s="136" t="s">
        <v>5718</v>
      </c>
      <c r="I30" s="136" t="s">
        <v>4043</v>
      </c>
      <c r="J30" s="136" t="s">
        <v>5719</v>
      </c>
      <c r="K30" s="136">
        <v>73.0</v>
      </c>
      <c r="L30" s="136">
        <v>71.0</v>
      </c>
      <c r="M30" s="136">
        <v>41.5</v>
      </c>
      <c r="N30" s="136">
        <v>0.0</v>
      </c>
      <c r="O30" s="136">
        <v>41.5</v>
      </c>
      <c r="P30" s="136">
        <v>100.0</v>
      </c>
      <c r="Q30" s="136">
        <v>41.5</v>
      </c>
      <c r="R30" s="136" t="s">
        <v>4045</v>
      </c>
      <c r="S30" s="136">
        <v>52.85714</v>
      </c>
      <c r="T30" s="136">
        <v>1.0</v>
      </c>
      <c r="U30" s="138">
        <v>45747.9028125</v>
      </c>
      <c r="V30" s="140"/>
      <c r="W30" s="140"/>
      <c r="X30" s="140"/>
      <c r="Y30" s="140"/>
      <c r="Z30" s="140"/>
    </row>
    <row r="31">
      <c r="A31" s="135" t="s">
        <v>4288</v>
      </c>
      <c r="B31" s="136" t="s">
        <v>3653</v>
      </c>
      <c r="C31" s="136" t="s">
        <v>4289</v>
      </c>
      <c r="D31" s="136" t="s">
        <v>3651</v>
      </c>
      <c r="E31" s="136">
        <v>2025.0</v>
      </c>
      <c r="F31" s="136" t="s">
        <v>3655</v>
      </c>
      <c r="G31" s="136" t="s">
        <v>5646</v>
      </c>
      <c r="H31" s="136" t="s">
        <v>5720</v>
      </c>
      <c r="I31" s="136" t="s">
        <v>4043</v>
      </c>
      <c r="J31" s="136" t="s">
        <v>5721</v>
      </c>
      <c r="K31" s="136">
        <v>73.0</v>
      </c>
      <c r="L31" s="136">
        <v>53.0</v>
      </c>
      <c r="M31" s="136">
        <v>42.6</v>
      </c>
      <c r="N31" s="136">
        <v>0.0</v>
      </c>
      <c r="O31" s="136">
        <v>42.6</v>
      </c>
      <c r="P31" s="136">
        <v>100.0</v>
      </c>
      <c r="Q31" s="136">
        <v>42.6</v>
      </c>
      <c r="R31" s="136" t="s">
        <v>4045</v>
      </c>
      <c r="S31" s="136">
        <v>71.15385</v>
      </c>
      <c r="T31" s="136">
        <v>1.0</v>
      </c>
      <c r="U31" s="138">
        <v>45747.94627314815</v>
      </c>
      <c r="V31" s="140"/>
      <c r="W31" s="140"/>
      <c r="X31" s="140"/>
      <c r="Y31" s="140"/>
      <c r="Z31" s="140"/>
    </row>
    <row r="32">
      <c r="A32" s="135" t="s">
        <v>4292</v>
      </c>
      <c r="B32" s="136" t="s">
        <v>4293</v>
      </c>
      <c r="C32" s="136" t="s">
        <v>4294</v>
      </c>
      <c r="D32" s="136" t="s">
        <v>4295</v>
      </c>
      <c r="E32" s="136">
        <v>2025.0</v>
      </c>
      <c r="F32" s="136" t="s">
        <v>3655</v>
      </c>
      <c r="G32" s="136" t="s">
        <v>5646</v>
      </c>
      <c r="H32" s="136" t="s">
        <v>5722</v>
      </c>
      <c r="I32" s="136" t="s">
        <v>4043</v>
      </c>
      <c r="J32" s="136" t="s">
        <v>4773</v>
      </c>
      <c r="K32" s="136">
        <v>73.0</v>
      </c>
      <c r="L32" s="136">
        <v>72.0</v>
      </c>
      <c r="M32" s="136">
        <v>67.13333</v>
      </c>
      <c r="N32" s="136">
        <v>0.0</v>
      </c>
      <c r="O32" s="136">
        <v>67.13333</v>
      </c>
      <c r="P32" s="136">
        <v>100.0</v>
      </c>
      <c r="Q32" s="136">
        <v>67.13333</v>
      </c>
      <c r="R32" s="136" t="s">
        <v>4200</v>
      </c>
      <c r="S32" s="136">
        <v>75.0</v>
      </c>
      <c r="T32" s="136">
        <v>1.0</v>
      </c>
      <c r="U32" s="138">
        <v>45747.77869212963</v>
      </c>
      <c r="V32" s="140"/>
      <c r="W32" s="140"/>
      <c r="X32" s="140"/>
      <c r="Y32" s="140"/>
      <c r="Z32" s="140"/>
    </row>
    <row r="33">
      <c r="A33" s="135" t="s">
        <v>4304</v>
      </c>
      <c r="B33" s="136" t="s">
        <v>4305</v>
      </c>
      <c r="C33" s="136" t="s">
        <v>4306</v>
      </c>
      <c r="D33" s="136" t="s">
        <v>4307</v>
      </c>
      <c r="E33" s="136">
        <v>2025.0</v>
      </c>
      <c r="F33" s="136" t="s">
        <v>3655</v>
      </c>
      <c r="G33" s="136" t="s">
        <v>5646</v>
      </c>
      <c r="H33" s="136" t="s">
        <v>5723</v>
      </c>
      <c r="I33" s="136" t="s">
        <v>4043</v>
      </c>
      <c r="J33" s="136" t="s">
        <v>5724</v>
      </c>
      <c r="K33" s="136">
        <v>73.0</v>
      </c>
      <c r="L33" s="136">
        <v>71.0</v>
      </c>
      <c r="M33" s="136">
        <v>37.33333</v>
      </c>
      <c r="N33" s="136">
        <v>0.0</v>
      </c>
      <c r="O33" s="136">
        <v>37.33333</v>
      </c>
      <c r="P33" s="136">
        <v>100.0</v>
      </c>
      <c r="Q33" s="136">
        <v>37.33333</v>
      </c>
      <c r="R33" s="136" t="s">
        <v>4045</v>
      </c>
      <c r="S33" s="136">
        <v>48.57143</v>
      </c>
      <c r="T33" s="136">
        <v>1.0</v>
      </c>
      <c r="U33" s="138">
        <v>45747.796064814815</v>
      </c>
      <c r="V33" s="140"/>
      <c r="W33" s="140"/>
      <c r="X33" s="140"/>
      <c r="Y33" s="140"/>
      <c r="Z33" s="140"/>
    </row>
    <row r="34">
      <c r="A34" s="135" t="s">
        <v>4310</v>
      </c>
      <c r="B34" s="136" t="s">
        <v>4311</v>
      </c>
      <c r="C34" s="136" t="s">
        <v>4312</v>
      </c>
      <c r="D34" s="136" t="s">
        <v>4313</v>
      </c>
      <c r="E34" s="136">
        <v>2025.0</v>
      </c>
      <c r="F34" s="136" t="s">
        <v>3655</v>
      </c>
      <c r="G34" s="136" t="s">
        <v>5646</v>
      </c>
      <c r="H34" s="136" t="s">
        <v>5725</v>
      </c>
      <c r="I34" s="136" t="s">
        <v>4043</v>
      </c>
      <c r="J34" s="136" t="s">
        <v>5238</v>
      </c>
      <c r="K34" s="136">
        <v>73.0</v>
      </c>
      <c r="L34" s="136">
        <v>42.0</v>
      </c>
      <c r="M34" s="136">
        <v>12.33333</v>
      </c>
      <c r="N34" s="136">
        <v>0.0</v>
      </c>
      <c r="O34" s="136">
        <v>12.33333</v>
      </c>
      <c r="P34" s="136">
        <v>100.0</v>
      </c>
      <c r="Q34" s="136">
        <v>12.33333</v>
      </c>
      <c r="R34" s="136" t="s">
        <v>4045</v>
      </c>
      <c r="S34" s="136">
        <v>21.95122</v>
      </c>
      <c r="T34" s="136">
        <v>6.0</v>
      </c>
      <c r="U34" s="138">
        <v>45747.67590277778</v>
      </c>
      <c r="V34" s="140"/>
      <c r="W34" s="140"/>
      <c r="X34" s="140"/>
      <c r="Y34" s="140"/>
      <c r="Z34" s="140"/>
    </row>
    <row r="35">
      <c r="A35" s="135" t="s">
        <v>4316</v>
      </c>
      <c r="B35" s="136" t="s">
        <v>4317</v>
      </c>
      <c r="C35" s="136" t="s">
        <v>4318</v>
      </c>
      <c r="D35" s="136" t="s">
        <v>4319</v>
      </c>
      <c r="E35" s="136">
        <v>2025.0</v>
      </c>
      <c r="F35" s="136" t="s">
        <v>3655</v>
      </c>
      <c r="G35" s="136" t="s">
        <v>5646</v>
      </c>
      <c r="H35" s="136" t="s">
        <v>5726</v>
      </c>
      <c r="I35" s="136" t="s">
        <v>4043</v>
      </c>
      <c r="J35" s="136" t="s">
        <v>5727</v>
      </c>
      <c r="K35" s="136">
        <v>73.0</v>
      </c>
      <c r="L35" s="136">
        <v>71.0</v>
      </c>
      <c r="M35" s="136">
        <v>41.16667</v>
      </c>
      <c r="N35" s="136">
        <v>0.0</v>
      </c>
      <c r="O35" s="136">
        <v>41.16667</v>
      </c>
      <c r="P35" s="136">
        <v>100.0</v>
      </c>
      <c r="Q35" s="136">
        <v>41.16667</v>
      </c>
      <c r="R35" s="136" t="s">
        <v>4045</v>
      </c>
      <c r="S35" s="136">
        <v>52.85714</v>
      </c>
      <c r="T35" s="136">
        <v>1.0</v>
      </c>
      <c r="U35" s="138">
        <v>45747.45894675926</v>
      </c>
      <c r="V35" s="140"/>
      <c r="W35" s="140"/>
      <c r="X35" s="140"/>
      <c r="Y35" s="140"/>
      <c r="Z35" s="140"/>
    </row>
    <row r="36">
      <c r="A36" s="135" t="s">
        <v>4322</v>
      </c>
      <c r="B36" s="136" t="s">
        <v>4323</v>
      </c>
      <c r="C36" s="136" t="s">
        <v>4324</v>
      </c>
      <c r="D36" s="136" t="s">
        <v>4325</v>
      </c>
      <c r="E36" s="136">
        <v>2025.0</v>
      </c>
      <c r="F36" s="136" t="s">
        <v>3655</v>
      </c>
      <c r="G36" s="136" t="s">
        <v>5646</v>
      </c>
      <c r="H36" s="136" t="s">
        <v>5728</v>
      </c>
      <c r="I36" s="136" t="s">
        <v>4043</v>
      </c>
      <c r="J36" s="136" t="s">
        <v>5729</v>
      </c>
      <c r="K36" s="136">
        <v>73.0</v>
      </c>
      <c r="L36" s="136">
        <v>71.0</v>
      </c>
      <c r="M36" s="136">
        <v>50.0</v>
      </c>
      <c r="N36" s="136">
        <v>0.0</v>
      </c>
      <c r="O36" s="136">
        <v>50.0</v>
      </c>
      <c r="P36" s="136">
        <v>100.0</v>
      </c>
      <c r="Q36" s="136">
        <v>50.0</v>
      </c>
      <c r="R36" s="136" t="s">
        <v>4045</v>
      </c>
      <c r="S36" s="136">
        <v>58.33333</v>
      </c>
      <c r="T36" s="136">
        <v>6.0</v>
      </c>
      <c r="U36" s="138">
        <v>45747.73483796296</v>
      </c>
      <c r="V36" s="140"/>
      <c r="W36" s="140"/>
      <c r="X36" s="140"/>
      <c r="Y36" s="140"/>
      <c r="Z36" s="140"/>
    </row>
    <row r="37">
      <c r="A37" s="135" t="s">
        <v>4328</v>
      </c>
      <c r="B37" s="136" t="s">
        <v>4329</v>
      </c>
      <c r="C37" s="136" t="s">
        <v>4330</v>
      </c>
      <c r="D37" s="136" t="s">
        <v>4331</v>
      </c>
      <c r="E37" s="136">
        <v>2025.0</v>
      </c>
      <c r="F37" s="136" t="s">
        <v>3655</v>
      </c>
      <c r="G37" s="136" t="s">
        <v>5646</v>
      </c>
      <c r="H37" s="136" t="s">
        <v>5730</v>
      </c>
      <c r="I37" s="136" t="s">
        <v>4043</v>
      </c>
      <c r="J37" s="136" t="s">
        <v>5731</v>
      </c>
      <c r="K37" s="136">
        <v>73.0</v>
      </c>
      <c r="L37" s="136">
        <v>71.0</v>
      </c>
      <c r="M37" s="136">
        <v>57.5</v>
      </c>
      <c r="N37" s="136">
        <v>0.0</v>
      </c>
      <c r="O37" s="136">
        <v>57.5</v>
      </c>
      <c r="P37" s="136">
        <v>100.0</v>
      </c>
      <c r="Q37" s="136">
        <v>57.5</v>
      </c>
      <c r="R37" s="136" t="s">
        <v>4045</v>
      </c>
      <c r="S37" s="136">
        <v>74.28571</v>
      </c>
      <c r="T37" s="136">
        <v>5.0</v>
      </c>
      <c r="U37" s="138">
        <v>45747.81553240741</v>
      </c>
      <c r="V37" s="140"/>
      <c r="W37" s="140"/>
      <c r="X37" s="140"/>
      <c r="Y37" s="140"/>
      <c r="Z37" s="140"/>
    </row>
    <row r="38">
      <c r="A38" s="135" t="s">
        <v>5732</v>
      </c>
      <c r="B38" s="136" t="s">
        <v>5733</v>
      </c>
      <c r="C38" s="136" t="s">
        <v>5734</v>
      </c>
      <c r="D38" s="136" t="s">
        <v>5735</v>
      </c>
      <c r="E38" s="136">
        <v>2025.0</v>
      </c>
      <c r="F38" s="136" t="s">
        <v>3655</v>
      </c>
      <c r="G38" s="136" t="s">
        <v>5646</v>
      </c>
      <c r="H38" s="136" t="s">
        <v>5736</v>
      </c>
      <c r="I38" s="136" t="s">
        <v>4152</v>
      </c>
      <c r="J38" s="136" t="s">
        <v>4153</v>
      </c>
      <c r="K38" s="136" t="s">
        <v>1003</v>
      </c>
      <c r="L38" s="136" t="s">
        <v>1003</v>
      </c>
      <c r="M38" s="136" t="s">
        <v>1003</v>
      </c>
      <c r="N38" s="136" t="s">
        <v>1003</v>
      </c>
      <c r="O38" s="136" t="s">
        <v>1003</v>
      </c>
      <c r="P38" s="136" t="s">
        <v>1003</v>
      </c>
      <c r="Q38" s="136" t="s">
        <v>1003</v>
      </c>
      <c r="R38" s="136" t="s">
        <v>1003</v>
      </c>
      <c r="S38" s="136" t="s">
        <v>1003</v>
      </c>
      <c r="T38" s="136">
        <v>1.0</v>
      </c>
      <c r="U38" s="136" t="s">
        <v>1003</v>
      </c>
      <c r="V38" s="140"/>
      <c r="W38" s="140"/>
      <c r="X38" s="140"/>
      <c r="Y38" s="140"/>
      <c r="Z38" s="140"/>
    </row>
    <row r="39">
      <c r="A39" s="135" t="s">
        <v>4340</v>
      </c>
      <c r="B39" s="136" t="s">
        <v>4341</v>
      </c>
      <c r="C39" s="136" t="s">
        <v>4342</v>
      </c>
      <c r="D39" s="136" t="s">
        <v>4343</v>
      </c>
      <c r="E39" s="136">
        <v>2025.0</v>
      </c>
      <c r="F39" s="136" t="s">
        <v>3655</v>
      </c>
      <c r="G39" s="136" t="s">
        <v>5646</v>
      </c>
      <c r="H39" s="136" t="s">
        <v>5737</v>
      </c>
      <c r="I39" s="136" t="s">
        <v>4043</v>
      </c>
      <c r="J39" s="136" t="s">
        <v>5738</v>
      </c>
      <c r="K39" s="136">
        <v>73.0</v>
      </c>
      <c r="L39" s="136">
        <v>70.0</v>
      </c>
      <c r="M39" s="136">
        <v>48.06667</v>
      </c>
      <c r="N39" s="136">
        <v>0.0</v>
      </c>
      <c r="O39" s="136">
        <v>48.06667</v>
      </c>
      <c r="P39" s="136">
        <v>100.0</v>
      </c>
      <c r="Q39" s="136">
        <v>48.06667</v>
      </c>
      <c r="R39" s="136" t="s">
        <v>4045</v>
      </c>
      <c r="S39" s="136">
        <v>65.21739</v>
      </c>
      <c r="T39" s="136">
        <v>3.0</v>
      </c>
      <c r="U39" s="138">
        <v>45748.99670138889</v>
      </c>
      <c r="V39" s="140"/>
      <c r="W39" s="140"/>
      <c r="X39" s="140"/>
      <c r="Y39" s="140"/>
      <c r="Z39" s="140"/>
    </row>
    <row r="40">
      <c r="A40" s="135" t="s">
        <v>4346</v>
      </c>
      <c r="B40" s="136" t="s">
        <v>4347</v>
      </c>
      <c r="C40" s="136" t="s">
        <v>4348</v>
      </c>
      <c r="D40" s="136" t="s">
        <v>4349</v>
      </c>
      <c r="E40" s="136">
        <v>2025.0</v>
      </c>
      <c r="F40" s="136" t="s">
        <v>3771</v>
      </c>
      <c r="G40" s="136" t="s">
        <v>5646</v>
      </c>
      <c r="H40" s="136" t="s">
        <v>5739</v>
      </c>
      <c r="I40" s="136" t="s">
        <v>4043</v>
      </c>
      <c r="J40" s="136" t="s">
        <v>5740</v>
      </c>
      <c r="K40" s="136">
        <v>73.0</v>
      </c>
      <c r="L40" s="136">
        <v>70.0</v>
      </c>
      <c r="M40" s="136">
        <v>53.0</v>
      </c>
      <c r="N40" s="136">
        <v>0.0</v>
      </c>
      <c r="O40" s="136">
        <v>53.0</v>
      </c>
      <c r="P40" s="136">
        <v>100.0</v>
      </c>
      <c r="Q40" s="136">
        <v>53.0</v>
      </c>
      <c r="R40" s="136" t="s">
        <v>4045</v>
      </c>
      <c r="S40" s="136">
        <v>75.71429</v>
      </c>
      <c r="T40" s="136">
        <v>3.0</v>
      </c>
      <c r="U40" s="138">
        <v>45747.71239583333</v>
      </c>
      <c r="V40" s="140"/>
      <c r="W40" s="140"/>
      <c r="X40" s="140"/>
      <c r="Y40" s="140"/>
      <c r="Z40" s="140"/>
    </row>
    <row r="41">
      <c r="A41" s="135" t="s">
        <v>4358</v>
      </c>
      <c r="B41" s="136" t="s">
        <v>3770</v>
      </c>
      <c r="C41" s="136" t="s">
        <v>3772</v>
      </c>
      <c r="D41" s="136" t="s">
        <v>3768</v>
      </c>
      <c r="E41" s="136">
        <v>2025.0</v>
      </c>
      <c r="F41" s="136" t="s">
        <v>3771</v>
      </c>
      <c r="G41" s="136" t="s">
        <v>5646</v>
      </c>
      <c r="H41" s="136" t="s">
        <v>5741</v>
      </c>
      <c r="I41" s="136" t="s">
        <v>4043</v>
      </c>
      <c r="J41" s="136" t="s">
        <v>5742</v>
      </c>
      <c r="K41" s="136">
        <v>73.0</v>
      </c>
      <c r="L41" s="136">
        <v>71.0</v>
      </c>
      <c r="M41" s="136">
        <v>63.23333</v>
      </c>
      <c r="N41" s="136">
        <v>0.0</v>
      </c>
      <c r="O41" s="136">
        <v>63.23333</v>
      </c>
      <c r="P41" s="136">
        <v>100.0</v>
      </c>
      <c r="Q41" s="136">
        <v>63.23333</v>
      </c>
      <c r="R41" s="136" t="s">
        <v>4200</v>
      </c>
      <c r="S41" s="136">
        <v>82.85714</v>
      </c>
      <c r="T41" s="136">
        <v>1.0</v>
      </c>
      <c r="U41" s="138">
        <v>45747.774039351854</v>
      </c>
      <c r="V41" s="140"/>
      <c r="W41" s="140"/>
      <c r="X41" s="140"/>
      <c r="Y41" s="140"/>
      <c r="Z41" s="140"/>
    </row>
    <row r="42">
      <c r="A42" s="135" t="s">
        <v>4361</v>
      </c>
      <c r="B42" s="136" t="s">
        <v>4362</v>
      </c>
      <c r="C42" s="136" t="s">
        <v>4363</v>
      </c>
      <c r="D42" s="136" t="s">
        <v>4364</v>
      </c>
      <c r="E42" s="136">
        <v>2025.0</v>
      </c>
      <c r="F42" s="136" t="s">
        <v>3771</v>
      </c>
      <c r="G42" s="136" t="s">
        <v>5646</v>
      </c>
      <c r="H42" s="136" t="s">
        <v>5743</v>
      </c>
      <c r="I42" s="136" t="s">
        <v>4043</v>
      </c>
      <c r="J42" s="136" t="s">
        <v>5744</v>
      </c>
      <c r="K42" s="136">
        <v>73.0</v>
      </c>
      <c r="L42" s="136">
        <v>72.0</v>
      </c>
      <c r="M42" s="136">
        <v>56.86667</v>
      </c>
      <c r="N42" s="136">
        <v>0.0</v>
      </c>
      <c r="O42" s="136">
        <v>56.86667</v>
      </c>
      <c r="P42" s="136">
        <v>100.0</v>
      </c>
      <c r="Q42" s="136">
        <v>56.86667</v>
      </c>
      <c r="R42" s="136" t="s">
        <v>4045</v>
      </c>
      <c r="S42" s="136">
        <v>59.72222</v>
      </c>
      <c r="T42" s="136">
        <v>0.0</v>
      </c>
      <c r="U42" s="138">
        <v>45747.51614583333</v>
      </c>
      <c r="V42" s="140"/>
      <c r="W42" s="140"/>
      <c r="X42" s="140"/>
      <c r="Y42" s="140"/>
      <c r="Z42" s="140"/>
    </row>
    <row r="43">
      <c r="A43" s="135" t="s">
        <v>4367</v>
      </c>
      <c r="B43" s="136" t="s">
        <v>4368</v>
      </c>
      <c r="C43" s="136" t="s">
        <v>4369</v>
      </c>
      <c r="D43" s="136" t="s">
        <v>4370</v>
      </c>
      <c r="E43" s="136">
        <v>2025.0</v>
      </c>
      <c r="F43" s="136" t="s">
        <v>3771</v>
      </c>
      <c r="G43" s="136" t="s">
        <v>5646</v>
      </c>
      <c r="H43" s="136" t="s">
        <v>5745</v>
      </c>
      <c r="I43" s="136" t="s">
        <v>4043</v>
      </c>
      <c r="J43" s="136" t="s">
        <v>5746</v>
      </c>
      <c r="K43" s="136">
        <v>73.0</v>
      </c>
      <c r="L43" s="136">
        <v>71.0</v>
      </c>
      <c r="M43" s="136">
        <v>56.83333</v>
      </c>
      <c r="N43" s="136">
        <v>0.0</v>
      </c>
      <c r="O43" s="136">
        <v>56.83333</v>
      </c>
      <c r="P43" s="136">
        <v>100.0</v>
      </c>
      <c r="Q43" s="136">
        <v>56.83333</v>
      </c>
      <c r="R43" s="136" t="s">
        <v>4045</v>
      </c>
      <c r="S43" s="136">
        <v>72.85714</v>
      </c>
      <c r="T43" s="136">
        <v>1.0</v>
      </c>
      <c r="U43" s="138">
        <v>45747.89059027778</v>
      </c>
      <c r="V43" s="140"/>
      <c r="W43" s="140"/>
      <c r="X43" s="140"/>
      <c r="Y43" s="140"/>
      <c r="Z43" s="140"/>
    </row>
    <row r="44">
      <c r="A44" s="135" t="s">
        <v>4373</v>
      </c>
      <c r="B44" s="136" t="s">
        <v>4374</v>
      </c>
      <c r="C44" s="136" t="s">
        <v>4375</v>
      </c>
      <c r="D44" s="136" t="s">
        <v>4376</v>
      </c>
      <c r="E44" s="136">
        <v>2025.0</v>
      </c>
      <c r="F44" s="136" t="s">
        <v>3771</v>
      </c>
      <c r="G44" s="136" t="s">
        <v>5646</v>
      </c>
      <c r="H44" s="136" t="s">
        <v>5747</v>
      </c>
      <c r="I44" s="136" t="s">
        <v>4043</v>
      </c>
      <c r="J44" s="136" t="s">
        <v>4689</v>
      </c>
      <c r="K44" s="136">
        <v>73.0</v>
      </c>
      <c r="L44" s="136">
        <v>71.0</v>
      </c>
      <c r="M44" s="136">
        <v>33.6</v>
      </c>
      <c r="N44" s="136">
        <v>0.0</v>
      </c>
      <c r="O44" s="136">
        <v>33.6</v>
      </c>
      <c r="P44" s="136">
        <v>100.0</v>
      </c>
      <c r="Q44" s="136">
        <v>33.6</v>
      </c>
      <c r="R44" s="136" t="s">
        <v>4045</v>
      </c>
      <c r="S44" s="136">
        <v>40.0</v>
      </c>
      <c r="T44" s="136">
        <v>3.0</v>
      </c>
      <c r="U44" s="138">
        <v>45747.79518518518</v>
      </c>
      <c r="V44" s="140"/>
      <c r="W44" s="140"/>
      <c r="X44" s="140"/>
      <c r="Y44" s="140"/>
      <c r="Z44" s="140"/>
    </row>
    <row r="45">
      <c r="A45" s="135" t="s">
        <v>4378</v>
      </c>
      <c r="B45" s="136" t="s">
        <v>4379</v>
      </c>
      <c r="C45" s="136" t="s">
        <v>3788</v>
      </c>
      <c r="D45" s="136" t="s">
        <v>3784</v>
      </c>
      <c r="E45" s="136">
        <v>2025.0</v>
      </c>
      <c r="F45" s="136" t="s">
        <v>3771</v>
      </c>
      <c r="G45" s="136" t="s">
        <v>5646</v>
      </c>
      <c r="H45" s="136" t="s">
        <v>5748</v>
      </c>
      <c r="I45" s="136" t="s">
        <v>4043</v>
      </c>
      <c r="J45" s="136" t="s">
        <v>5749</v>
      </c>
      <c r="K45" s="136">
        <v>73.0</v>
      </c>
      <c r="L45" s="136">
        <v>73.0</v>
      </c>
      <c r="M45" s="136">
        <v>68.16667</v>
      </c>
      <c r="N45" s="136">
        <v>0.0</v>
      </c>
      <c r="O45" s="136">
        <v>68.16667</v>
      </c>
      <c r="P45" s="136">
        <v>100.0</v>
      </c>
      <c r="Q45" s="136">
        <v>68.16667</v>
      </c>
      <c r="R45" s="136" t="s">
        <v>4200</v>
      </c>
      <c r="S45" s="136">
        <v>74.66667</v>
      </c>
      <c r="T45" s="136">
        <v>1.0</v>
      </c>
      <c r="U45" s="138">
        <v>45747.50146990741</v>
      </c>
      <c r="V45" s="140"/>
      <c r="W45" s="140"/>
      <c r="X45" s="140"/>
      <c r="Y45" s="140"/>
      <c r="Z45" s="140"/>
    </row>
    <row r="46">
      <c r="A46" s="135" t="s">
        <v>4382</v>
      </c>
      <c r="B46" s="136" t="s">
        <v>4383</v>
      </c>
      <c r="C46" s="136" t="s">
        <v>4384</v>
      </c>
      <c r="D46" s="136" t="s">
        <v>4385</v>
      </c>
      <c r="E46" s="136">
        <v>2025.0</v>
      </c>
      <c r="F46" s="136" t="s">
        <v>3771</v>
      </c>
      <c r="G46" s="136" t="s">
        <v>5646</v>
      </c>
      <c r="H46" s="136" t="s">
        <v>5750</v>
      </c>
      <c r="I46" s="136" t="s">
        <v>4043</v>
      </c>
      <c r="J46" s="136" t="s">
        <v>5751</v>
      </c>
      <c r="K46" s="136">
        <v>73.0</v>
      </c>
      <c r="L46" s="136">
        <v>70.0</v>
      </c>
      <c r="M46" s="136">
        <v>46.0</v>
      </c>
      <c r="N46" s="136">
        <v>0.0</v>
      </c>
      <c r="O46" s="136">
        <v>46.0</v>
      </c>
      <c r="P46" s="136">
        <v>100.0</v>
      </c>
      <c r="Q46" s="136">
        <v>46.0</v>
      </c>
      <c r="R46" s="136" t="s">
        <v>4045</v>
      </c>
      <c r="S46" s="136">
        <v>65.71429</v>
      </c>
      <c r="T46" s="136">
        <v>3.0</v>
      </c>
      <c r="U46" s="138">
        <v>45747.67454861111</v>
      </c>
      <c r="V46" s="140"/>
      <c r="W46" s="140"/>
      <c r="X46" s="140"/>
      <c r="Y46" s="140"/>
      <c r="Z46" s="140"/>
    </row>
    <row r="47">
      <c r="A47" s="135" t="s">
        <v>4388</v>
      </c>
      <c r="B47" s="136" t="s">
        <v>4389</v>
      </c>
      <c r="C47" s="136" t="s">
        <v>4390</v>
      </c>
      <c r="D47" s="136" t="s">
        <v>4391</v>
      </c>
      <c r="E47" s="136">
        <v>2025.0</v>
      </c>
      <c r="F47" s="136" t="s">
        <v>3771</v>
      </c>
      <c r="G47" s="136" t="s">
        <v>5646</v>
      </c>
      <c r="H47" s="136" t="s">
        <v>5752</v>
      </c>
      <c r="I47" s="136" t="s">
        <v>4043</v>
      </c>
      <c r="J47" s="136" t="s">
        <v>5753</v>
      </c>
      <c r="K47" s="136">
        <v>73.0</v>
      </c>
      <c r="L47" s="136">
        <v>71.0</v>
      </c>
      <c r="M47" s="136">
        <v>57.0</v>
      </c>
      <c r="N47" s="136">
        <v>0.0</v>
      </c>
      <c r="O47" s="136">
        <v>57.0</v>
      </c>
      <c r="P47" s="136">
        <v>100.0</v>
      </c>
      <c r="Q47" s="136">
        <v>57.0</v>
      </c>
      <c r="R47" s="136" t="s">
        <v>4045</v>
      </c>
      <c r="S47" s="136">
        <v>68.05556</v>
      </c>
      <c r="T47" s="136">
        <v>3.0</v>
      </c>
      <c r="U47" s="138">
        <v>45747.85849537037</v>
      </c>
      <c r="V47" s="140"/>
      <c r="W47" s="140"/>
      <c r="X47" s="140"/>
      <c r="Y47" s="140"/>
      <c r="Z47" s="140"/>
    </row>
    <row r="48">
      <c r="A48" s="135" t="s">
        <v>4394</v>
      </c>
      <c r="B48" s="136" t="s">
        <v>4395</v>
      </c>
      <c r="C48" s="136" t="s">
        <v>4396</v>
      </c>
      <c r="D48" s="136" t="s">
        <v>4397</v>
      </c>
      <c r="E48" s="136">
        <v>2025.0</v>
      </c>
      <c r="F48" s="136" t="s">
        <v>3771</v>
      </c>
      <c r="G48" s="136" t="s">
        <v>5646</v>
      </c>
      <c r="H48" s="136" t="s">
        <v>5754</v>
      </c>
      <c r="I48" s="136" t="s">
        <v>4043</v>
      </c>
      <c r="J48" s="136" t="s">
        <v>4520</v>
      </c>
      <c r="K48" s="136">
        <v>73.0</v>
      </c>
      <c r="L48" s="136">
        <v>69.0</v>
      </c>
      <c r="M48" s="136">
        <v>52.3</v>
      </c>
      <c r="N48" s="136">
        <v>0.0</v>
      </c>
      <c r="O48" s="136">
        <v>52.3</v>
      </c>
      <c r="P48" s="136">
        <v>100.0</v>
      </c>
      <c r="Q48" s="136">
        <v>52.3</v>
      </c>
      <c r="R48" s="136" t="s">
        <v>4045</v>
      </c>
      <c r="S48" s="136">
        <v>53.52113</v>
      </c>
      <c r="T48" s="136">
        <v>1.0</v>
      </c>
      <c r="U48" s="138">
        <v>45748.56888888889</v>
      </c>
      <c r="V48" s="140"/>
      <c r="W48" s="140"/>
      <c r="X48" s="140"/>
      <c r="Y48" s="140"/>
      <c r="Z48" s="140"/>
    </row>
    <row r="49">
      <c r="A49" s="135" t="s">
        <v>4400</v>
      </c>
      <c r="B49" s="136" t="s">
        <v>4401</v>
      </c>
      <c r="C49" s="136" t="s">
        <v>4402</v>
      </c>
      <c r="D49" s="136" t="s">
        <v>4403</v>
      </c>
      <c r="E49" s="136">
        <v>2025.0</v>
      </c>
      <c r="F49" s="136" t="s">
        <v>3771</v>
      </c>
      <c r="G49" s="136" t="s">
        <v>5646</v>
      </c>
      <c r="H49" s="136" t="s">
        <v>5755</v>
      </c>
      <c r="I49" s="136" t="s">
        <v>4043</v>
      </c>
      <c r="J49" s="136" t="s">
        <v>4063</v>
      </c>
      <c r="K49" s="136">
        <v>73.0</v>
      </c>
      <c r="L49" s="136">
        <v>70.0</v>
      </c>
      <c r="M49" s="136">
        <v>37.0</v>
      </c>
      <c r="N49" s="136">
        <v>0.0</v>
      </c>
      <c r="O49" s="136">
        <v>37.0</v>
      </c>
      <c r="P49" s="136">
        <v>100.0</v>
      </c>
      <c r="Q49" s="136">
        <v>37.0</v>
      </c>
      <c r="R49" s="136" t="s">
        <v>4045</v>
      </c>
      <c r="S49" s="136">
        <v>52.11268</v>
      </c>
      <c r="T49" s="136">
        <v>1.0</v>
      </c>
      <c r="U49" s="138">
        <v>45748.45857638889</v>
      </c>
      <c r="V49" s="140"/>
      <c r="W49" s="140"/>
      <c r="X49" s="140"/>
      <c r="Y49" s="140"/>
      <c r="Z49" s="140"/>
    </row>
    <row r="50">
      <c r="A50" s="135" t="s">
        <v>4416</v>
      </c>
      <c r="B50" s="136" t="s">
        <v>4417</v>
      </c>
      <c r="C50" s="136" t="s">
        <v>4418</v>
      </c>
      <c r="D50" s="136" t="s">
        <v>4419</v>
      </c>
      <c r="E50" s="136">
        <v>2025.0</v>
      </c>
      <c r="F50" s="136" t="s">
        <v>3771</v>
      </c>
      <c r="G50" s="136" t="s">
        <v>5646</v>
      </c>
      <c r="H50" s="136" t="s">
        <v>5756</v>
      </c>
      <c r="I50" s="136" t="s">
        <v>4043</v>
      </c>
      <c r="J50" s="136" t="s">
        <v>5757</v>
      </c>
      <c r="K50" s="136">
        <v>73.0</v>
      </c>
      <c r="L50" s="136">
        <v>70.0</v>
      </c>
      <c r="M50" s="136">
        <v>36.0</v>
      </c>
      <c r="N50" s="136">
        <v>0.0</v>
      </c>
      <c r="O50" s="136">
        <v>36.0</v>
      </c>
      <c r="P50" s="136">
        <v>100.0</v>
      </c>
      <c r="Q50" s="136">
        <v>36.0</v>
      </c>
      <c r="R50" s="136" t="s">
        <v>4045</v>
      </c>
      <c r="S50" s="136">
        <v>51.42857</v>
      </c>
      <c r="T50" s="136">
        <v>2.0</v>
      </c>
      <c r="U50" s="138">
        <v>45747.78581018518</v>
      </c>
      <c r="V50" s="140"/>
      <c r="W50" s="140"/>
      <c r="X50" s="140"/>
      <c r="Y50" s="140"/>
      <c r="Z50" s="140"/>
    </row>
    <row r="51">
      <c r="A51" s="135" t="s">
        <v>4426</v>
      </c>
      <c r="B51" s="136" t="s">
        <v>4427</v>
      </c>
      <c r="C51" s="136" t="s">
        <v>4428</v>
      </c>
      <c r="D51" s="136" t="s">
        <v>4429</v>
      </c>
      <c r="E51" s="136">
        <v>2025.0</v>
      </c>
      <c r="F51" s="136" t="s">
        <v>3771</v>
      </c>
      <c r="G51" s="136" t="s">
        <v>5646</v>
      </c>
      <c r="H51" s="136" t="s">
        <v>5758</v>
      </c>
      <c r="I51" s="136" t="s">
        <v>4043</v>
      </c>
      <c r="J51" s="136" t="s">
        <v>5561</v>
      </c>
      <c r="K51" s="136">
        <v>73.0</v>
      </c>
      <c r="L51" s="136">
        <v>70.0</v>
      </c>
      <c r="M51" s="136">
        <v>26.0</v>
      </c>
      <c r="N51" s="136">
        <v>0.0</v>
      </c>
      <c r="O51" s="136">
        <v>26.0</v>
      </c>
      <c r="P51" s="136">
        <v>100.0</v>
      </c>
      <c r="Q51" s="136">
        <v>26.0</v>
      </c>
      <c r="R51" s="136" t="s">
        <v>4045</v>
      </c>
      <c r="S51" s="136">
        <v>37.14286</v>
      </c>
      <c r="T51" s="136">
        <v>1.0</v>
      </c>
      <c r="U51" s="138">
        <v>45747.85523148148</v>
      </c>
      <c r="V51" s="140"/>
      <c r="W51" s="140"/>
      <c r="X51" s="140"/>
      <c r="Y51" s="140"/>
      <c r="Z51" s="140"/>
    </row>
    <row r="52">
      <c r="A52" s="135" t="s">
        <v>4432</v>
      </c>
      <c r="B52" s="136" t="s">
        <v>3986</v>
      </c>
      <c r="C52" s="136" t="s">
        <v>3988</v>
      </c>
      <c r="D52" s="136" t="s">
        <v>3983</v>
      </c>
      <c r="E52" s="136">
        <v>2025.0</v>
      </c>
      <c r="F52" s="136" t="s">
        <v>3771</v>
      </c>
      <c r="G52" s="136" t="s">
        <v>5646</v>
      </c>
      <c r="H52" s="136" t="s">
        <v>5759</v>
      </c>
      <c r="I52" s="136" t="s">
        <v>4152</v>
      </c>
      <c r="J52" s="136" t="s">
        <v>4153</v>
      </c>
      <c r="K52" s="136" t="s">
        <v>1003</v>
      </c>
      <c r="L52" s="136" t="s">
        <v>1003</v>
      </c>
      <c r="M52" s="136" t="s">
        <v>1003</v>
      </c>
      <c r="N52" s="136" t="s">
        <v>1003</v>
      </c>
      <c r="O52" s="136" t="s">
        <v>1003</v>
      </c>
      <c r="P52" s="136" t="s">
        <v>1003</v>
      </c>
      <c r="Q52" s="136" t="s">
        <v>1003</v>
      </c>
      <c r="R52" s="136" t="s">
        <v>1003</v>
      </c>
      <c r="S52" s="136" t="s">
        <v>1003</v>
      </c>
      <c r="T52" s="136">
        <v>0.0</v>
      </c>
      <c r="U52" s="136" t="s">
        <v>1003</v>
      </c>
      <c r="V52" s="140"/>
      <c r="W52" s="140"/>
      <c r="X52" s="140"/>
      <c r="Y52" s="140"/>
      <c r="Z52" s="140"/>
    </row>
    <row r="53">
      <c r="A53" s="135" t="s">
        <v>4435</v>
      </c>
      <c r="B53" s="136" t="s">
        <v>4436</v>
      </c>
      <c r="C53" s="136" t="s">
        <v>1100</v>
      </c>
      <c r="D53" s="136" t="s">
        <v>88</v>
      </c>
      <c r="E53" s="136">
        <v>2025.0</v>
      </c>
      <c r="F53" s="136" t="s">
        <v>1006</v>
      </c>
      <c r="G53" s="136" t="s">
        <v>5646</v>
      </c>
      <c r="H53" s="136" t="s">
        <v>5760</v>
      </c>
      <c r="I53" s="136" t="s">
        <v>4043</v>
      </c>
      <c r="J53" s="136" t="s">
        <v>5761</v>
      </c>
      <c r="K53" s="136">
        <v>73.0</v>
      </c>
      <c r="L53" s="136">
        <v>70.0</v>
      </c>
      <c r="M53" s="136">
        <v>37.0</v>
      </c>
      <c r="N53" s="136">
        <v>0.0</v>
      </c>
      <c r="O53" s="136">
        <v>37.0</v>
      </c>
      <c r="P53" s="136">
        <v>100.0</v>
      </c>
      <c r="Q53" s="136">
        <v>37.0</v>
      </c>
      <c r="R53" s="136" t="s">
        <v>4045</v>
      </c>
      <c r="S53" s="136">
        <v>52.85714</v>
      </c>
      <c r="T53" s="136">
        <v>1.0</v>
      </c>
      <c r="U53" s="138">
        <v>45747.543217592596</v>
      </c>
      <c r="V53" s="140"/>
      <c r="W53" s="140"/>
      <c r="X53" s="140"/>
      <c r="Y53" s="140"/>
      <c r="Z53" s="140"/>
    </row>
    <row r="54">
      <c r="A54" s="135" t="s">
        <v>4439</v>
      </c>
      <c r="B54" s="136" t="s">
        <v>93</v>
      </c>
      <c r="C54" s="136" t="s">
        <v>1107</v>
      </c>
      <c r="D54" s="136" t="s">
        <v>92</v>
      </c>
      <c r="E54" s="136">
        <v>2025.0</v>
      </c>
      <c r="F54" s="136" t="s">
        <v>1006</v>
      </c>
      <c r="G54" s="136" t="s">
        <v>5646</v>
      </c>
      <c r="H54" s="136" t="s">
        <v>5762</v>
      </c>
      <c r="I54" s="136" t="s">
        <v>4043</v>
      </c>
      <c r="J54" s="136" t="s">
        <v>5763</v>
      </c>
      <c r="K54" s="136">
        <v>73.0</v>
      </c>
      <c r="L54" s="136">
        <v>72.0</v>
      </c>
      <c r="M54" s="136">
        <v>64.43333</v>
      </c>
      <c r="N54" s="136">
        <v>0.0</v>
      </c>
      <c r="O54" s="136">
        <v>64.43333</v>
      </c>
      <c r="P54" s="136">
        <v>100.0</v>
      </c>
      <c r="Q54" s="136">
        <v>64.43333</v>
      </c>
      <c r="R54" s="136" t="s">
        <v>4200</v>
      </c>
      <c r="S54" s="136">
        <v>76.38889</v>
      </c>
      <c r="T54" s="136">
        <v>1.0</v>
      </c>
      <c r="U54" s="138">
        <v>45747.918599537035</v>
      </c>
      <c r="V54" s="140"/>
      <c r="W54" s="140"/>
      <c r="X54" s="140"/>
      <c r="Y54" s="140"/>
      <c r="Z54" s="140"/>
    </row>
    <row r="55">
      <c r="A55" s="135" t="s">
        <v>4442</v>
      </c>
      <c r="B55" s="136" t="s">
        <v>108</v>
      </c>
      <c r="C55" s="136" t="s">
        <v>4443</v>
      </c>
      <c r="D55" s="136" t="s">
        <v>107</v>
      </c>
      <c r="E55" s="136">
        <v>2025.0</v>
      </c>
      <c r="F55" s="136" t="s">
        <v>1006</v>
      </c>
      <c r="G55" s="136" t="s">
        <v>5646</v>
      </c>
      <c r="H55" s="136" t="s">
        <v>5764</v>
      </c>
      <c r="I55" s="136" t="s">
        <v>4043</v>
      </c>
      <c r="J55" s="136" t="s">
        <v>4604</v>
      </c>
      <c r="K55" s="136">
        <v>73.0</v>
      </c>
      <c r="L55" s="136">
        <v>69.0</v>
      </c>
      <c r="M55" s="136">
        <v>23.26667</v>
      </c>
      <c r="N55" s="136">
        <v>0.0</v>
      </c>
      <c r="O55" s="136">
        <v>23.26667</v>
      </c>
      <c r="P55" s="136">
        <v>100.0</v>
      </c>
      <c r="Q55" s="136">
        <v>23.26667</v>
      </c>
      <c r="R55" s="136" t="s">
        <v>4045</v>
      </c>
      <c r="S55" s="136">
        <v>25.0</v>
      </c>
      <c r="T55" s="136">
        <v>2.0</v>
      </c>
      <c r="U55" s="138">
        <v>45748.307488425926</v>
      </c>
      <c r="V55" s="140"/>
      <c r="W55" s="140"/>
      <c r="X55" s="140"/>
      <c r="Y55" s="140"/>
      <c r="Z55" s="140"/>
    </row>
    <row r="56">
      <c r="A56" s="135" t="s">
        <v>5765</v>
      </c>
      <c r="B56" s="136" t="s">
        <v>110</v>
      </c>
      <c r="C56" s="136" t="s">
        <v>1150</v>
      </c>
      <c r="D56" s="136" t="s">
        <v>5766</v>
      </c>
      <c r="E56" s="136">
        <v>2025.0</v>
      </c>
      <c r="F56" s="136" t="s">
        <v>1006</v>
      </c>
      <c r="G56" s="136" t="s">
        <v>5646</v>
      </c>
      <c r="H56" s="136" t="s">
        <v>5767</v>
      </c>
      <c r="I56" s="136" t="s">
        <v>4043</v>
      </c>
      <c r="J56" s="136" t="s">
        <v>5672</v>
      </c>
      <c r="K56" s="136">
        <v>73.0</v>
      </c>
      <c r="L56" s="136">
        <v>72.0</v>
      </c>
      <c r="M56" s="136">
        <v>61.36667</v>
      </c>
      <c r="N56" s="136">
        <v>0.0</v>
      </c>
      <c r="O56" s="136">
        <v>61.36667</v>
      </c>
      <c r="P56" s="136">
        <v>100.0</v>
      </c>
      <c r="Q56" s="136">
        <v>61.36667</v>
      </c>
      <c r="R56" s="136" t="s">
        <v>4200</v>
      </c>
      <c r="S56" s="136">
        <v>75.34247</v>
      </c>
      <c r="T56" s="136">
        <v>5.0</v>
      </c>
      <c r="U56" s="138">
        <v>45747.4131712963</v>
      </c>
      <c r="V56" s="140"/>
      <c r="W56" s="140"/>
      <c r="X56" s="140"/>
      <c r="Y56" s="140"/>
      <c r="Z56" s="140"/>
    </row>
    <row r="57">
      <c r="A57" s="135" t="s">
        <v>4446</v>
      </c>
      <c r="B57" s="136" t="s">
        <v>129</v>
      </c>
      <c r="C57" s="136" t="s">
        <v>1195</v>
      </c>
      <c r="D57" s="136" t="s">
        <v>128</v>
      </c>
      <c r="E57" s="136">
        <v>2025.0</v>
      </c>
      <c r="F57" s="136" t="s">
        <v>1006</v>
      </c>
      <c r="G57" s="136" t="s">
        <v>5646</v>
      </c>
      <c r="H57" s="136" t="s">
        <v>5768</v>
      </c>
      <c r="I57" s="136" t="s">
        <v>4043</v>
      </c>
      <c r="J57" s="136" t="s">
        <v>5769</v>
      </c>
      <c r="K57" s="136">
        <v>73.0</v>
      </c>
      <c r="L57" s="136">
        <v>72.0</v>
      </c>
      <c r="M57" s="136">
        <v>66.53333</v>
      </c>
      <c r="N57" s="136">
        <v>0.0</v>
      </c>
      <c r="O57" s="136">
        <v>66.53333</v>
      </c>
      <c r="P57" s="136">
        <v>100.0</v>
      </c>
      <c r="Q57" s="136">
        <v>66.53333</v>
      </c>
      <c r="R57" s="136" t="s">
        <v>4200</v>
      </c>
      <c r="S57" s="136">
        <v>75.67568</v>
      </c>
      <c r="T57" s="136">
        <v>1.0</v>
      </c>
      <c r="U57" s="138">
        <v>45747.9669212963</v>
      </c>
      <c r="V57" s="140"/>
      <c r="W57" s="140"/>
      <c r="X57" s="140"/>
      <c r="Y57" s="140"/>
      <c r="Z57" s="140"/>
    </row>
    <row r="58">
      <c r="A58" s="135" t="s">
        <v>4449</v>
      </c>
      <c r="B58" s="136" t="s">
        <v>135</v>
      </c>
      <c r="C58" s="136" t="s">
        <v>1210</v>
      </c>
      <c r="D58" s="136" t="s">
        <v>134</v>
      </c>
      <c r="E58" s="136">
        <v>2025.0</v>
      </c>
      <c r="F58" s="136" t="s">
        <v>1006</v>
      </c>
      <c r="G58" s="136" t="s">
        <v>5646</v>
      </c>
      <c r="H58" s="136" t="s">
        <v>5770</v>
      </c>
      <c r="I58" s="136" t="s">
        <v>4043</v>
      </c>
      <c r="J58" s="136" t="s">
        <v>5771</v>
      </c>
      <c r="K58" s="136">
        <v>73.0</v>
      </c>
      <c r="L58" s="136">
        <v>71.0</v>
      </c>
      <c r="M58" s="136">
        <v>46.7</v>
      </c>
      <c r="N58" s="136">
        <v>0.0</v>
      </c>
      <c r="O58" s="136">
        <v>46.7</v>
      </c>
      <c r="P58" s="136">
        <v>100.0</v>
      </c>
      <c r="Q58" s="136">
        <v>46.7</v>
      </c>
      <c r="R58" s="136" t="s">
        <v>4045</v>
      </c>
      <c r="S58" s="136">
        <v>58.57143</v>
      </c>
      <c r="T58" s="136">
        <v>3.0</v>
      </c>
      <c r="U58" s="138">
        <v>45747.548159722224</v>
      </c>
      <c r="V58" s="140"/>
      <c r="W58" s="140"/>
      <c r="X58" s="140"/>
      <c r="Y58" s="140"/>
      <c r="Z58" s="140"/>
    </row>
    <row r="59">
      <c r="A59" s="135" t="s">
        <v>4452</v>
      </c>
      <c r="B59" s="136" t="s">
        <v>4453</v>
      </c>
      <c r="C59" s="136" t="s">
        <v>4454</v>
      </c>
      <c r="D59" s="136" t="s">
        <v>4455</v>
      </c>
      <c r="E59" s="136">
        <v>2025.0</v>
      </c>
      <c r="F59" s="136" t="s">
        <v>1006</v>
      </c>
      <c r="G59" s="136" t="s">
        <v>5646</v>
      </c>
      <c r="H59" s="136" t="s">
        <v>5772</v>
      </c>
      <c r="I59" s="136" t="s">
        <v>4043</v>
      </c>
      <c r="J59" s="136" t="s">
        <v>5773</v>
      </c>
      <c r="K59" s="136">
        <v>73.0</v>
      </c>
      <c r="L59" s="136">
        <v>71.0</v>
      </c>
      <c r="M59" s="136">
        <v>48.0</v>
      </c>
      <c r="N59" s="136">
        <v>0.0</v>
      </c>
      <c r="O59" s="136">
        <v>48.0</v>
      </c>
      <c r="P59" s="136">
        <v>100.0</v>
      </c>
      <c r="Q59" s="136">
        <v>48.0</v>
      </c>
      <c r="R59" s="136" t="s">
        <v>4045</v>
      </c>
      <c r="S59" s="136">
        <v>66.66667</v>
      </c>
      <c r="T59" s="136">
        <v>2.0</v>
      </c>
      <c r="U59" s="138">
        <v>45747.94758101852</v>
      </c>
      <c r="V59" s="140"/>
      <c r="W59" s="140"/>
      <c r="X59" s="140"/>
      <c r="Y59" s="140"/>
      <c r="Z59" s="140"/>
    </row>
    <row r="60">
      <c r="A60" s="135" t="s">
        <v>4466</v>
      </c>
      <c r="B60" s="136" t="s">
        <v>4467</v>
      </c>
      <c r="C60" s="136" t="s">
        <v>1289</v>
      </c>
      <c r="D60" s="136" t="s">
        <v>4468</v>
      </c>
      <c r="E60" s="136">
        <v>2025.0</v>
      </c>
      <c r="F60" s="136" t="s">
        <v>1006</v>
      </c>
      <c r="G60" s="136" t="s">
        <v>5646</v>
      </c>
      <c r="H60" s="136" t="s">
        <v>5774</v>
      </c>
      <c r="I60" s="136" t="s">
        <v>4043</v>
      </c>
      <c r="J60" s="136" t="s">
        <v>5119</v>
      </c>
      <c r="K60" s="136">
        <v>73.0</v>
      </c>
      <c r="L60" s="136">
        <v>72.0</v>
      </c>
      <c r="M60" s="136">
        <v>54.43333</v>
      </c>
      <c r="N60" s="136">
        <v>0.0</v>
      </c>
      <c r="O60" s="136">
        <v>54.43333</v>
      </c>
      <c r="P60" s="136">
        <v>100.0</v>
      </c>
      <c r="Q60" s="136">
        <v>54.43333</v>
      </c>
      <c r="R60" s="136" t="s">
        <v>4045</v>
      </c>
      <c r="S60" s="136">
        <v>57.53425</v>
      </c>
      <c r="T60" s="136">
        <v>1.0</v>
      </c>
      <c r="U60" s="138">
        <v>45747.487233796295</v>
      </c>
      <c r="V60" s="140"/>
      <c r="W60" s="140"/>
      <c r="X60" s="140"/>
      <c r="Y60" s="140"/>
      <c r="Z60" s="140"/>
    </row>
    <row r="61">
      <c r="A61" s="135" t="s">
        <v>4471</v>
      </c>
      <c r="B61" s="136" t="s">
        <v>4472</v>
      </c>
      <c r="C61" s="136" t="s">
        <v>1297</v>
      </c>
      <c r="D61" s="136" t="s">
        <v>165</v>
      </c>
      <c r="E61" s="136">
        <v>2025.0</v>
      </c>
      <c r="F61" s="136" t="s">
        <v>1006</v>
      </c>
      <c r="G61" s="136" t="s">
        <v>5646</v>
      </c>
      <c r="H61" s="136" t="s">
        <v>5775</v>
      </c>
      <c r="I61" s="136" t="s">
        <v>4043</v>
      </c>
      <c r="J61" s="136" t="s">
        <v>5776</v>
      </c>
      <c r="K61" s="136">
        <v>73.0</v>
      </c>
      <c r="L61" s="136">
        <v>71.0</v>
      </c>
      <c r="M61" s="136">
        <v>48.26667</v>
      </c>
      <c r="N61" s="136">
        <v>0.0</v>
      </c>
      <c r="O61" s="136">
        <v>48.26667</v>
      </c>
      <c r="P61" s="136">
        <v>100.0</v>
      </c>
      <c r="Q61" s="136">
        <v>48.26667</v>
      </c>
      <c r="R61" s="136" t="s">
        <v>4045</v>
      </c>
      <c r="S61" s="136">
        <v>60.0</v>
      </c>
      <c r="T61" s="136">
        <v>2.0</v>
      </c>
      <c r="U61" s="138">
        <v>45747.632523148146</v>
      </c>
      <c r="V61" s="140"/>
      <c r="W61" s="140"/>
      <c r="X61" s="140"/>
      <c r="Y61" s="140"/>
      <c r="Z61" s="140"/>
    </row>
    <row r="62">
      <c r="A62" s="135" t="s">
        <v>5777</v>
      </c>
      <c r="B62" s="136" t="s">
        <v>5778</v>
      </c>
      <c r="C62" s="136" t="s">
        <v>1327</v>
      </c>
      <c r="D62" s="136" t="s">
        <v>5779</v>
      </c>
      <c r="E62" s="136">
        <v>2025.0</v>
      </c>
      <c r="F62" s="136" t="s">
        <v>1006</v>
      </c>
      <c r="G62" s="136" t="s">
        <v>5646</v>
      </c>
      <c r="H62" s="136" t="s">
        <v>5780</v>
      </c>
      <c r="I62" s="136" t="s">
        <v>4043</v>
      </c>
      <c r="J62" s="136" t="s">
        <v>5781</v>
      </c>
      <c r="K62" s="136">
        <v>73.0</v>
      </c>
      <c r="L62" s="136">
        <v>70.0</v>
      </c>
      <c r="M62" s="136">
        <v>39.0</v>
      </c>
      <c r="N62" s="136">
        <v>0.0</v>
      </c>
      <c r="O62" s="136">
        <v>39.0</v>
      </c>
      <c r="P62" s="136">
        <v>100.0</v>
      </c>
      <c r="Q62" s="136">
        <v>39.0</v>
      </c>
      <c r="R62" s="136" t="s">
        <v>4045</v>
      </c>
      <c r="S62" s="136">
        <v>55.71429</v>
      </c>
      <c r="T62" s="136">
        <v>2.0</v>
      </c>
      <c r="U62" s="138">
        <v>45747.66170138889</v>
      </c>
      <c r="V62" s="140"/>
      <c r="W62" s="140"/>
      <c r="X62" s="140"/>
      <c r="Y62" s="140"/>
      <c r="Z62" s="140"/>
    </row>
    <row r="63">
      <c r="A63" s="135" t="s">
        <v>4475</v>
      </c>
      <c r="B63" s="136" t="s">
        <v>180</v>
      </c>
      <c r="C63" s="136" t="s">
        <v>1342</v>
      </c>
      <c r="D63" s="136" t="s">
        <v>4476</v>
      </c>
      <c r="E63" s="136">
        <v>2025.0</v>
      </c>
      <c r="F63" s="136" t="s">
        <v>1006</v>
      </c>
      <c r="G63" s="136" t="s">
        <v>5646</v>
      </c>
      <c r="H63" s="136" t="s">
        <v>5782</v>
      </c>
      <c r="I63" s="136" t="s">
        <v>4043</v>
      </c>
      <c r="J63" s="136" t="s">
        <v>5645</v>
      </c>
      <c r="K63" s="136">
        <v>73.0</v>
      </c>
      <c r="L63" s="136">
        <v>71.0</v>
      </c>
      <c r="M63" s="136">
        <v>39.03333</v>
      </c>
      <c r="N63" s="136">
        <v>0.0</v>
      </c>
      <c r="O63" s="136">
        <v>39.03333</v>
      </c>
      <c r="P63" s="136">
        <v>100.0</v>
      </c>
      <c r="Q63" s="136">
        <v>39.03333</v>
      </c>
      <c r="R63" s="136" t="s">
        <v>4045</v>
      </c>
      <c r="S63" s="136">
        <v>47.14286</v>
      </c>
      <c r="T63" s="136">
        <v>2.0</v>
      </c>
      <c r="U63" s="138">
        <v>45747.75356481481</v>
      </c>
      <c r="V63" s="140"/>
      <c r="W63" s="140"/>
      <c r="X63" s="140"/>
      <c r="Y63" s="140"/>
      <c r="Z63" s="140"/>
    </row>
    <row r="64">
      <c r="A64" s="135" t="s">
        <v>4482</v>
      </c>
      <c r="B64" s="136" t="s">
        <v>4483</v>
      </c>
      <c r="C64" s="136" t="s">
        <v>1406</v>
      </c>
      <c r="D64" s="136" t="s">
        <v>202</v>
      </c>
      <c r="E64" s="136">
        <v>2025.0</v>
      </c>
      <c r="F64" s="136" t="s">
        <v>1006</v>
      </c>
      <c r="G64" s="136" t="s">
        <v>5646</v>
      </c>
      <c r="H64" s="136" t="s">
        <v>5783</v>
      </c>
      <c r="I64" s="136" t="s">
        <v>4043</v>
      </c>
      <c r="J64" s="136" t="s">
        <v>5784</v>
      </c>
      <c r="K64" s="136">
        <v>73.0</v>
      </c>
      <c r="L64" s="136">
        <v>71.0</v>
      </c>
      <c r="M64" s="136">
        <v>39.66667</v>
      </c>
      <c r="N64" s="136">
        <v>0.0</v>
      </c>
      <c r="O64" s="136">
        <v>39.66667</v>
      </c>
      <c r="P64" s="136">
        <v>100.0</v>
      </c>
      <c r="Q64" s="136">
        <v>39.66667</v>
      </c>
      <c r="R64" s="136" t="s">
        <v>4045</v>
      </c>
      <c r="S64" s="136">
        <v>47.14286</v>
      </c>
      <c r="T64" s="136">
        <v>1.0</v>
      </c>
      <c r="U64" s="138">
        <v>45748.932442129626</v>
      </c>
      <c r="V64" s="140"/>
      <c r="W64" s="140"/>
      <c r="X64" s="140"/>
      <c r="Y64" s="140"/>
      <c r="Z64" s="140"/>
    </row>
    <row r="65">
      <c r="A65" s="135" t="s">
        <v>5785</v>
      </c>
      <c r="B65" s="136" t="s">
        <v>217</v>
      </c>
      <c r="C65" s="136" t="s">
        <v>5786</v>
      </c>
      <c r="D65" s="136" t="s">
        <v>216</v>
      </c>
      <c r="E65" s="136">
        <v>2025.0</v>
      </c>
      <c r="F65" s="136" t="s">
        <v>1006</v>
      </c>
      <c r="G65" s="136" t="s">
        <v>5646</v>
      </c>
      <c r="H65" s="136" t="s">
        <v>5787</v>
      </c>
      <c r="I65" s="136" t="s">
        <v>4043</v>
      </c>
      <c r="J65" s="136" t="s">
        <v>5788</v>
      </c>
      <c r="K65" s="136">
        <v>73.0</v>
      </c>
      <c r="L65" s="136">
        <v>71.0</v>
      </c>
      <c r="M65" s="136">
        <v>68.73333</v>
      </c>
      <c r="N65" s="136">
        <v>0.0</v>
      </c>
      <c r="O65" s="136">
        <v>68.73333</v>
      </c>
      <c r="P65" s="136">
        <v>100.0</v>
      </c>
      <c r="Q65" s="136">
        <v>68.73333</v>
      </c>
      <c r="R65" s="136" t="s">
        <v>4200</v>
      </c>
      <c r="S65" s="136">
        <v>77.77778</v>
      </c>
      <c r="T65" s="136">
        <v>1.0</v>
      </c>
      <c r="U65" s="138">
        <v>45747.92119212963</v>
      </c>
      <c r="V65" s="140"/>
      <c r="W65" s="140"/>
      <c r="X65" s="140"/>
      <c r="Y65" s="140"/>
      <c r="Z65" s="140"/>
    </row>
    <row r="66">
      <c r="A66" s="135" t="s">
        <v>4486</v>
      </c>
      <c r="B66" s="136" t="s">
        <v>219</v>
      </c>
      <c r="C66" s="136" t="s">
        <v>1451</v>
      </c>
      <c r="D66" s="136" t="s">
        <v>218</v>
      </c>
      <c r="E66" s="136">
        <v>2025.0</v>
      </c>
      <c r="F66" s="136" t="s">
        <v>1006</v>
      </c>
      <c r="G66" s="136" t="s">
        <v>5646</v>
      </c>
      <c r="H66" s="136" t="s">
        <v>5789</v>
      </c>
      <c r="I66" s="136" t="s">
        <v>4043</v>
      </c>
      <c r="J66" s="136" t="s">
        <v>4894</v>
      </c>
      <c r="K66" s="136">
        <v>73.0</v>
      </c>
      <c r="L66" s="136">
        <v>72.0</v>
      </c>
      <c r="M66" s="136">
        <v>55.7</v>
      </c>
      <c r="N66" s="136">
        <v>0.0</v>
      </c>
      <c r="O66" s="136">
        <v>55.7</v>
      </c>
      <c r="P66" s="136">
        <v>100.0</v>
      </c>
      <c r="Q66" s="136">
        <v>55.7</v>
      </c>
      <c r="R66" s="136" t="s">
        <v>4045</v>
      </c>
      <c r="S66" s="136">
        <v>60.27397</v>
      </c>
      <c r="T66" s="136">
        <v>2.0</v>
      </c>
      <c r="U66" s="138">
        <v>45747.96607638889</v>
      </c>
      <c r="V66" s="140"/>
      <c r="W66" s="140"/>
      <c r="X66" s="140"/>
      <c r="Y66" s="140"/>
      <c r="Z66" s="140"/>
    </row>
    <row r="67">
      <c r="A67" s="135" t="s">
        <v>4492</v>
      </c>
      <c r="B67" s="136" t="s">
        <v>4493</v>
      </c>
      <c r="C67" s="136" t="s">
        <v>1487</v>
      </c>
      <c r="D67" s="136" t="s">
        <v>232</v>
      </c>
      <c r="E67" s="136">
        <v>2025.0</v>
      </c>
      <c r="F67" s="136" t="s">
        <v>1006</v>
      </c>
      <c r="G67" s="136" t="s">
        <v>5646</v>
      </c>
      <c r="H67" s="136" t="s">
        <v>5790</v>
      </c>
      <c r="I67" s="136" t="s">
        <v>4043</v>
      </c>
      <c r="J67" s="136" t="s">
        <v>5791</v>
      </c>
      <c r="K67" s="136">
        <v>73.0</v>
      </c>
      <c r="L67" s="136">
        <v>71.0</v>
      </c>
      <c r="M67" s="136">
        <v>31.63333</v>
      </c>
      <c r="N67" s="136">
        <v>0.0</v>
      </c>
      <c r="O67" s="136">
        <v>31.63333</v>
      </c>
      <c r="P67" s="136">
        <v>100.0</v>
      </c>
      <c r="Q67" s="136">
        <v>31.63333</v>
      </c>
      <c r="R67" s="136" t="s">
        <v>4045</v>
      </c>
      <c r="S67" s="136">
        <v>35.71429</v>
      </c>
      <c r="T67" s="136">
        <v>1.0</v>
      </c>
      <c r="U67" s="138">
        <v>45748.463854166665</v>
      </c>
      <c r="V67" s="140"/>
      <c r="W67" s="140"/>
      <c r="X67" s="140"/>
      <c r="Y67" s="140"/>
      <c r="Z67" s="140"/>
    </row>
    <row r="68">
      <c r="A68" s="135" t="s">
        <v>4667</v>
      </c>
      <c r="B68" s="136" t="s">
        <v>239</v>
      </c>
      <c r="C68" s="136" t="s">
        <v>1501</v>
      </c>
      <c r="D68" s="136" t="s">
        <v>4668</v>
      </c>
      <c r="E68" s="136">
        <v>2025.0</v>
      </c>
      <c r="F68" s="136" t="s">
        <v>1006</v>
      </c>
      <c r="G68" s="136" t="s">
        <v>5646</v>
      </c>
      <c r="H68" s="136" t="s">
        <v>5792</v>
      </c>
      <c r="I68" s="136" t="s">
        <v>4043</v>
      </c>
      <c r="J68" s="136" t="s">
        <v>4594</v>
      </c>
      <c r="K68" s="136">
        <v>73.0</v>
      </c>
      <c r="L68" s="136">
        <v>71.0</v>
      </c>
      <c r="M68" s="136">
        <v>32.96667</v>
      </c>
      <c r="N68" s="136">
        <v>0.0</v>
      </c>
      <c r="O68" s="136">
        <v>32.96667</v>
      </c>
      <c r="P68" s="136">
        <v>100.0</v>
      </c>
      <c r="Q68" s="136">
        <v>32.96667</v>
      </c>
      <c r="R68" s="136" t="s">
        <v>4045</v>
      </c>
      <c r="S68" s="136">
        <v>40.0</v>
      </c>
      <c r="T68" s="136">
        <v>3.0</v>
      </c>
      <c r="U68" s="138">
        <v>45747.866875</v>
      </c>
      <c r="V68" s="140"/>
      <c r="W68" s="140"/>
      <c r="X68" s="140"/>
      <c r="Y68" s="140"/>
      <c r="Z68" s="140"/>
    </row>
    <row r="69">
      <c r="A69" s="135" t="s">
        <v>5793</v>
      </c>
      <c r="B69" s="136" t="s">
        <v>245</v>
      </c>
      <c r="C69" s="136" t="s">
        <v>5794</v>
      </c>
      <c r="D69" s="136" t="s">
        <v>5795</v>
      </c>
      <c r="E69" s="136">
        <v>2025.0</v>
      </c>
      <c r="F69" s="136" t="s">
        <v>1006</v>
      </c>
      <c r="G69" s="136" t="s">
        <v>5646</v>
      </c>
      <c r="H69" s="136" t="s">
        <v>5796</v>
      </c>
      <c r="I69" s="136" t="s">
        <v>4043</v>
      </c>
      <c r="J69" s="136" t="s">
        <v>5797</v>
      </c>
      <c r="K69" s="136">
        <v>73.0</v>
      </c>
      <c r="L69" s="136">
        <v>70.0</v>
      </c>
      <c r="M69" s="136">
        <v>37.0</v>
      </c>
      <c r="N69" s="136">
        <v>0.0</v>
      </c>
      <c r="O69" s="136">
        <v>37.0</v>
      </c>
      <c r="P69" s="136">
        <v>100.0</v>
      </c>
      <c r="Q69" s="136">
        <v>37.0</v>
      </c>
      <c r="R69" s="136" t="s">
        <v>4045</v>
      </c>
      <c r="S69" s="136">
        <v>52.85714</v>
      </c>
      <c r="T69" s="136">
        <v>2.0</v>
      </c>
      <c r="U69" s="138">
        <v>45747.86027777778</v>
      </c>
      <c r="V69" s="140"/>
      <c r="W69" s="140"/>
      <c r="X69" s="140"/>
      <c r="Y69" s="140"/>
      <c r="Z69" s="140"/>
    </row>
    <row r="70">
      <c r="A70" s="135" t="s">
        <v>4675</v>
      </c>
      <c r="B70" s="136" t="s">
        <v>249</v>
      </c>
      <c r="C70" s="136" t="s">
        <v>4676</v>
      </c>
      <c r="D70" s="136" t="s">
        <v>4677</v>
      </c>
      <c r="E70" s="136">
        <v>2025.0</v>
      </c>
      <c r="F70" s="136" t="s">
        <v>1006</v>
      </c>
      <c r="G70" s="136" t="s">
        <v>5646</v>
      </c>
      <c r="H70" s="136" t="s">
        <v>5798</v>
      </c>
      <c r="I70" s="136" t="s">
        <v>4043</v>
      </c>
      <c r="J70" s="136" t="s">
        <v>5799</v>
      </c>
      <c r="K70" s="136">
        <v>73.0</v>
      </c>
      <c r="L70" s="136">
        <v>69.0</v>
      </c>
      <c r="M70" s="136">
        <v>55.5</v>
      </c>
      <c r="N70" s="136">
        <v>0.0</v>
      </c>
      <c r="O70" s="136">
        <v>55.5</v>
      </c>
      <c r="P70" s="136">
        <v>100.0</v>
      </c>
      <c r="Q70" s="136">
        <v>55.5</v>
      </c>
      <c r="R70" s="136" t="s">
        <v>4045</v>
      </c>
      <c r="S70" s="136">
        <v>73.52941</v>
      </c>
      <c r="T70" s="136">
        <v>1.0</v>
      </c>
      <c r="U70" s="138">
        <v>45748.868252314816</v>
      </c>
      <c r="V70" s="140"/>
      <c r="W70" s="140"/>
      <c r="X70" s="140"/>
      <c r="Y70" s="140"/>
      <c r="Z70" s="140"/>
    </row>
    <row r="71">
      <c r="A71" s="135" t="s">
        <v>4496</v>
      </c>
      <c r="B71" s="136" t="s">
        <v>273</v>
      </c>
      <c r="C71" s="136" t="s">
        <v>1608</v>
      </c>
      <c r="D71" s="136" t="s">
        <v>4497</v>
      </c>
      <c r="E71" s="136">
        <v>2025.0</v>
      </c>
      <c r="F71" s="136" t="s">
        <v>1006</v>
      </c>
      <c r="G71" s="136" t="s">
        <v>5646</v>
      </c>
      <c r="H71" s="136" t="s">
        <v>5800</v>
      </c>
      <c r="I71" s="136" t="s">
        <v>4043</v>
      </c>
      <c r="J71" s="136" t="s">
        <v>5801</v>
      </c>
      <c r="K71" s="136">
        <v>73.0</v>
      </c>
      <c r="L71" s="136">
        <v>73.0</v>
      </c>
      <c r="M71" s="136">
        <v>37.43333</v>
      </c>
      <c r="N71" s="136">
        <v>0.0</v>
      </c>
      <c r="O71" s="136">
        <v>37.43333</v>
      </c>
      <c r="P71" s="136">
        <v>100.0</v>
      </c>
      <c r="Q71" s="136">
        <v>37.43333</v>
      </c>
      <c r="R71" s="136" t="s">
        <v>4045</v>
      </c>
      <c r="S71" s="136">
        <v>40.0</v>
      </c>
      <c r="T71" s="136">
        <v>1.0</v>
      </c>
      <c r="U71" s="138">
        <v>45747.92875</v>
      </c>
      <c r="V71" s="140"/>
      <c r="W71" s="140"/>
      <c r="X71" s="140"/>
      <c r="Y71" s="140"/>
      <c r="Z71" s="140"/>
    </row>
    <row r="72">
      <c r="A72" s="135" t="s">
        <v>4499</v>
      </c>
      <c r="B72" s="136" t="s">
        <v>4500</v>
      </c>
      <c r="C72" s="136" t="s">
        <v>1627</v>
      </c>
      <c r="D72" s="136" t="s">
        <v>279</v>
      </c>
      <c r="E72" s="136">
        <v>2025.0</v>
      </c>
      <c r="F72" s="136" t="s">
        <v>1006</v>
      </c>
      <c r="G72" s="136" t="s">
        <v>5646</v>
      </c>
      <c r="H72" s="136" t="s">
        <v>5802</v>
      </c>
      <c r="I72" s="136" t="s">
        <v>4043</v>
      </c>
      <c r="J72" s="136" t="s">
        <v>5803</v>
      </c>
      <c r="K72" s="136">
        <v>73.0</v>
      </c>
      <c r="L72" s="136">
        <v>72.0</v>
      </c>
      <c r="M72" s="136">
        <v>49.73333</v>
      </c>
      <c r="N72" s="136">
        <v>0.0</v>
      </c>
      <c r="O72" s="136">
        <v>49.73333</v>
      </c>
      <c r="P72" s="136">
        <v>100.0</v>
      </c>
      <c r="Q72" s="136">
        <v>49.73333</v>
      </c>
      <c r="R72" s="136" t="s">
        <v>4045</v>
      </c>
      <c r="S72" s="136">
        <v>61.11111</v>
      </c>
      <c r="T72" s="136">
        <v>2.0</v>
      </c>
      <c r="U72" s="138">
        <v>45749.35828703704</v>
      </c>
      <c r="V72" s="140"/>
      <c r="W72" s="140"/>
      <c r="X72" s="140"/>
      <c r="Y72" s="140"/>
      <c r="Z72" s="140"/>
    </row>
    <row r="73">
      <c r="A73" s="135" t="s">
        <v>4503</v>
      </c>
      <c r="B73" s="136" t="s">
        <v>300</v>
      </c>
      <c r="C73" s="136" t="s">
        <v>1684</v>
      </c>
      <c r="D73" s="136" t="s">
        <v>4504</v>
      </c>
      <c r="E73" s="136">
        <v>2025.0</v>
      </c>
      <c r="F73" s="136" t="s">
        <v>1006</v>
      </c>
      <c r="G73" s="136" t="s">
        <v>5646</v>
      </c>
      <c r="H73" s="136" t="s">
        <v>5804</v>
      </c>
      <c r="I73" s="136" t="s">
        <v>4043</v>
      </c>
      <c r="J73" s="136" t="s">
        <v>5805</v>
      </c>
      <c r="K73" s="136">
        <v>73.0</v>
      </c>
      <c r="L73" s="136">
        <v>71.0</v>
      </c>
      <c r="M73" s="136">
        <v>54.0</v>
      </c>
      <c r="N73" s="136">
        <v>0.0</v>
      </c>
      <c r="O73" s="136">
        <v>54.0</v>
      </c>
      <c r="P73" s="136">
        <v>100.0</v>
      </c>
      <c r="Q73" s="136">
        <v>54.0</v>
      </c>
      <c r="R73" s="136" t="s">
        <v>4045</v>
      </c>
      <c r="S73" s="136">
        <v>63.88889</v>
      </c>
      <c r="T73" s="136">
        <v>3.0</v>
      </c>
      <c r="U73" s="138">
        <v>45747.69133101852</v>
      </c>
      <c r="V73" s="140"/>
      <c r="W73" s="140"/>
      <c r="X73" s="140"/>
      <c r="Y73" s="140"/>
      <c r="Z73" s="140"/>
    </row>
    <row r="74">
      <c r="A74" s="135" t="s">
        <v>4510</v>
      </c>
      <c r="B74" s="136" t="s">
        <v>354</v>
      </c>
      <c r="C74" s="136" t="s">
        <v>4511</v>
      </c>
      <c r="D74" s="136" t="s">
        <v>353</v>
      </c>
      <c r="E74" s="136">
        <v>2025.0</v>
      </c>
      <c r="F74" s="136" t="s">
        <v>1006</v>
      </c>
      <c r="G74" s="136" t="s">
        <v>5646</v>
      </c>
      <c r="H74" s="136" t="s">
        <v>5806</v>
      </c>
      <c r="I74" s="136" t="s">
        <v>4043</v>
      </c>
      <c r="J74" s="136" t="s">
        <v>5807</v>
      </c>
      <c r="K74" s="136">
        <v>73.0</v>
      </c>
      <c r="L74" s="136">
        <v>69.0</v>
      </c>
      <c r="M74" s="136">
        <v>48.03333</v>
      </c>
      <c r="N74" s="136">
        <v>0.0</v>
      </c>
      <c r="O74" s="136">
        <v>48.03333</v>
      </c>
      <c r="P74" s="136">
        <v>100.0</v>
      </c>
      <c r="Q74" s="136">
        <v>48.03333</v>
      </c>
      <c r="R74" s="136" t="s">
        <v>4045</v>
      </c>
      <c r="S74" s="136">
        <v>61.76471</v>
      </c>
      <c r="T74" s="136">
        <v>2.0</v>
      </c>
      <c r="U74" s="138">
        <v>45747.793125</v>
      </c>
      <c r="V74" s="140"/>
      <c r="W74" s="140"/>
      <c r="X74" s="140"/>
      <c r="Y74" s="140"/>
      <c r="Z74" s="140"/>
    </row>
    <row r="75">
      <c r="A75" s="135" t="s">
        <v>4514</v>
      </c>
      <c r="B75" s="136" t="s">
        <v>356</v>
      </c>
      <c r="C75" s="136" t="s">
        <v>1836</v>
      </c>
      <c r="D75" s="136" t="s">
        <v>355</v>
      </c>
      <c r="E75" s="136">
        <v>2025.0</v>
      </c>
      <c r="F75" s="136" t="s">
        <v>1006</v>
      </c>
      <c r="G75" s="136" t="s">
        <v>5646</v>
      </c>
      <c r="H75" s="136" t="s">
        <v>5808</v>
      </c>
      <c r="I75" s="136" t="s">
        <v>4043</v>
      </c>
      <c r="J75" s="136" t="s">
        <v>5682</v>
      </c>
      <c r="K75" s="136">
        <v>73.0</v>
      </c>
      <c r="L75" s="136">
        <v>71.0</v>
      </c>
      <c r="M75" s="136">
        <v>42.03333</v>
      </c>
      <c r="N75" s="136">
        <v>0.0</v>
      </c>
      <c r="O75" s="136">
        <v>42.03333</v>
      </c>
      <c r="P75" s="136">
        <v>100.0</v>
      </c>
      <c r="Q75" s="136">
        <v>42.03333</v>
      </c>
      <c r="R75" s="136" t="s">
        <v>4045</v>
      </c>
      <c r="S75" s="136">
        <v>51.42857</v>
      </c>
      <c r="T75" s="136">
        <v>4.0</v>
      </c>
      <c r="U75" s="138">
        <v>45747.70704861111</v>
      </c>
      <c r="V75" s="140"/>
      <c r="W75" s="140"/>
      <c r="X75" s="140"/>
      <c r="Y75" s="140"/>
      <c r="Z75" s="140"/>
    </row>
    <row r="76">
      <c r="A76" s="135" t="s">
        <v>4517</v>
      </c>
      <c r="B76" s="136" t="s">
        <v>364</v>
      </c>
      <c r="C76" s="136" t="s">
        <v>1858</v>
      </c>
      <c r="D76" s="136" t="s">
        <v>4518</v>
      </c>
      <c r="E76" s="136">
        <v>2025.0</v>
      </c>
      <c r="F76" s="136" t="s">
        <v>1006</v>
      </c>
      <c r="G76" s="136" t="s">
        <v>5646</v>
      </c>
      <c r="H76" s="136" t="s">
        <v>5809</v>
      </c>
      <c r="I76" s="136" t="s">
        <v>4043</v>
      </c>
      <c r="J76" s="136" t="s">
        <v>4556</v>
      </c>
      <c r="K76" s="136">
        <v>73.0</v>
      </c>
      <c r="L76" s="136">
        <v>72.0</v>
      </c>
      <c r="M76" s="136">
        <v>59.26667</v>
      </c>
      <c r="N76" s="136">
        <v>0.0</v>
      </c>
      <c r="O76" s="136">
        <v>59.26667</v>
      </c>
      <c r="P76" s="136">
        <v>100.0</v>
      </c>
      <c r="Q76" s="136">
        <v>59.26667</v>
      </c>
      <c r="R76" s="136" t="s">
        <v>4045</v>
      </c>
      <c r="S76" s="136">
        <v>65.27778</v>
      </c>
      <c r="T76" s="136">
        <v>1.0</v>
      </c>
      <c r="U76" s="138">
        <v>45747.56232638889</v>
      </c>
      <c r="V76" s="140"/>
      <c r="W76" s="140"/>
      <c r="X76" s="140"/>
      <c r="Y76" s="140"/>
      <c r="Z76" s="140"/>
    </row>
    <row r="77">
      <c r="A77" s="135" t="s">
        <v>4521</v>
      </c>
      <c r="B77" s="136" t="s">
        <v>368</v>
      </c>
      <c r="C77" s="136" t="s">
        <v>1866</v>
      </c>
      <c r="D77" s="136" t="s">
        <v>4522</v>
      </c>
      <c r="E77" s="136">
        <v>2025.0</v>
      </c>
      <c r="F77" s="136" t="s">
        <v>1006</v>
      </c>
      <c r="G77" s="136" t="s">
        <v>5646</v>
      </c>
      <c r="H77" s="136" t="s">
        <v>5810</v>
      </c>
      <c r="I77" s="136" t="s">
        <v>4043</v>
      </c>
      <c r="J77" s="136" t="s">
        <v>5811</v>
      </c>
      <c r="K77" s="136">
        <v>73.0</v>
      </c>
      <c r="L77" s="136">
        <v>71.0</v>
      </c>
      <c r="M77" s="136">
        <v>37.1</v>
      </c>
      <c r="N77" s="136">
        <v>0.0</v>
      </c>
      <c r="O77" s="136">
        <v>37.1</v>
      </c>
      <c r="P77" s="136">
        <v>100.0</v>
      </c>
      <c r="Q77" s="136">
        <v>37.1</v>
      </c>
      <c r="R77" s="136" t="s">
        <v>4045</v>
      </c>
      <c r="S77" s="136">
        <v>44.28571</v>
      </c>
      <c r="T77" s="136">
        <v>2.0</v>
      </c>
      <c r="U77" s="138">
        <v>45747.873935185184</v>
      </c>
      <c r="V77" s="140"/>
      <c r="W77" s="140"/>
      <c r="X77" s="140"/>
      <c r="Y77" s="140"/>
      <c r="Z77" s="140"/>
    </row>
    <row r="78">
      <c r="A78" s="135" t="s">
        <v>5812</v>
      </c>
      <c r="B78" s="136" t="s">
        <v>394</v>
      </c>
      <c r="C78" s="136" t="s">
        <v>1947</v>
      </c>
      <c r="D78" s="136" t="s">
        <v>393</v>
      </c>
      <c r="E78" s="136">
        <v>2025.0</v>
      </c>
      <c r="F78" s="136" t="s">
        <v>1006</v>
      </c>
      <c r="G78" s="136" t="s">
        <v>5646</v>
      </c>
      <c r="H78" s="136" t="s">
        <v>5813</v>
      </c>
      <c r="I78" s="136" t="s">
        <v>4043</v>
      </c>
      <c r="J78" s="136" t="s">
        <v>5814</v>
      </c>
      <c r="K78" s="136">
        <v>73.0</v>
      </c>
      <c r="L78" s="136">
        <v>72.0</v>
      </c>
      <c r="M78" s="136">
        <v>40.33333</v>
      </c>
      <c r="N78" s="136">
        <v>0.0</v>
      </c>
      <c r="O78" s="136">
        <v>40.33333</v>
      </c>
      <c r="P78" s="136">
        <v>100.0</v>
      </c>
      <c r="Q78" s="136">
        <v>40.33333</v>
      </c>
      <c r="R78" s="136" t="s">
        <v>4045</v>
      </c>
      <c r="S78" s="136">
        <v>48.61111</v>
      </c>
      <c r="T78" s="136">
        <v>1.0</v>
      </c>
      <c r="U78" s="138">
        <v>45747.82444444444</v>
      </c>
      <c r="V78" s="140"/>
      <c r="W78" s="140"/>
      <c r="X78" s="140"/>
      <c r="Y78" s="140"/>
      <c r="Z78" s="140"/>
    </row>
    <row r="79">
      <c r="A79" s="135" t="s">
        <v>4525</v>
      </c>
      <c r="B79" s="136" t="s">
        <v>396</v>
      </c>
      <c r="C79" s="136" t="s">
        <v>1954</v>
      </c>
      <c r="D79" s="136" t="s">
        <v>395</v>
      </c>
      <c r="E79" s="136">
        <v>2025.0</v>
      </c>
      <c r="F79" s="136" t="s">
        <v>1006</v>
      </c>
      <c r="G79" s="136" t="s">
        <v>5646</v>
      </c>
      <c r="H79" s="136" t="s">
        <v>5815</v>
      </c>
      <c r="I79" s="136" t="s">
        <v>4043</v>
      </c>
      <c r="J79" s="136" t="s">
        <v>4647</v>
      </c>
      <c r="K79" s="136">
        <v>73.0</v>
      </c>
      <c r="L79" s="136">
        <v>72.0</v>
      </c>
      <c r="M79" s="136">
        <v>56.76667</v>
      </c>
      <c r="N79" s="136">
        <v>0.0</v>
      </c>
      <c r="O79" s="136">
        <v>56.76667</v>
      </c>
      <c r="P79" s="136">
        <v>100.0</v>
      </c>
      <c r="Q79" s="136">
        <v>56.76667</v>
      </c>
      <c r="R79" s="136" t="s">
        <v>4045</v>
      </c>
      <c r="S79" s="136">
        <v>70.83333</v>
      </c>
      <c r="T79" s="136">
        <v>2.0</v>
      </c>
      <c r="U79" s="138">
        <v>45747.8752662037</v>
      </c>
      <c r="V79" s="140"/>
      <c r="W79" s="140"/>
      <c r="X79" s="140"/>
      <c r="Y79" s="140"/>
      <c r="Z79" s="140"/>
    </row>
    <row r="80">
      <c r="A80" s="135" t="s">
        <v>4528</v>
      </c>
      <c r="B80" s="136" t="s">
        <v>398</v>
      </c>
      <c r="C80" s="136" t="s">
        <v>4529</v>
      </c>
      <c r="D80" s="136" t="s">
        <v>397</v>
      </c>
      <c r="E80" s="136">
        <v>2025.0</v>
      </c>
      <c r="F80" s="136" t="s">
        <v>1006</v>
      </c>
      <c r="G80" s="136" t="s">
        <v>5646</v>
      </c>
      <c r="H80" s="136" t="s">
        <v>5816</v>
      </c>
      <c r="I80" s="136" t="s">
        <v>4043</v>
      </c>
      <c r="J80" s="136" t="s">
        <v>5817</v>
      </c>
      <c r="K80" s="136">
        <v>73.0</v>
      </c>
      <c r="L80" s="136">
        <v>71.0</v>
      </c>
      <c r="M80" s="136">
        <v>60.73333</v>
      </c>
      <c r="N80" s="136">
        <v>0.0</v>
      </c>
      <c r="O80" s="136">
        <v>60.73333</v>
      </c>
      <c r="P80" s="136">
        <v>100.0</v>
      </c>
      <c r="Q80" s="136">
        <v>60.73333</v>
      </c>
      <c r="R80" s="136" t="s">
        <v>4200</v>
      </c>
      <c r="S80" s="136">
        <v>78.57143</v>
      </c>
      <c r="T80" s="136">
        <v>1.0</v>
      </c>
      <c r="U80" s="138">
        <v>45747.377118055556</v>
      </c>
      <c r="V80" s="140"/>
      <c r="W80" s="140"/>
      <c r="X80" s="140"/>
      <c r="Y80" s="140"/>
      <c r="Z80" s="140"/>
    </row>
    <row r="81">
      <c r="A81" s="135" t="s">
        <v>4532</v>
      </c>
      <c r="B81" s="136" t="s">
        <v>411</v>
      </c>
      <c r="C81" s="136" t="s">
        <v>1998</v>
      </c>
      <c r="D81" s="136" t="s">
        <v>410</v>
      </c>
      <c r="E81" s="136">
        <v>2025.0</v>
      </c>
      <c r="F81" s="136" t="s">
        <v>1006</v>
      </c>
      <c r="G81" s="136" t="s">
        <v>5646</v>
      </c>
      <c r="H81" s="136" t="s">
        <v>5818</v>
      </c>
      <c r="I81" s="136" t="s">
        <v>4043</v>
      </c>
      <c r="J81" s="136" t="s">
        <v>5719</v>
      </c>
      <c r="K81" s="136">
        <v>73.0</v>
      </c>
      <c r="L81" s="136">
        <v>72.0</v>
      </c>
      <c r="M81" s="136">
        <v>58.63333</v>
      </c>
      <c r="N81" s="136">
        <v>0.0</v>
      </c>
      <c r="O81" s="136">
        <v>58.63333</v>
      </c>
      <c r="P81" s="136">
        <v>100.0</v>
      </c>
      <c r="Q81" s="136">
        <v>58.63333</v>
      </c>
      <c r="R81" s="136" t="s">
        <v>4045</v>
      </c>
      <c r="S81" s="136">
        <v>61.64384</v>
      </c>
      <c r="T81" s="136">
        <v>1.0</v>
      </c>
      <c r="U81" s="138">
        <v>45747.416666666664</v>
      </c>
      <c r="V81" s="140"/>
      <c r="W81" s="140"/>
      <c r="X81" s="140"/>
      <c r="Y81" s="140"/>
      <c r="Z81" s="140"/>
    </row>
    <row r="82">
      <c r="A82" s="135" t="s">
        <v>4680</v>
      </c>
      <c r="B82" s="136" t="s">
        <v>418</v>
      </c>
      <c r="C82" s="136" t="s">
        <v>2019</v>
      </c>
      <c r="D82" s="136" t="s">
        <v>4681</v>
      </c>
      <c r="E82" s="136">
        <v>2025.0</v>
      </c>
      <c r="F82" s="136" t="s">
        <v>1006</v>
      </c>
      <c r="G82" s="136" t="s">
        <v>5646</v>
      </c>
      <c r="H82" s="136" t="s">
        <v>5819</v>
      </c>
      <c r="I82" s="136" t="s">
        <v>4043</v>
      </c>
      <c r="J82" s="136" t="s">
        <v>5820</v>
      </c>
      <c r="K82" s="136">
        <v>73.0</v>
      </c>
      <c r="L82" s="136">
        <v>71.0</v>
      </c>
      <c r="M82" s="136">
        <v>55.23333</v>
      </c>
      <c r="N82" s="136">
        <v>0.0</v>
      </c>
      <c r="O82" s="136">
        <v>55.23333</v>
      </c>
      <c r="P82" s="136">
        <v>100.0</v>
      </c>
      <c r="Q82" s="136">
        <v>55.23333</v>
      </c>
      <c r="R82" s="136" t="s">
        <v>4045</v>
      </c>
      <c r="S82" s="136">
        <v>69.44444</v>
      </c>
      <c r="T82" s="136">
        <v>1.0</v>
      </c>
      <c r="U82" s="138">
        <v>45747.88125</v>
      </c>
      <c r="V82" s="140"/>
      <c r="W82" s="140"/>
      <c r="X82" s="140"/>
      <c r="Y82" s="140"/>
      <c r="Z82" s="140"/>
    </row>
    <row r="83">
      <c r="A83" s="135" t="s">
        <v>4683</v>
      </c>
      <c r="B83" s="136" t="s">
        <v>423</v>
      </c>
      <c r="C83" s="136" t="s">
        <v>4684</v>
      </c>
      <c r="D83" s="136" t="s">
        <v>422</v>
      </c>
      <c r="E83" s="136">
        <v>2025.0</v>
      </c>
      <c r="F83" s="136" t="s">
        <v>1006</v>
      </c>
      <c r="G83" s="136" t="s">
        <v>5646</v>
      </c>
      <c r="H83" s="136" t="s">
        <v>5821</v>
      </c>
      <c r="I83" s="136" t="s">
        <v>4043</v>
      </c>
      <c r="J83" s="136" t="s">
        <v>5822</v>
      </c>
      <c r="K83" s="136">
        <v>73.0</v>
      </c>
      <c r="L83" s="136">
        <v>72.0</v>
      </c>
      <c r="M83" s="136">
        <v>56.83333</v>
      </c>
      <c r="N83" s="136">
        <v>0.0</v>
      </c>
      <c r="O83" s="136">
        <v>56.83333</v>
      </c>
      <c r="P83" s="136">
        <v>100.0</v>
      </c>
      <c r="Q83" s="136">
        <v>56.83333</v>
      </c>
      <c r="R83" s="136" t="s">
        <v>4045</v>
      </c>
      <c r="S83" s="136">
        <v>59.72222</v>
      </c>
      <c r="T83" s="136">
        <v>3.0</v>
      </c>
      <c r="U83" s="138">
        <v>45747.72578703704</v>
      </c>
      <c r="V83" s="140"/>
      <c r="W83" s="140"/>
      <c r="X83" s="140"/>
      <c r="Y83" s="140"/>
      <c r="Z83" s="140"/>
    </row>
    <row r="84">
      <c r="A84" s="135" t="s">
        <v>4687</v>
      </c>
      <c r="B84" s="136" t="s">
        <v>427</v>
      </c>
      <c r="C84" s="136" t="s">
        <v>2047</v>
      </c>
      <c r="D84" s="136" t="s">
        <v>3905</v>
      </c>
      <c r="E84" s="136">
        <v>2025.0</v>
      </c>
      <c r="F84" s="136" t="s">
        <v>1006</v>
      </c>
      <c r="G84" s="136" t="s">
        <v>5646</v>
      </c>
      <c r="H84" s="136" t="s">
        <v>5823</v>
      </c>
      <c r="I84" s="136" t="s">
        <v>4043</v>
      </c>
      <c r="J84" s="136" t="s">
        <v>4327</v>
      </c>
      <c r="K84" s="136">
        <v>73.0</v>
      </c>
      <c r="L84" s="136">
        <v>70.0</v>
      </c>
      <c r="M84" s="136">
        <v>57.5</v>
      </c>
      <c r="N84" s="136">
        <v>0.0</v>
      </c>
      <c r="O84" s="136">
        <v>57.5</v>
      </c>
      <c r="P84" s="136">
        <v>100.0</v>
      </c>
      <c r="Q84" s="136">
        <v>57.5</v>
      </c>
      <c r="R84" s="136" t="s">
        <v>4045</v>
      </c>
      <c r="S84" s="136">
        <v>71.83099</v>
      </c>
      <c r="T84" s="136">
        <v>1.0</v>
      </c>
      <c r="U84" s="138">
        <v>45747.81444444445</v>
      </c>
      <c r="V84" s="140"/>
      <c r="W84" s="140"/>
      <c r="X84" s="140"/>
      <c r="Y84" s="140"/>
      <c r="Z84" s="140"/>
    </row>
    <row r="85">
      <c r="A85" s="135" t="s">
        <v>4534</v>
      </c>
      <c r="B85" s="136" t="s">
        <v>483</v>
      </c>
      <c r="C85" s="136" t="s">
        <v>2192</v>
      </c>
      <c r="D85" s="136" t="s">
        <v>482</v>
      </c>
      <c r="E85" s="136">
        <v>2025.0</v>
      </c>
      <c r="F85" s="136" t="s">
        <v>1006</v>
      </c>
      <c r="G85" s="136" t="s">
        <v>5646</v>
      </c>
      <c r="H85" s="136" t="s">
        <v>5824</v>
      </c>
      <c r="I85" s="136" t="s">
        <v>4043</v>
      </c>
      <c r="J85" s="136" t="s">
        <v>5825</v>
      </c>
      <c r="K85" s="136">
        <v>73.0</v>
      </c>
      <c r="L85" s="136">
        <v>72.0</v>
      </c>
      <c r="M85" s="136">
        <v>64.53333</v>
      </c>
      <c r="N85" s="136">
        <v>0.0</v>
      </c>
      <c r="O85" s="136">
        <v>64.53333</v>
      </c>
      <c r="P85" s="136">
        <v>100.0</v>
      </c>
      <c r="Q85" s="136">
        <v>64.53333</v>
      </c>
      <c r="R85" s="136" t="s">
        <v>4200</v>
      </c>
      <c r="S85" s="136">
        <v>69.44444</v>
      </c>
      <c r="T85" s="136">
        <v>1.0</v>
      </c>
      <c r="U85" s="138">
        <v>45747.80447916667</v>
      </c>
      <c r="V85" s="140"/>
      <c r="W85" s="140"/>
      <c r="X85" s="140"/>
      <c r="Y85" s="140"/>
      <c r="Z85" s="140"/>
    </row>
    <row r="86">
      <c r="A86" s="135" t="s">
        <v>4537</v>
      </c>
      <c r="B86" s="136" t="s">
        <v>498</v>
      </c>
      <c r="C86" s="136" t="s">
        <v>2238</v>
      </c>
      <c r="D86" s="136" t="s">
        <v>4538</v>
      </c>
      <c r="E86" s="136">
        <v>2025.0</v>
      </c>
      <c r="F86" s="136" t="s">
        <v>1006</v>
      </c>
      <c r="G86" s="136" t="s">
        <v>5646</v>
      </c>
      <c r="H86" s="136" t="s">
        <v>5826</v>
      </c>
      <c r="I86" s="136" t="s">
        <v>4043</v>
      </c>
      <c r="J86" s="136" t="s">
        <v>5746</v>
      </c>
      <c r="K86" s="136">
        <v>73.0</v>
      </c>
      <c r="L86" s="136">
        <v>71.0</v>
      </c>
      <c r="M86" s="136">
        <v>60.0</v>
      </c>
      <c r="N86" s="136">
        <v>0.0</v>
      </c>
      <c r="O86" s="136">
        <v>60.0</v>
      </c>
      <c r="P86" s="136">
        <v>100.0</v>
      </c>
      <c r="Q86" s="136">
        <v>60.0</v>
      </c>
      <c r="R86" s="136" t="s">
        <v>4200</v>
      </c>
      <c r="S86" s="136">
        <v>72.60274</v>
      </c>
      <c r="T86" s="136">
        <v>2.0</v>
      </c>
      <c r="U86" s="138">
        <v>45747.88243055555</v>
      </c>
      <c r="V86" s="140"/>
      <c r="W86" s="140"/>
      <c r="X86" s="140"/>
      <c r="Y86" s="140"/>
      <c r="Z86" s="140"/>
    </row>
    <row r="87">
      <c r="A87" s="135" t="s">
        <v>4541</v>
      </c>
      <c r="B87" s="136" t="s">
        <v>502</v>
      </c>
      <c r="C87" s="136" t="s">
        <v>2252</v>
      </c>
      <c r="D87" s="136" t="s">
        <v>4542</v>
      </c>
      <c r="E87" s="136">
        <v>2025.0</v>
      </c>
      <c r="F87" s="136" t="s">
        <v>1006</v>
      </c>
      <c r="G87" s="136" t="s">
        <v>5646</v>
      </c>
      <c r="H87" s="136" t="s">
        <v>5827</v>
      </c>
      <c r="I87" s="136" t="s">
        <v>4152</v>
      </c>
      <c r="J87" s="136" t="s">
        <v>4153</v>
      </c>
      <c r="K87" s="136" t="s">
        <v>1003</v>
      </c>
      <c r="L87" s="136" t="s">
        <v>1003</v>
      </c>
      <c r="M87" s="136" t="s">
        <v>1003</v>
      </c>
      <c r="N87" s="136" t="s">
        <v>1003</v>
      </c>
      <c r="O87" s="136" t="s">
        <v>1003</v>
      </c>
      <c r="P87" s="136" t="s">
        <v>1003</v>
      </c>
      <c r="Q87" s="136" t="s">
        <v>1003</v>
      </c>
      <c r="R87" s="136" t="s">
        <v>1003</v>
      </c>
      <c r="S87" s="136" t="s">
        <v>1003</v>
      </c>
      <c r="T87" s="136">
        <v>1.0</v>
      </c>
      <c r="U87" s="136" t="s">
        <v>1003</v>
      </c>
      <c r="V87" s="140"/>
      <c r="W87" s="140"/>
      <c r="X87" s="140"/>
      <c r="Y87" s="140"/>
      <c r="Z87" s="140"/>
    </row>
    <row r="88">
      <c r="A88" s="135" t="s">
        <v>4545</v>
      </c>
      <c r="B88" s="136" t="s">
        <v>550</v>
      </c>
      <c r="C88" s="136" t="s">
        <v>2392</v>
      </c>
      <c r="D88" s="136" t="s">
        <v>549</v>
      </c>
      <c r="E88" s="136">
        <v>2025.0</v>
      </c>
      <c r="F88" s="136" t="s">
        <v>1006</v>
      </c>
      <c r="G88" s="136" t="s">
        <v>5646</v>
      </c>
      <c r="H88" s="136" t="s">
        <v>5828</v>
      </c>
      <c r="I88" s="136" t="s">
        <v>4043</v>
      </c>
      <c r="J88" s="136" t="s">
        <v>5829</v>
      </c>
      <c r="K88" s="136">
        <v>73.0</v>
      </c>
      <c r="L88" s="136">
        <v>73.0</v>
      </c>
      <c r="M88" s="136">
        <v>58.83333</v>
      </c>
      <c r="N88" s="136">
        <v>0.0</v>
      </c>
      <c r="O88" s="136">
        <v>58.83333</v>
      </c>
      <c r="P88" s="136">
        <v>100.0</v>
      </c>
      <c r="Q88" s="136">
        <v>58.83333</v>
      </c>
      <c r="R88" s="136" t="s">
        <v>4045</v>
      </c>
      <c r="S88" s="136">
        <v>72.0</v>
      </c>
      <c r="T88" s="136">
        <v>2.0</v>
      </c>
      <c r="U88" s="138">
        <v>45747.70606481482</v>
      </c>
      <c r="V88" s="140"/>
      <c r="W88" s="140"/>
      <c r="X88" s="140"/>
      <c r="Y88" s="140"/>
      <c r="Z88" s="140"/>
    </row>
    <row r="89">
      <c r="A89" s="135" t="s">
        <v>4548</v>
      </c>
      <c r="B89" s="136" t="s">
        <v>552</v>
      </c>
      <c r="C89" s="136" t="s">
        <v>2399</v>
      </c>
      <c r="D89" s="136" t="s">
        <v>551</v>
      </c>
      <c r="E89" s="136">
        <v>2025.0</v>
      </c>
      <c r="F89" s="136" t="s">
        <v>1006</v>
      </c>
      <c r="G89" s="136" t="s">
        <v>5646</v>
      </c>
      <c r="H89" s="136" t="s">
        <v>5830</v>
      </c>
      <c r="I89" s="136" t="s">
        <v>4043</v>
      </c>
      <c r="J89" s="136" t="s">
        <v>5686</v>
      </c>
      <c r="K89" s="136">
        <v>73.0</v>
      </c>
      <c r="L89" s="136">
        <v>70.0</v>
      </c>
      <c r="M89" s="136">
        <v>39.0</v>
      </c>
      <c r="N89" s="136">
        <v>0.0</v>
      </c>
      <c r="O89" s="136">
        <v>39.0</v>
      </c>
      <c r="P89" s="136">
        <v>100.0</v>
      </c>
      <c r="Q89" s="136">
        <v>39.0</v>
      </c>
      <c r="R89" s="136" t="s">
        <v>4045</v>
      </c>
      <c r="S89" s="136">
        <v>55.71429</v>
      </c>
      <c r="T89" s="136">
        <v>1.0</v>
      </c>
      <c r="U89" s="138">
        <v>45747.72114583333</v>
      </c>
      <c r="V89" s="140"/>
      <c r="W89" s="140"/>
      <c r="X89" s="140"/>
      <c r="Y89" s="140"/>
      <c r="Z89" s="140"/>
    </row>
    <row r="90">
      <c r="A90" s="135" t="s">
        <v>4690</v>
      </c>
      <c r="B90" s="136" t="s">
        <v>584</v>
      </c>
      <c r="C90" s="136" t="s">
        <v>2499</v>
      </c>
      <c r="D90" s="136" t="s">
        <v>4691</v>
      </c>
      <c r="E90" s="136">
        <v>2025.0</v>
      </c>
      <c r="F90" s="136" t="s">
        <v>1006</v>
      </c>
      <c r="G90" s="136" t="s">
        <v>5646</v>
      </c>
      <c r="H90" s="136" t="s">
        <v>5831</v>
      </c>
      <c r="I90" s="136" t="s">
        <v>4043</v>
      </c>
      <c r="J90" s="136" t="s">
        <v>5832</v>
      </c>
      <c r="K90" s="136">
        <v>73.0</v>
      </c>
      <c r="L90" s="136">
        <v>46.0</v>
      </c>
      <c r="M90" s="136">
        <v>23.0</v>
      </c>
      <c r="N90" s="136">
        <v>0.0</v>
      </c>
      <c r="O90" s="136">
        <v>23.0</v>
      </c>
      <c r="P90" s="136">
        <v>100.0</v>
      </c>
      <c r="Q90" s="136">
        <v>23.0</v>
      </c>
      <c r="R90" s="136" t="s">
        <v>4045</v>
      </c>
      <c r="S90" s="136">
        <v>50.0</v>
      </c>
      <c r="T90" s="136">
        <v>8.0</v>
      </c>
      <c r="U90" s="138">
        <v>45748.27123842593</v>
      </c>
      <c r="V90" s="140"/>
      <c r="W90" s="140"/>
      <c r="X90" s="140"/>
      <c r="Y90" s="140"/>
      <c r="Z90" s="140"/>
    </row>
    <row r="91">
      <c r="A91" s="135" t="s">
        <v>4553</v>
      </c>
      <c r="B91" s="136" t="s">
        <v>603</v>
      </c>
      <c r="C91" s="136" t="s">
        <v>2558</v>
      </c>
      <c r="D91" s="136" t="s">
        <v>4554</v>
      </c>
      <c r="E91" s="136">
        <v>2025.0</v>
      </c>
      <c r="F91" s="136" t="s">
        <v>1006</v>
      </c>
      <c r="G91" s="136" t="s">
        <v>5646</v>
      </c>
      <c r="H91" s="136" t="s">
        <v>5833</v>
      </c>
      <c r="I91" s="136" t="s">
        <v>4043</v>
      </c>
      <c r="J91" s="136" t="s">
        <v>5834</v>
      </c>
      <c r="K91" s="136">
        <v>73.0</v>
      </c>
      <c r="L91" s="136">
        <v>73.0</v>
      </c>
      <c r="M91" s="136">
        <v>52.36667</v>
      </c>
      <c r="N91" s="136">
        <v>0.0</v>
      </c>
      <c r="O91" s="136">
        <v>52.36667</v>
      </c>
      <c r="P91" s="136">
        <v>100.0</v>
      </c>
      <c r="Q91" s="136">
        <v>52.36667</v>
      </c>
      <c r="R91" s="136" t="s">
        <v>4045</v>
      </c>
      <c r="S91" s="136">
        <v>50.66667</v>
      </c>
      <c r="T91" s="136">
        <v>2.0</v>
      </c>
      <c r="U91" s="138">
        <v>45748.45494212963</v>
      </c>
      <c r="V91" s="140"/>
      <c r="W91" s="140"/>
      <c r="X91" s="140"/>
      <c r="Y91" s="140"/>
      <c r="Z91" s="140"/>
    </row>
    <row r="92">
      <c r="A92" s="135" t="s">
        <v>4557</v>
      </c>
      <c r="B92" s="136" t="s">
        <v>4558</v>
      </c>
      <c r="C92" s="136" t="s">
        <v>2565</v>
      </c>
      <c r="D92" s="136" t="s">
        <v>605</v>
      </c>
      <c r="E92" s="136">
        <v>2025.0</v>
      </c>
      <c r="F92" s="136" t="s">
        <v>1006</v>
      </c>
      <c r="G92" s="136" t="s">
        <v>5646</v>
      </c>
      <c r="H92" s="136" t="s">
        <v>5835</v>
      </c>
      <c r="I92" s="136" t="s">
        <v>4043</v>
      </c>
      <c r="J92" s="136" t="s">
        <v>5836</v>
      </c>
      <c r="K92" s="136">
        <v>73.0</v>
      </c>
      <c r="L92" s="136">
        <v>70.0</v>
      </c>
      <c r="M92" s="136">
        <v>24.0</v>
      </c>
      <c r="N92" s="136">
        <v>0.0</v>
      </c>
      <c r="O92" s="136">
        <v>24.0</v>
      </c>
      <c r="P92" s="136">
        <v>100.0</v>
      </c>
      <c r="Q92" s="136">
        <v>24.0</v>
      </c>
      <c r="R92" s="136" t="s">
        <v>4045</v>
      </c>
      <c r="S92" s="136">
        <v>34.28571</v>
      </c>
      <c r="T92" s="136">
        <v>0.0</v>
      </c>
      <c r="U92" s="138">
        <v>45748.04681712963</v>
      </c>
      <c r="V92" s="140"/>
      <c r="W92" s="140"/>
      <c r="X92" s="140"/>
      <c r="Y92" s="140"/>
      <c r="Z92" s="140"/>
    </row>
    <row r="93">
      <c r="A93" s="135" t="s">
        <v>5837</v>
      </c>
      <c r="B93" s="136" t="s">
        <v>608</v>
      </c>
      <c r="C93" s="136" t="s">
        <v>2572</v>
      </c>
      <c r="D93" s="136" t="s">
        <v>5838</v>
      </c>
      <c r="E93" s="136">
        <v>2025.0</v>
      </c>
      <c r="F93" s="136" t="s">
        <v>1006</v>
      </c>
      <c r="G93" s="136" t="s">
        <v>5646</v>
      </c>
      <c r="H93" s="136" t="s">
        <v>5839</v>
      </c>
      <c r="I93" s="136" t="s">
        <v>4043</v>
      </c>
      <c r="J93" s="136" t="s">
        <v>5840</v>
      </c>
      <c r="K93" s="136">
        <v>73.0</v>
      </c>
      <c r="L93" s="136">
        <v>70.0</v>
      </c>
      <c r="M93" s="136">
        <v>55.53333</v>
      </c>
      <c r="N93" s="136">
        <v>0.0</v>
      </c>
      <c r="O93" s="136">
        <v>55.53333</v>
      </c>
      <c r="P93" s="136">
        <v>100.0</v>
      </c>
      <c r="Q93" s="136">
        <v>55.53333</v>
      </c>
      <c r="R93" s="136" t="s">
        <v>4045</v>
      </c>
      <c r="S93" s="136">
        <v>72.46377</v>
      </c>
      <c r="T93" s="136">
        <v>1.0</v>
      </c>
      <c r="U93" s="138">
        <v>45747.67537037037</v>
      </c>
      <c r="V93" s="140"/>
      <c r="W93" s="140"/>
      <c r="X93" s="140"/>
      <c r="Y93" s="140"/>
      <c r="Z93" s="140"/>
    </row>
    <row r="94">
      <c r="A94" s="135" t="s">
        <v>4560</v>
      </c>
      <c r="B94" s="136" t="s">
        <v>4561</v>
      </c>
      <c r="C94" s="136" t="s">
        <v>2592</v>
      </c>
      <c r="D94" s="136" t="s">
        <v>614</v>
      </c>
      <c r="E94" s="136">
        <v>2025.0</v>
      </c>
      <c r="F94" s="136" t="s">
        <v>1006</v>
      </c>
      <c r="G94" s="136" t="s">
        <v>5646</v>
      </c>
      <c r="H94" s="136" t="s">
        <v>5841</v>
      </c>
      <c r="I94" s="136" t="s">
        <v>4043</v>
      </c>
      <c r="J94" s="136" t="s">
        <v>4140</v>
      </c>
      <c r="K94" s="136">
        <v>73.0</v>
      </c>
      <c r="L94" s="136">
        <v>73.0</v>
      </c>
      <c r="M94" s="136">
        <v>65.6</v>
      </c>
      <c r="N94" s="136">
        <v>0.0</v>
      </c>
      <c r="O94" s="136">
        <v>65.6</v>
      </c>
      <c r="P94" s="136">
        <v>100.0</v>
      </c>
      <c r="Q94" s="136">
        <v>65.6</v>
      </c>
      <c r="R94" s="136" t="s">
        <v>4200</v>
      </c>
      <c r="S94" s="136">
        <v>69.33333</v>
      </c>
      <c r="T94" s="136">
        <v>1.0</v>
      </c>
      <c r="U94" s="138">
        <v>45747.901284722226</v>
      </c>
      <c r="V94" s="140"/>
      <c r="W94" s="140"/>
      <c r="X94" s="140"/>
      <c r="Y94" s="140"/>
      <c r="Z94" s="140"/>
    </row>
    <row r="95">
      <c r="A95" s="135" t="s">
        <v>4563</v>
      </c>
      <c r="B95" s="136" t="s">
        <v>624</v>
      </c>
      <c r="C95" s="136" t="s">
        <v>2611</v>
      </c>
      <c r="D95" s="136" t="s">
        <v>623</v>
      </c>
      <c r="E95" s="136">
        <v>2025.0</v>
      </c>
      <c r="F95" s="136" t="s">
        <v>1006</v>
      </c>
      <c r="G95" s="136" t="s">
        <v>5646</v>
      </c>
      <c r="H95" s="136" t="s">
        <v>5842</v>
      </c>
      <c r="I95" s="136" t="s">
        <v>4043</v>
      </c>
      <c r="J95" s="136" t="s">
        <v>5843</v>
      </c>
      <c r="K95" s="136">
        <v>73.0</v>
      </c>
      <c r="L95" s="136">
        <v>70.0</v>
      </c>
      <c r="M95" s="136">
        <v>28.0</v>
      </c>
      <c r="N95" s="136">
        <v>0.0</v>
      </c>
      <c r="O95" s="136">
        <v>28.0</v>
      </c>
      <c r="P95" s="136">
        <v>100.0</v>
      </c>
      <c r="Q95" s="136">
        <v>28.0</v>
      </c>
      <c r="R95" s="136" t="s">
        <v>4045</v>
      </c>
      <c r="S95" s="136">
        <v>40.0</v>
      </c>
      <c r="T95" s="136">
        <v>1.0</v>
      </c>
      <c r="U95" s="138">
        <v>45748.94260416667</v>
      </c>
      <c r="V95" s="140"/>
      <c r="W95" s="140"/>
      <c r="X95" s="140"/>
      <c r="Y95" s="140"/>
      <c r="Z95" s="140"/>
    </row>
    <row r="96">
      <c r="A96" s="135" t="s">
        <v>4566</v>
      </c>
      <c r="B96" s="136" t="s">
        <v>626</v>
      </c>
      <c r="C96" s="136" t="s">
        <v>2617</v>
      </c>
      <c r="D96" s="136" t="s">
        <v>625</v>
      </c>
      <c r="E96" s="136">
        <v>2025.0</v>
      </c>
      <c r="F96" s="136" t="s">
        <v>1006</v>
      </c>
      <c r="G96" s="136" t="s">
        <v>5646</v>
      </c>
      <c r="H96" s="136" t="s">
        <v>5844</v>
      </c>
      <c r="I96" s="136" t="s">
        <v>4043</v>
      </c>
      <c r="J96" s="136" t="s">
        <v>5845</v>
      </c>
      <c r="K96" s="136">
        <v>73.0</v>
      </c>
      <c r="L96" s="136">
        <v>72.0</v>
      </c>
      <c r="M96" s="136">
        <v>59.6</v>
      </c>
      <c r="N96" s="136">
        <v>0.0</v>
      </c>
      <c r="O96" s="136">
        <v>59.6</v>
      </c>
      <c r="P96" s="136">
        <v>100.0</v>
      </c>
      <c r="Q96" s="136">
        <v>59.6</v>
      </c>
      <c r="R96" s="136" t="s">
        <v>4045</v>
      </c>
      <c r="S96" s="136">
        <v>71.23288</v>
      </c>
      <c r="T96" s="136">
        <v>2.0</v>
      </c>
      <c r="U96" s="138">
        <v>45747.65699074074</v>
      </c>
      <c r="V96" s="140"/>
      <c r="W96" s="140"/>
      <c r="X96" s="140"/>
      <c r="Y96" s="140"/>
      <c r="Z96" s="140"/>
    </row>
    <row r="97">
      <c r="A97" s="135" t="s">
        <v>4569</v>
      </c>
      <c r="B97" s="136" t="s">
        <v>4570</v>
      </c>
      <c r="C97" s="136" t="s">
        <v>2629</v>
      </c>
      <c r="D97" s="136" t="s">
        <v>630</v>
      </c>
      <c r="E97" s="136">
        <v>2025.0</v>
      </c>
      <c r="F97" s="136" t="s">
        <v>1006</v>
      </c>
      <c r="G97" s="136" t="s">
        <v>5646</v>
      </c>
      <c r="H97" s="136" t="s">
        <v>5846</v>
      </c>
      <c r="I97" s="136" t="s">
        <v>4043</v>
      </c>
      <c r="J97" s="136" t="s">
        <v>5847</v>
      </c>
      <c r="K97" s="136">
        <v>73.0</v>
      </c>
      <c r="L97" s="136">
        <v>72.0</v>
      </c>
      <c r="M97" s="136">
        <v>65.0</v>
      </c>
      <c r="N97" s="136">
        <v>0.0</v>
      </c>
      <c r="O97" s="136">
        <v>65.0</v>
      </c>
      <c r="P97" s="136">
        <v>100.0</v>
      </c>
      <c r="Q97" s="136">
        <v>65.0</v>
      </c>
      <c r="R97" s="136" t="s">
        <v>4200</v>
      </c>
      <c r="S97" s="136">
        <v>66.66667</v>
      </c>
      <c r="T97" s="136">
        <v>1.0</v>
      </c>
      <c r="U97" s="138">
        <v>45747.78497685185</v>
      </c>
      <c r="V97" s="140"/>
      <c r="W97" s="140"/>
      <c r="X97" s="140"/>
      <c r="Y97" s="140"/>
      <c r="Z97" s="140"/>
    </row>
    <row r="98">
      <c r="A98" s="135" t="s">
        <v>5848</v>
      </c>
      <c r="B98" s="136" t="s">
        <v>638</v>
      </c>
      <c r="C98" s="136" t="s">
        <v>2649</v>
      </c>
      <c r="D98" s="136" t="s">
        <v>637</v>
      </c>
      <c r="E98" s="136">
        <v>2025.0</v>
      </c>
      <c r="F98" s="136" t="s">
        <v>1006</v>
      </c>
      <c r="G98" s="136" t="s">
        <v>5646</v>
      </c>
      <c r="H98" s="136" t="s">
        <v>5849</v>
      </c>
      <c r="I98" s="136" t="s">
        <v>4152</v>
      </c>
      <c r="J98" s="136" t="s">
        <v>4153</v>
      </c>
      <c r="K98" s="136" t="s">
        <v>1003</v>
      </c>
      <c r="L98" s="136" t="s">
        <v>1003</v>
      </c>
      <c r="M98" s="136" t="s">
        <v>1003</v>
      </c>
      <c r="N98" s="136" t="s">
        <v>1003</v>
      </c>
      <c r="O98" s="136" t="s">
        <v>1003</v>
      </c>
      <c r="P98" s="136" t="s">
        <v>1003</v>
      </c>
      <c r="Q98" s="136" t="s">
        <v>1003</v>
      </c>
      <c r="R98" s="136" t="s">
        <v>1003</v>
      </c>
      <c r="S98" s="136" t="s">
        <v>1003</v>
      </c>
      <c r="T98" s="136">
        <v>4.0</v>
      </c>
      <c r="U98" s="136" t="s">
        <v>1003</v>
      </c>
      <c r="V98" s="140"/>
      <c r="W98" s="140"/>
      <c r="X98" s="140"/>
      <c r="Y98" s="140"/>
      <c r="Z98" s="140"/>
    </row>
    <row r="99">
      <c r="A99" s="135" t="s">
        <v>4578</v>
      </c>
      <c r="B99" s="136" t="s">
        <v>643</v>
      </c>
      <c r="C99" s="136" t="s">
        <v>2663</v>
      </c>
      <c r="D99" s="136" t="s">
        <v>642</v>
      </c>
      <c r="E99" s="136">
        <v>2025.0</v>
      </c>
      <c r="F99" s="136" t="s">
        <v>1006</v>
      </c>
      <c r="G99" s="136" t="s">
        <v>5646</v>
      </c>
      <c r="H99" s="136" t="s">
        <v>5850</v>
      </c>
      <c r="I99" s="136" t="s">
        <v>4043</v>
      </c>
      <c r="J99" s="136" t="s">
        <v>5851</v>
      </c>
      <c r="K99" s="136">
        <v>73.0</v>
      </c>
      <c r="L99" s="136">
        <v>73.0</v>
      </c>
      <c r="M99" s="136">
        <v>70.43333</v>
      </c>
      <c r="N99" s="136">
        <v>0.0</v>
      </c>
      <c r="O99" s="136">
        <v>70.43333</v>
      </c>
      <c r="P99" s="136">
        <v>100.0</v>
      </c>
      <c r="Q99" s="136">
        <v>70.43333</v>
      </c>
      <c r="R99" s="136" t="s">
        <v>4200</v>
      </c>
      <c r="S99" s="136">
        <v>76.0</v>
      </c>
      <c r="T99" s="136">
        <v>1.0</v>
      </c>
      <c r="U99" s="138">
        <v>45747.88270833333</v>
      </c>
      <c r="V99" s="140"/>
      <c r="W99" s="140"/>
      <c r="X99" s="140"/>
      <c r="Y99" s="140"/>
      <c r="Z99" s="140"/>
    </row>
    <row r="100">
      <c r="A100" s="135" t="s">
        <v>4584</v>
      </c>
      <c r="B100" s="136" t="s">
        <v>653</v>
      </c>
      <c r="C100" s="136" t="s">
        <v>4585</v>
      </c>
      <c r="D100" s="136" t="s">
        <v>652</v>
      </c>
      <c r="E100" s="136">
        <v>2025.0</v>
      </c>
      <c r="F100" s="136" t="s">
        <v>1006</v>
      </c>
      <c r="G100" s="136" t="s">
        <v>5646</v>
      </c>
      <c r="H100" s="136" t="s">
        <v>5852</v>
      </c>
      <c r="I100" s="136" t="s">
        <v>4043</v>
      </c>
      <c r="J100" s="136" t="s">
        <v>4044</v>
      </c>
      <c r="K100" s="136">
        <v>73.0</v>
      </c>
      <c r="L100" s="136">
        <v>71.0</v>
      </c>
      <c r="M100" s="136">
        <v>38.63333</v>
      </c>
      <c r="N100" s="136">
        <v>0.0</v>
      </c>
      <c r="O100" s="136">
        <v>38.63333</v>
      </c>
      <c r="P100" s="136">
        <v>100.0</v>
      </c>
      <c r="Q100" s="136">
        <v>38.63333</v>
      </c>
      <c r="R100" s="136" t="s">
        <v>4045</v>
      </c>
      <c r="S100" s="136">
        <v>45.71429</v>
      </c>
      <c r="T100" s="136">
        <v>3.0</v>
      </c>
      <c r="U100" s="138">
        <v>45749.086435185185</v>
      </c>
      <c r="V100" s="140"/>
      <c r="W100" s="140"/>
      <c r="X100" s="140"/>
      <c r="Y100" s="140"/>
      <c r="Z100" s="140"/>
    </row>
    <row r="101">
      <c r="A101" s="135" t="s">
        <v>4588</v>
      </c>
      <c r="B101" s="136" t="s">
        <v>672</v>
      </c>
      <c r="C101" s="136" t="s">
        <v>4589</v>
      </c>
      <c r="D101" s="136" t="s">
        <v>671</v>
      </c>
      <c r="E101" s="136">
        <v>2025.0</v>
      </c>
      <c r="F101" s="136" t="s">
        <v>1006</v>
      </c>
      <c r="G101" s="136" t="s">
        <v>5646</v>
      </c>
      <c r="H101" s="136" t="s">
        <v>5853</v>
      </c>
      <c r="I101" s="136" t="s">
        <v>4043</v>
      </c>
      <c r="J101" s="136" t="s">
        <v>5854</v>
      </c>
      <c r="K101" s="136">
        <v>73.0</v>
      </c>
      <c r="L101" s="136">
        <v>72.0</v>
      </c>
      <c r="M101" s="136">
        <v>61.23333</v>
      </c>
      <c r="N101" s="136">
        <v>0.0</v>
      </c>
      <c r="O101" s="136">
        <v>61.23333</v>
      </c>
      <c r="P101" s="136">
        <v>100.0</v>
      </c>
      <c r="Q101" s="136">
        <v>61.23333</v>
      </c>
      <c r="R101" s="136" t="s">
        <v>4200</v>
      </c>
      <c r="S101" s="136">
        <v>66.66667</v>
      </c>
      <c r="T101" s="136">
        <v>0.0</v>
      </c>
      <c r="U101" s="138">
        <v>45747.748344907406</v>
      </c>
      <c r="V101" s="140"/>
      <c r="W101" s="140"/>
      <c r="X101" s="140"/>
      <c r="Y101" s="140"/>
      <c r="Z101" s="140"/>
    </row>
    <row r="102">
      <c r="A102" s="135" t="s">
        <v>4592</v>
      </c>
      <c r="B102" s="136" t="s">
        <v>692</v>
      </c>
      <c r="C102" s="136" t="s">
        <v>2791</v>
      </c>
      <c r="D102" s="136" t="s">
        <v>691</v>
      </c>
      <c r="E102" s="136">
        <v>2025.0</v>
      </c>
      <c r="F102" s="136" t="s">
        <v>1006</v>
      </c>
      <c r="G102" s="136" t="s">
        <v>5646</v>
      </c>
      <c r="H102" s="136" t="s">
        <v>5855</v>
      </c>
      <c r="I102" s="136" t="s">
        <v>4043</v>
      </c>
      <c r="J102" s="136" t="s">
        <v>5856</v>
      </c>
      <c r="K102" s="136">
        <v>73.0</v>
      </c>
      <c r="L102" s="136">
        <v>71.0</v>
      </c>
      <c r="M102" s="136">
        <v>37.0</v>
      </c>
      <c r="N102" s="136">
        <v>0.0</v>
      </c>
      <c r="O102" s="136">
        <v>37.0</v>
      </c>
      <c r="P102" s="136">
        <v>100.0</v>
      </c>
      <c r="Q102" s="136">
        <v>37.0</v>
      </c>
      <c r="R102" s="136" t="s">
        <v>4045</v>
      </c>
      <c r="S102" s="136">
        <v>50.68493</v>
      </c>
      <c r="T102" s="136">
        <v>4.0</v>
      </c>
      <c r="U102" s="138">
        <v>45747.695335648146</v>
      </c>
      <c r="V102" s="140"/>
      <c r="W102" s="140"/>
      <c r="X102" s="140"/>
      <c r="Y102" s="140"/>
      <c r="Z102" s="140"/>
    </row>
    <row r="103">
      <c r="A103" s="135" t="s">
        <v>5857</v>
      </c>
      <c r="B103" s="136" t="s">
        <v>703</v>
      </c>
      <c r="C103" s="136" t="s">
        <v>2822</v>
      </c>
      <c r="D103" s="136" t="s">
        <v>3504</v>
      </c>
      <c r="E103" s="136">
        <v>2025.0</v>
      </c>
      <c r="F103" s="136" t="s">
        <v>1006</v>
      </c>
      <c r="G103" s="136" t="s">
        <v>5646</v>
      </c>
      <c r="H103" s="136" t="s">
        <v>5858</v>
      </c>
      <c r="I103" s="136" t="s">
        <v>4043</v>
      </c>
      <c r="J103" s="136" t="s">
        <v>5859</v>
      </c>
      <c r="K103" s="136">
        <v>73.0</v>
      </c>
      <c r="L103" s="136">
        <v>72.0</v>
      </c>
      <c r="M103" s="136">
        <v>68.33333</v>
      </c>
      <c r="N103" s="136">
        <v>0.0</v>
      </c>
      <c r="O103" s="136">
        <v>68.33333</v>
      </c>
      <c r="P103" s="136">
        <v>100.0</v>
      </c>
      <c r="Q103" s="136">
        <v>68.33333</v>
      </c>
      <c r="R103" s="136" t="s">
        <v>4200</v>
      </c>
      <c r="S103" s="136">
        <v>75.0</v>
      </c>
      <c r="T103" s="136">
        <v>1.0</v>
      </c>
      <c r="U103" s="138">
        <v>45747.870034722226</v>
      </c>
      <c r="V103" s="140"/>
      <c r="W103" s="140"/>
      <c r="X103" s="140"/>
      <c r="Y103" s="140"/>
      <c r="Z103" s="140"/>
    </row>
    <row r="104">
      <c r="A104" s="135" t="s">
        <v>4664</v>
      </c>
      <c r="B104" s="136" t="s">
        <v>770</v>
      </c>
      <c r="C104" s="136" t="s">
        <v>2999</v>
      </c>
      <c r="D104" s="136" t="s">
        <v>769</v>
      </c>
      <c r="E104" s="136">
        <v>2025.0</v>
      </c>
      <c r="F104" s="136" t="s">
        <v>1006</v>
      </c>
      <c r="G104" s="136" t="s">
        <v>5646</v>
      </c>
      <c r="H104" s="136" t="s">
        <v>5860</v>
      </c>
      <c r="I104" s="136" t="s">
        <v>4043</v>
      </c>
      <c r="J104" s="136" t="s">
        <v>5861</v>
      </c>
      <c r="K104" s="136">
        <v>73.0</v>
      </c>
      <c r="L104" s="136">
        <v>72.0</v>
      </c>
      <c r="M104" s="136">
        <v>42.63333</v>
      </c>
      <c r="N104" s="136">
        <v>0.0</v>
      </c>
      <c r="O104" s="136">
        <v>42.63333</v>
      </c>
      <c r="P104" s="136">
        <v>100.0</v>
      </c>
      <c r="Q104" s="136">
        <v>42.63333</v>
      </c>
      <c r="R104" s="136" t="s">
        <v>4045</v>
      </c>
      <c r="S104" s="136">
        <v>51.38889</v>
      </c>
      <c r="T104" s="136">
        <v>3.0</v>
      </c>
      <c r="U104" s="138">
        <v>45747.97857638889</v>
      </c>
      <c r="V104" s="140"/>
      <c r="W104" s="140"/>
      <c r="X104" s="140"/>
      <c r="Y104" s="140"/>
      <c r="Z104" s="140"/>
    </row>
    <row r="105">
      <c r="A105" s="135" t="s">
        <v>4694</v>
      </c>
      <c r="B105" s="136" t="s">
        <v>757</v>
      </c>
      <c r="C105" s="136" t="s">
        <v>2960</v>
      </c>
      <c r="D105" s="136" t="s">
        <v>4695</v>
      </c>
      <c r="E105" s="136">
        <v>2025.0</v>
      </c>
      <c r="F105" s="136" t="s">
        <v>1006</v>
      </c>
      <c r="G105" s="136" t="s">
        <v>5646</v>
      </c>
      <c r="H105" s="136" t="s">
        <v>5862</v>
      </c>
      <c r="I105" s="136" t="s">
        <v>4043</v>
      </c>
      <c r="J105" s="136" t="s">
        <v>5863</v>
      </c>
      <c r="K105" s="136">
        <v>73.0</v>
      </c>
      <c r="L105" s="136">
        <v>70.0</v>
      </c>
      <c r="M105" s="136">
        <v>33.83333</v>
      </c>
      <c r="N105" s="136">
        <v>0.0</v>
      </c>
      <c r="O105" s="136">
        <v>33.83333</v>
      </c>
      <c r="P105" s="136">
        <v>100.0</v>
      </c>
      <c r="Q105" s="136">
        <v>33.83333</v>
      </c>
      <c r="R105" s="136" t="s">
        <v>4045</v>
      </c>
      <c r="S105" s="136">
        <v>42.02899</v>
      </c>
      <c r="T105" s="136">
        <v>2.0</v>
      </c>
      <c r="U105" s="138">
        <v>45747.885092592594</v>
      </c>
      <c r="V105" s="140"/>
      <c r="W105" s="140"/>
      <c r="X105" s="140"/>
      <c r="Y105" s="140"/>
      <c r="Z105" s="140"/>
    </row>
    <row r="106">
      <c r="A106" s="135" t="s">
        <v>4698</v>
      </c>
      <c r="B106" s="136" t="s">
        <v>1021</v>
      </c>
      <c r="C106" s="136" t="s">
        <v>2993</v>
      </c>
      <c r="D106" s="136" t="s">
        <v>767</v>
      </c>
      <c r="E106" s="136">
        <v>2025.0</v>
      </c>
      <c r="F106" s="136" t="s">
        <v>1006</v>
      </c>
      <c r="G106" s="136" t="s">
        <v>5646</v>
      </c>
      <c r="H106" s="136" t="s">
        <v>5864</v>
      </c>
      <c r="I106" s="136" t="s">
        <v>4043</v>
      </c>
      <c r="J106" s="136" t="s">
        <v>5865</v>
      </c>
      <c r="K106" s="136">
        <v>73.0</v>
      </c>
      <c r="L106" s="136">
        <v>71.0</v>
      </c>
      <c r="M106" s="136">
        <v>47.53333</v>
      </c>
      <c r="N106" s="136">
        <v>0.0</v>
      </c>
      <c r="O106" s="136">
        <v>47.53333</v>
      </c>
      <c r="P106" s="136">
        <v>100.0</v>
      </c>
      <c r="Q106" s="136">
        <v>47.53333</v>
      </c>
      <c r="R106" s="136" t="s">
        <v>4045</v>
      </c>
      <c r="S106" s="136">
        <v>58.57143</v>
      </c>
      <c r="T106" s="136">
        <v>1.0</v>
      </c>
      <c r="U106" s="138">
        <v>45747.848761574074</v>
      </c>
      <c r="V106" s="140"/>
      <c r="W106" s="140"/>
      <c r="X106" s="140"/>
      <c r="Y106" s="140"/>
      <c r="Z106" s="140"/>
    </row>
    <row r="107">
      <c r="A107" s="135" t="s">
        <v>4602</v>
      </c>
      <c r="B107" s="136" t="s">
        <v>778</v>
      </c>
      <c r="C107" s="136" t="s">
        <v>3020</v>
      </c>
      <c r="D107" s="136" t="s">
        <v>777</v>
      </c>
      <c r="E107" s="136">
        <v>2025.0</v>
      </c>
      <c r="F107" s="136" t="s">
        <v>1006</v>
      </c>
      <c r="G107" s="136" t="s">
        <v>5646</v>
      </c>
      <c r="H107" s="136" t="s">
        <v>5866</v>
      </c>
      <c r="I107" s="136" t="s">
        <v>4043</v>
      </c>
      <c r="J107" s="136" t="s">
        <v>5250</v>
      </c>
      <c r="K107" s="136">
        <v>73.0</v>
      </c>
      <c r="L107" s="136">
        <v>63.0</v>
      </c>
      <c r="M107" s="136">
        <v>42.0</v>
      </c>
      <c r="N107" s="136">
        <v>0.0</v>
      </c>
      <c r="O107" s="136">
        <v>42.0</v>
      </c>
      <c r="P107" s="136">
        <v>100.0</v>
      </c>
      <c r="Q107" s="136">
        <v>42.0</v>
      </c>
      <c r="R107" s="136" t="s">
        <v>4045</v>
      </c>
      <c r="S107" s="136">
        <v>66.66667</v>
      </c>
      <c r="T107" s="136">
        <v>1.0</v>
      </c>
      <c r="U107" s="138">
        <v>45747.866377314815</v>
      </c>
      <c r="V107" s="140"/>
      <c r="W107" s="140"/>
      <c r="X107" s="140"/>
      <c r="Y107" s="140"/>
      <c r="Z107" s="140"/>
    </row>
    <row r="108">
      <c r="A108" s="135" t="s">
        <v>4605</v>
      </c>
      <c r="B108" s="136" t="s">
        <v>4606</v>
      </c>
      <c r="C108" s="136" t="s">
        <v>3025</v>
      </c>
      <c r="D108" s="136" t="s">
        <v>4607</v>
      </c>
      <c r="E108" s="136">
        <v>2025.0</v>
      </c>
      <c r="F108" s="136" t="s">
        <v>1006</v>
      </c>
      <c r="G108" s="136" t="s">
        <v>5646</v>
      </c>
      <c r="H108" s="136" t="s">
        <v>5867</v>
      </c>
      <c r="I108" s="136" t="s">
        <v>4043</v>
      </c>
      <c r="J108" s="136" t="s">
        <v>5682</v>
      </c>
      <c r="K108" s="136">
        <v>73.0</v>
      </c>
      <c r="L108" s="136">
        <v>71.0</v>
      </c>
      <c r="M108" s="136">
        <v>34.13333</v>
      </c>
      <c r="N108" s="136">
        <v>0.0</v>
      </c>
      <c r="O108" s="136">
        <v>34.13333</v>
      </c>
      <c r="P108" s="136">
        <v>100.0</v>
      </c>
      <c r="Q108" s="136">
        <v>34.13333</v>
      </c>
      <c r="R108" s="136" t="s">
        <v>4045</v>
      </c>
      <c r="S108" s="136">
        <v>41.42857</v>
      </c>
      <c r="T108" s="136">
        <v>0.0</v>
      </c>
      <c r="U108" s="138">
        <v>45748.71019675926</v>
      </c>
      <c r="V108" s="140"/>
      <c r="W108" s="140"/>
      <c r="X108" s="140"/>
      <c r="Y108" s="140"/>
      <c r="Z108" s="140"/>
    </row>
    <row r="109">
      <c r="A109" s="135" t="s">
        <v>4613</v>
      </c>
      <c r="B109" s="136" t="s">
        <v>796</v>
      </c>
      <c r="C109" s="136" t="s">
        <v>3071</v>
      </c>
      <c r="D109" s="136" t="s">
        <v>795</v>
      </c>
      <c r="E109" s="136">
        <v>2025.0</v>
      </c>
      <c r="F109" s="136" t="s">
        <v>1006</v>
      </c>
      <c r="G109" s="136" t="s">
        <v>5646</v>
      </c>
      <c r="H109" s="136" t="s">
        <v>5868</v>
      </c>
      <c r="I109" s="136" t="s">
        <v>4043</v>
      </c>
      <c r="J109" s="136" t="s">
        <v>5869</v>
      </c>
      <c r="K109" s="136">
        <v>73.0</v>
      </c>
      <c r="L109" s="136">
        <v>73.0</v>
      </c>
      <c r="M109" s="136">
        <v>28.7</v>
      </c>
      <c r="N109" s="136">
        <v>0.0</v>
      </c>
      <c r="O109" s="136">
        <v>28.7</v>
      </c>
      <c r="P109" s="136">
        <v>100.0</v>
      </c>
      <c r="Q109" s="136">
        <v>28.7</v>
      </c>
      <c r="R109" s="136" t="s">
        <v>4045</v>
      </c>
      <c r="S109" s="136">
        <v>25.33333</v>
      </c>
      <c r="T109" s="136">
        <v>1.0</v>
      </c>
      <c r="U109" s="138">
        <v>45747.96309027778</v>
      </c>
      <c r="V109" s="140"/>
      <c r="W109" s="140"/>
      <c r="X109" s="140"/>
      <c r="Y109" s="140"/>
      <c r="Z109" s="140"/>
    </row>
    <row r="110">
      <c r="A110" s="135" t="s">
        <v>4616</v>
      </c>
      <c r="B110" s="136" t="s">
        <v>807</v>
      </c>
      <c r="C110" s="136" t="s">
        <v>3106</v>
      </c>
      <c r="D110" s="136" t="s">
        <v>4617</v>
      </c>
      <c r="E110" s="136">
        <v>2025.0</v>
      </c>
      <c r="F110" s="136" t="s">
        <v>1006</v>
      </c>
      <c r="G110" s="136" t="s">
        <v>5646</v>
      </c>
      <c r="H110" s="136" t="s">
        <v>5870</v>
      </c>
      <c r="I110" s="136" t="s">
        <v>4043</v>
      </c>
      <c r="J110" s="136" t="s">
        <v>5871</v>
      </c>
      <c r="K110" s="136">
        <v>73.0</v>
      </c>
      <c r="L110" s="136">
        <v>2.0</v>
      </c>
      <c r="M110" s="136">
        <v>1.0</v>
      </c>
      <c r="N110" s="136">
        <v>0.0</v>
      </c>
      <c r="O110" s="136">
        <v>1.0</v>
      </c>
      <c r="P110" s="136">
        <v>100.0</v>
      </c>
      <c r="Q110" s="136">
        <v>1.0</v>
      </c>
      <c r="R110" s="136" t="s">
        <v>4045</v>
      </c>
      <c r="S110" s="136">
        <v>50.0</v>
      </c>
      <c r="T110" s="136">
        <v>1.0</v>
      </c>
      <c r="U110" s="138">
        <v>45748.42254629629</v>
      </c>
      <c r="V110" s="140"/>
      <c r="W110" s="140"/>
      <c r="X110" s="140"/>
      <c r="Y110" s="140"/>
      <c r="Z110" s="140"/>
    </row>
    <row r="111">
      <c r="A111" s="135" t="s">
        <v>4620</v>
      </c>
      <c r="B111" s="136" t="s">
        <v>824</v>
      </c>
      <c r="C111" s="136" t="s">
        <v>3152</v>
      </c>
      <c r="D111" s="136" t="s">
        <v>823</v>
      </c>
      <c r="E111" s="136">
        <v>2025.0</v>
      </c>
      <c r="F111" s="136" t="s">
        <v>1006</v>
      </c>
      <c r="G111" s="136" t="s">
        <v>5646</v>
      </c>
      <c r="H111" s="136" t="s">
        <v>5872</v>
      </c>
      <c r="I111" s="136" t="s">
        <v>4043</v>
      </c>
      <c r="J111" s="136" t="s">
        <v>5873</v>
      </c>
      <c r="K111" s="136">
        <v>73.0</v>
      </c>
      <c r="L111" s="136">
        <v>71.0</v>
      </c>
      <c r="M111" s="136">
        <v>58.66667</v>
      </c>
      <c r="N111" s="136">
        <v>0.0</v>
      </c>
      <c r="O111" s="136">
        <v>58.66667</v>
      </c>
      <c r="P111" s="136">
        <v>100.0</v>
      </c>
      <c r="Q111" s="136">
        <v>58.66667</v>
      </c>
      <c r="R111" s="136" t="s">
        <v>4045</v>
      </c>
      <c r="S111" s="136">
        <v>74.28571</v>
      </c>
      <c r="T111" s="136">
        <v>2.0</v>
      </c>
      <c r="U111" s="138">
        <v>45747.85768518518</v>
      </c>
      <c r="V111" s="140"/>
      <c r="W111" s="140"/>
      <c r="X111" s="140"/>
      <c r="Y111" s="140"/>
      <c r="Z111" s="140"/>
    </row>
    <row r="112">
      <c r="A112" s="135" t="s">
        <v>4623</v>
      </c>
      <c r="B112" s="136" t="s">
        <v>826</v>
      </c>
      <c r="C112" s="136" t="s">
        <v>3159</v>
      </c>
      <c r="D112" s="136" t="s">
        <v>825</v>
      </c>
      <c r="E112" s="136">
        <v>2025.0</v>
      </c>
      <c r="F112" s="136" t="s">
        <v>1006</v>
      </c>
      <c r="G112" s="136" t="s">
        <v>5646</v>
      </c>
      <c r="H112" s="136" t="s">
        <v>5874</v>
      </c>
      <c r="I112" s="136" t="s">
        <v>4043</v>
      </c>
      <c r="J112" s="136" t="s">
        <v>5875</v>
      </c>
      <c r="K112" s="136">
        <v>73.0</v>
      </c>
      <c r="L112" s="136">
        <v>72.0</v>
      </c>
      <c r="M112" s="136">
        <v>54.4</v>
      </c>
      <c r="N112" s="136">
        <v>0.0</v>
      </c>
      <c r="O112" s="136">
        <v>54.4</v>
      </c>
      <c r="P112" s="136">
        <v>100.0</v>
      </c>
      <c r="Q112" s="136">
        <v>54.4</v>
      </c>
      <c r="R112" s="136" t="s">
        <v>4045</v>
      </c>
      <c r="S112" s="136">
        <v>57.53425</v>
      </c>
      <c r="T112" s="136">
        <v>1.0</v>
      </c>
      <c r="U112" s="138">
        <v>45747.574375</v>
      </c>
      <c r="V112" s="140"/>
      <c r="W112" s="140"/>
      <c r="X112" s="140"/>
      <c r="Y112" s="140"/>
      <c r="Z112" s="140"/>
    </row>
    <row r="113">
      <c r="A113" s="135" t="s">
        <v>4626</v>
      </c>
      <c r="B113" s="136" t="s">
        <v>828</v>
      </c>
      <c r="C113" s="136" t="s">
        <v>3167</v>
      </c>
      <c r="D113" s="136" t="s">
        <v>827</v>
      </c>
      <c r="E113" s="136">
        <v>2025.0</v>
      </c>
      <c r="F113" s="136" t="s">
        <v>1006</v>
      </c>
      <c r="G113" s="136" t="s">
        <v>5646</v>
      </c>
      <c r="H113" s="136" t="s">
        <v>5876</v>
      </c>
      <c r="I113" s="136" t="s">
        <v>4043</v>
      </c>
      <c r="J113" s="136" t="s">
        <v>5877</v>
      </c>
      <c r="K113" s="136">
        <v>73.0</v>
      </c>
      <c r="L113" s="136">
        <v>73.0</v>
      </c>
      <c r="M113" s="136">
        <v>58.03333</v>
      </c>
      <c r="N113" s="136">
        <v>0.0</v>
      </c>
      <c r="O113" s="136">
        <v>58.03333</v>
      </c>
      <c r="P113" s="136">
        <v>100.0</v>
      </c>
      <c r="Q113" s="136">
        <v>58.03333</v>
      </c>
      <c r="R113" s="136" t="s">
        <v>4045</v>
      </c>
      <c r="S113" s="136">
        <v>60.0</v>
      </c>
      <c r="T113" s="136">
        <v>1.0</v>
      </c>
      <c r="U113" s="138">
        <v>45747.772824074076</v>
      </c>
      <c r="V113" s="140"/>
      <c r="W113" s="140"/>
      <c r="X113" s="140"/>
      <c r="Y113" s="140"/>
      <c r="Z113" s="140"/>
    </row>
    <row r="114">
      <c r="A114" s="135" t="s">
        <v>4629</v>
      </c>
      <c r="B114" s="136" t="s">
        <v>833</v>
      </c>
      <c r="C114" s="136" t="s">
        <v>3181</v>
      </c>
      <c r="D114" s="136" t="s">
        <v>4630</v>
      </c>
      <c r="E114" s="136">
        <v>2025.0</v>
      </c>
      <c r="F114" s="136" t="s">
        <v>1006</v>
      </c>
      <c r="G114" s="136" t="s">
        <v>5646</v>
      </c>
      <c r="H114" s="136" t="s">
        <v>5878</v>
      </c>
      <c r="I114" s="136" t="s">
        <v>4043</v>
      </c>
      <c r="J114" s="136" t="s">
        <v>4674</v>
      </c>
      <c r="K114" s="136">
        <v>73.0</v>
      </c>
      <c r="L114" s="136">
        <v>67.0</v>
      </c>
      <c r="M114" s="136">
        <v>36.66667</v>
      </c>
      <c r="N114" s="136">
        <v>0.0</v>
      </c>
      <c r="O114" s="136">
        <v>36.66667</v>
      </c>
      <c r="P114" s="136">
        <v>100.0</v>
      </c>
      <c r="Q114" s="136">
        <v>36.66667</v>
      </c>
      <c r="R114" s="136" t="s">
        <v>4045</v>
      </c>
      <c r="S114" s="136">
        <v>45.45455</v>
      </c>
      <c r="T114" s="136">
        <v>1.0</v>
      </c>
      <c r="U114" s="138">
        <v>45747.92791666667</v>
      </c>
      <c r="V114" s="140"/>
      <c r="W114" s="140"/>
      <c r="X114" s="140"/>
      <c r="Y114" s="140"/>
      <c r="Z114" s="140"/>
    </row>
    <row r="115">
      <c r="A115" s="135" t="s">
        <v>4633</v>
      </c>
      <c r="B115" s="136" t="s">
        <v>850</v>
      </c>
      <c r="C115" s="136" t="s">
        <v>3231</v>
      </c>
      <c r="D115" s="136" t="s">
        <v>4634</v>
      </c>
      <c r="E115" s="136">
        <v>2025.0</v>
      </c>
      <c r="F115" s="136" t="s">
        <v>1006</v>
      </c>
      <c r="G115" s="136" t="s">
        <v>5646</v>
      </c>
      <c r="H115" s="136" t="s">
        <v>5879</v>
      </c>
      <c r="I115" s="136" t="s">
        <v>4043</v>
      </c>
      <c r="J115" s="136" t="s">
        <v>4612</v>
      </c>
      <c r="K115" s="136">
        <v>73.0</v>
      </c>
      <c r="L115" s="136">
        <v>70.0</v>
      </c>
      <c r="M115" s="136">
        <v>46.0</v>
      </c>
      <c r="N115" s="136">
        <v>0.0</v>
      </c>
      <c r="O115" s="136">
        <v>46.0</v>
      </c>
      <c r="P115" s="136">
        <v>100.0</v>
      </c>
      <c r="Q115" s="136">
        <v>46.0</v>
      </c>
      <c r="R115" s="136" t="s">
        <v>4045</v>
      </c>
      <c r="S115" s="136">
        <v>65.71429</v>
      </c>
      <c r="T115" s="136">
        <v>3.0</v>
      </c>
      <c r="U115" s="138">
        <v>45747.69081018519</v>
      </c>
      <c r="V115" s="140"/>
      <c r="W115" s="140"/>
      <c r="X115" s="140"/>
      <c r="Y115" s="140"/>
      <c r="Z115" s="140"/>
    </row>
    <row r="116">
      <c r="A116" s="135" t="s">
        <v>4637</v>
      </c>
      <c r="B116" s="136" t="s">
        <v>4638</v>
      </c>
      <c r="C116" s="136" t="s">
        <v>3262</v>
      </c>
      <c r="D116" s="136" t="s">
        <v>3259</v>
      </c>
      <c r="E116" s="136">
        <v>2025.0</v>
      </c>
      <c r="F116" s="136" t="s">
        <v>1006</v>
      </c>
      <c r="G116" s="136" t="s">
        <v>5646</v>
      </c>
      <c r="H116" s="136" t="s">
        <v>5880</v>
      </c>
      <c r="I116" s="136" t="s">
        <v>4043</v>
      </c>
      <c r="J116" s="136" t="s">
        <v>5881</v>
      </c>
      <c r="K116" s="136">
        <v>73.0</v>
      </c>
      <c r="L116" s="136">
        <v>72.0</v>
      </c>
      <c r="M116" s="136">
        <v>53.13333</v>
      </c>
      <c r="N116" s="136">
        <v>0.0</v>
      </c>
      <c r="O116" s="136">
        <v>53.13333</v>
      </c>
      <c r="P116" s="136">
        <v>100.0</v>
      </c>
      <c r="Q116" s="136">
        <v>53.13333</v>
      </c>
      <c r="R116" s="136" t="s">
        <v>4045</v>
      </c>
      <c r="S116" s="136">
        <v>65.75343</v>
      </c>
      <c r="T116" s="136">
        <v>2.0</v>
      </c>
      <c r="U116" s="138">
        <v>45747.963587962964</v>
      </c>
      <c r="V116" s="140"/>
      <c r="W116" s="140"/>
      <c r="X116" s="140"/>
      <c r="Y116" s="140"/>
      <c r="Z116" s="140"/>
    </row>
    <row r="117">
      <c r="A117" s="135" t="s">
        <v>4641</v>
      </c>
      <c r="B117" s="136" t="s">
        <v>864</v>
      </c>
      <c r="C117" s="136" t="s">
        <v>3275</v>
      </c>
      <c r="D117" s="136" t="s">
        <v>863</v>
      </c>
      <c r="E117" s="136">
        <v>2025.0</v>
      </c>
      <c r="F117" s="136" t="s">
        <v>1006</v>
      </c>
      <c r="G117" s="136" t="s">
        <v>5646</v>
      </c>
      <c r="H117" s="136" t="s">
        <v>5882</v>
      </c>
      <c r="I117" s="136" t="s">
        <v>4043</v>
      </c>
      <c r="J117" s="136" t="s">
        <v>5883</v>
      </c>
      <c r="K117" s="136">
        <v>73.0</v>
      </c>
      <c r="L117" s="136">
        <v>72.0</v>
      </c>
      <c r="M117" s="136">
        <v>64.13333</v>
      </c>
      <c r="N117" s="136">
        <v>0.0</v>
      </c>
      <c r="O117" s="136">
        <v>64.13333</v>
      </c>
      <c r="P117" s="136">
        <v>100.0</v>
      </c>
      <c r="Q117" s="136">
        <v>64.13333</v>
      </c>
      <c r="R117" s="136" t="s">
        <v>4200</v>
      </c>
      <c r="S117" s="136">
        <v>67.56757</v>
      </c>
      <c r="T117" s="136">
        <v>5.0</v>
      </c>
      <c r="U117" s="138">
        <v>45747.85010416667</v>
      </c>
      <c r="V117" s="140"/>
      <c r="W117" s="140"/>
      <c r="X117" s="140"/>
      <c r="Y117" s="140"/>
      <c r="Z117" s="140"/>
    </row>
    <row r="118">
      <c r="A118" s="135" t="s">
        <v>4644</v>
      </c>
      <c r="B118" s="136" t="s">
        <v>4645</v>
      </c>
      <c r="C118" s="136" t="s">
        <v>3280</v>
      </c>
      <c r="D118" s="136" t="s">
        <v>866</v>
      </c>
      <c r="E118" s="136">
        <v>2025.0</v>
      </c>
      <c r="F118" s="136" t="s">
        <v>1006</v>
      </c>
      <c r="G118" s="136" t="s">
        <v>5646</v>
      </c>
      <c r="H118" s="136" t="s">
        <v>5884</v>
      </c>
      <c r="I118" s="136" t="s">
        <v>4043</v>
      </c>
      <c r="J118" s="136" t="s">
        <v>5885</v>
      </c>
      <c r="K118" s="136">
        <v>73.0</v>
      </c>
      <c r="L118" s="136">
        <v>70.0</v>
      </c>
      <c r="M118" s="136">
        <v>40.43333</v>
      </c>
      <c r="N118" s="136">
        <v>0.0</v>
      </c>
      <c r="O118" s="136">
        <v>40.43333</v>
      </c>
      <c r="P118" s="136">
        <v>100.0</v>
      </c>
      <c r="Q118" s="136">
        <v>40.43333</v>
      </c>
      <c r="R118" s="136" t="s">
        <v>4045</v>
      </c>
      <c r="S118" s="136">
        <v>49.27536</v>
      </c>
      <c r="T118" s="136">
        <v>2.0</v>
      </c>
      <c r="U118" s="138">
        <v>45747.86671296296</v>
      </c>
      <c r="V118" s="140"/>
      <c r="W118" s="140"/>
      <c r="X118" s="140"/>
      <c r="Y118" s="140"/>
      <c r="Z118" s="140"/>
    </row>
    <row r="119">
      <c r="A119" s="135" t="s">
        <v>4648</v>
      </c>
      <c r="B119" s="136" t="s">
        <v>886</v>
      </c>
      <c r="C119" s="136" t="s">
        <v>3321</v>
      </c>
      <c r="D119" s="136" t="s">
        <v>885</v>
      </c>
      <c r="E119" s="136">
        <v>2025.0</v>
      </c>
      <c r="F119" s="136" t="s">
        <v>1006</v>
      </c>
      <c r="G119" s="136" t="s">
        <v>5646</v>
      </c>
      <c r="H119" s="136" t="s">
        <v>5886</v>
      </c>
      <c r="I119" s="136" t="s">
        <v>4043</v>
      </c>
      <c r="J119" s="136" t="s">
        <v>5887</v>
      </c>
      <c r="K119" s="136">
        <v>73.0</v>
      </c>
      <c r="L119" s="136">
        <v>72.0</v>
      </c>
      <c r="M119" s="136">
        <v>63.96667</v>
      </c>
      <c r="N119" s="136">
        <v>0.0</v>
      </c>
      <c r="O119" s="136">
        <v>63.96667</v>
      </c>
      <c r="P119" s="136">
        <v>100.0</v>
      </c>
      <c r="Q119" s="136">
        <v>63.96667</v>
      </c>
      <c r="R119" s="136" t="s">
        <v>4200</v>
      </c>
      <c r="S119" s="136">
        <v>71.23288</v>
      </c>
      <c r="T119" s="136">
        <v>1.0</v>
      </c>
      <c r="U119" s="138">
        <v>45747.806539351855</v>
      </c>
      <c r="V119" s="140"/>
      <c r="W119" s="140"/>
      <c r="X119" s="140"/>
      <c r="Y119" s="140"/>
      <c r="Z119" s="140"/>
    </row>
    <row r="120">
      <c r="A120" s="135" t="s">
        <v>4651</v>
      </c>
      <c r="B120" s="136" t="s">
        <v>4652</v>
      </c>
      <c r="C120" s="136" t="s">
        <v>3385</v>
      </c>
      <c r="D120" s="136" t="s">
        <v>905</v>
      </c>
      <c r="E120" s="136">
        <v>2025.0</v>
      </c>
      <c r="F120" s="136" t="s">
        <v>1006</v>
      </c>
      <c r="G120" s="136" t="s">
        <v>5646</v>
      </c>
      <c r="H120" s="136" t="s">
        <v>5888</v>
      </c>
      <c r="I120" s="136" t="s">
        <v>4043</v>
      </c>
      <c r="J120" s="136" t="s">
        <v>4438</v>
      </c>
      <c r="K120" s="136">
        <v>73.0</v>
      </c>
      <c r="L120" s="136">
        <v>72.0</v>
      </c>
      <c r="M120" s="136">
        <v>51.9</v>
      </c>
      <c r="N120" s="136">
        <v>0.0</v>
      </c>
      <c r="O120" s="136">
        <v>51.9</v>
      </c>
      <c r="P120" s="136">
        <v>100.0</v>
      </c>
      <c r="Q120" s="136">
        <v>51.9</v>
      </c>
      <c r="R120" s="136" t="s">
        <v>4045</v>
      </c>
      <c r="S120" s="136">
        <v>53.42466</v>
      </c>
      <c r="T120" s="136">
        <v>3.0</v>
      </c>
      <c r="U120" s="138">
        <v>45747.8969212963</v>
      </c>
      <c r="V120" s="140"/>
      <c r="W120" s="140"/>
      <c r="X120" s="140"/>
      <c r="Y120" s="140"/>
      <c r="Z120" s="140"/>
    </row>
    <row r="121">
      <c r="A121" s="135" t="s">
        <v>5889</v>
      </c>
      <c r="B121" s="136" t="s">
        <v>912</v>
      </c>
      <c r="C121" s="136" t="s">
        <v>3403</v>
      </c>
      <c r="D121" s="136" t="s">
        <v>911</v>
      </c>
      <c r="E121" s="136">
        <v>2025.0</v>
      </c>
      <c r="F121" s="136" t="s">
        <v>1006</v>
      </c>
      <c r="G121" s="136" t="s">
        <v>5646</v>
      </c>
      <c r="H121" s="136" t="s">
        <v>5890</v>
      </c>
      <c r="I121" s="136" t="s">
        <v>4043</v>
      </c>
      <c r="J121" s="136" t="s">
        <v>5891</v>
      </c>
      <c r="K121" s="136">
        <v>73.0</v>
      </c>
      <c r="L121" s="136">
        <v>71.0</v>
      </c>
      <c r="M121" s="136">
        <v>38.4</v>
      </c>
      <c r="N121" s="136">
        <v>0.0</v>
      </c>
      <c r="O121" s="136">
        <v>38.4</v>
      </c>
      <c r="P121" s="136">
        <v>100.0</v>
      </c>
      <c r="Q121" s="136">
        <v>38.4</v>
      </c>
      <c r="R121" s="136" t="s">
        <v>4045</v>
      </c>
      <c r="S121" s="136">
        <v>47.14286</v>
      </c>
      <c r="T121" s="136">
        <v>2.0</v>
      </c>
      <c r="U121" s="138">
        <v>45747.80981481481</v>
      </c>
      <c r="V121" s="140"/>
      <c r="W121" s="140"/>
      <c r="X121" s="140"/>
      <c r="Y121" s="140"/>
      <c r="Z121" s="140"/>
    </row>
    <row r="122">
      <c r="A122" s="135" t="s">
        <v>4655</v>
      </c>
      <c r="B122" s="136" t="s">
        <v>4656</v>
      </c>
      <c r="C122" s="136" t="s">
        <v>3409</v>
      </c>
      <c r="D122" s="136" t="s">
        <v>4657</v>
      </c>
      <c r="E122" s="136">
        <v>2025.0</v>
      </c>
      <c r="F122" s="136" t="s">
        <v>1006</v>
      </c>
      <c r="G122" s="136" t="s">
        <v>5646</v>
      </c>
      <c r="H122" s="136" t="s">
        <v>5892</v>
      </c>
      <c r="I122" s="136" t="s">
        <v>4043</v>
      </c>
      <c r="J122" s="136" t="s">
        <v>5893</v>
      </c>
      <c r="K122" s="136">
        <v>73.0</v>
      </c>
      <c r="L122" s="136">
        <v>70.0</v>
      </c>
      <c r="M122" s="136">
        <v>40.0</v>
      </c>
      <c r="N122" s="136">
        <v>0.0</v>
      </c>
      <c r="O122" s="136">
        <v>40.0</v>
      </c>
      <c r="P122" s="136">
        <v>100.0</v>
      </c>
      <c r="Q122" s="136">
        <v>40.0</v>
      </c>
      <c r="R122" s="136" t="s">
        <v>4045</v>
      </c>
      <c r="S122" s="136">
        <v>57.14286</v>
      </c>
      <c r="T122" s="136">
        <v>2.0</v>
      </c>
      <c r="U122" s="138">
        <v>45747.58909722222</v>
      </c>
      <c r="V122" s="140"/>
      <c r="W122" s="140"/>
      <c r="X122" s="140"/>
      <c r="Y122" s="140"/>
      <c r="Z122" s="140"/>
    </row>
    <row r="123">
      <c r="A123" s="135" t="s">
        <v>4660</v>
      </c>
      <c r="B123" s="136" t="s">
        <v>917</v>
      </c>
      <c r="C123" s="136" t="s">
        <v>4661</v>
      </c>
      <c r="D123" s="136" t="s">
        <v>916</v>
      </c>
      <c r="E123" s="136">
        <v>2025.0</v>
      </c>
      <c r="F123" s="136" t="s">
        <v>1006</v>
      </c>
      <c r="G123" s="136" t="s">
        <v>5646</v>
      </c>
      <c r="H123" s="136" t="s">
        <v>5894</v>
      </c>
      <c r="I123" s="136" t="s">
        <v>4043</v>
      </c>
      <c r="J123" s="136" t="s">
        <v>5895</v>
      </c>
      <c r="K123" s="136">
        <v>73.0</v>
      </c>
      <c r="L123" s="136">
        <v>72.0</v>
      </c>
      <c r="M123" s="136">
        <v>62.63333</v>
      </c>
      <c r="N123" s="136">
        <v>0.0</v>
      </c>
      <c r="O123" s="136">
        <v>62.63333</v>
      </c>
      <c r="P123" s="136">
        <v>100.0</v>
      </c>
      <c r="Q123" s="136">
        <v>62.63333</v>
      </c>
      <c r="R123" s="136" t="s">
        <v>4200</v>
      </c>
      <c r="S123" s="136">
        <v>72.22222</v>
      </c>
      <c r="T123" s="136">
        <v>1.0</v>
      </c>
      <c r="U123" s="138">
        <v>45747.866736111115</v>
      </c>
      <c r="V123" s="140"/>
      <c r="W123" s="140"/>
      <c r="X123" s="140"/>
      <c r="Y123" s="140"/>
      <c r="Z123" s="140"/>
    </row>
    <row r="124">
      <c r="A124" s="135" t="s">
        <v>4701</v>
      </c>
      <c r="B124" s="136" t="s">
        <v>4702</v>
      </c>
      <c r="C124" s="136" t="s">
        <v>3433</v>
      </c>
      <c r="D124" s="136" t="s">
        <v>4703</v>
      </c>
      <c r="E124" s="136">
        <v>2025.0</v>
      </c>
      <c r="F124" s="136" t="s">
        <v>1006</v>
      </c>
      <c r="G124" s="136" t="s">
        <v>5646</v>
      </c>
      <c r="H124" s="136" t="s">
        <v>5896</v>
      </c>
      <c r="I124" s="136" t="s">
        <v>4043</v>
      </c>
      <c r="J124" s="136" t="s">
        <v>5897</v>
      </c>
      <c r="K124" s="136">
        <v>73.0</v>
      </c>
      <c r="L124" s="136">
        <v>38.0</v>
      </c>
      <c r="M124" s="136">
        <v>17.0</v>
      </c>
      <c r="N124" s="136">
        <v>0.0</v>
      </c>
      <c r="O124" s="136">
        <v>17.0</v>
      </c>
      <c r="P124" s="136">
        <v>100.0</v>
      </c>
      <c r="Q124" s="136">
        <v>17.0</v>
      </c>
      <c r="R124" s="136" t="s">
        <v>4045</v>
      </c>
      <c r="S124" s="136">
        <v>44.73684</v>
      </c>
      <c r="T124" s="136">
        <v>9.0</v>
      </c>
      <c r="U124" s="138">
        <v>45747.9040625</v>
      </c>
      <c r="V124" s="140"/>
      <c r="W124" s="140"/>
      <c r="X124" s="140"/>
      <c r="Y124" s="140"/>
      <c r="Z124" s="140"/>
    </row>
    <row r="125">
      <c r="A125" s="135" t="s">
        <v>4706</v>
      </c>
      <c r="B125" s="136" t="s">
        <v>4707</v>
      </c>
      <c r="C125" s="136" t="s">
        <v>3439</v>
      </c>
      <c r="D125" s="136" t="s">
        <v>4708</v>
      </c>
      <c r="E125" s="136">
        <v>2025.0</v>
      </c>
      <c r="F125" s="136" t="s">
        <v>1006</v>
      </c>
      <c r="G125" s="136" t="s">
        <v>5646</v>
      </c>
      <c r="H125" s="136" t="s">
        <v>5898</v>
      </c>
      <c r="I125" s="136" t="s">
        <v>4043</v>
      </c>
      <c r="J125" s="136" t="s">
        <v>5899</v>
      </c>
      <c r="K125" s="136">
        <v>73.0</v>
      </c>
      <c r="L125" s="136">
        <v>73.0</v>
      </c>
      <c r="M125" s="136">
        <v>28.3</v>
      </c>
      <c r="N125" s="136">
        <v>0.0</v>
      </c>
      <c r="O125" s="136">
        <v>28.3</v>
      </c>
      <c r="P125" s="136">
        <v>100.0</v>
      </c>
      <c r="Q125" s="136">
        <v>28.3</v>
      </c>
      <c r="R125" s="136" t="s">
        <v>4045</v>
      </c>
      <c r="S125" s="136">
        <v>29.33333</v>
      </c>
      <c r="T125" s="136">
        <v>1.0</v>
      </c>
      <c r="U125" s="138">
        <v>45747.67795138889</v>
      </c>
      <c r="V125" s="140"/>
      <c r="W125" s="140"/>
      <c r="X125" s="140"/>
      <c r="Y125" s="140"/>
      <c r="Z125" s="140"/>
    </row>
    <row r="126">
      <c r="A126" s="135" t="s">
        <v>4711</v>
      </c>
      <c r="B126" s="136" t="s">
        <v>931</v>
      </c>
      <c r="C126" s="136" t="s">
        <v>3450</v>
      </c>
      <c r="D126" s="136" t="s">
        <v>3911</v>
      </c>
      <c r="E126" s="136">
        <v>2025.0</v>
      </c>
      <c r="F126" s="136" t="s">
        <v>1006</v>
      </c>
      <c r="G126" s="136" t="s">
        <v>5646</v>
      </c>
      <c r="H126" s="136" t="s">
        <v>5900</v>
      </c>
      <c r="I126" s="136" t="s">
        <v>4043</v>
      </c>
      <c r="J126" s="136" t="s">
        <v>5901</v>
      </c>
      <c r="K126" s="136">
        <v>73.0</v>
      </c>
      <c r="L126" s="136">
        <v>71.0</v>
      </c>
      <c r="M126" s="136">
        <v>48.26667</v>
      </c>
      <c r="N126" s="136">
        <v>0.0</v>
      </c>
      <c r="O126" s="136">
        <v>48.26667</v>
      </c>
      <c r="P126" s="136">
        <v>100.0</v>
      </c>
      <c r="Q126" s="136">
        <v>48.26667</v>
      </c>
      <c r="R126" s="136" t="s">
        <v>4045</v>
      </c>
      <c r="S126" s="136">
        <v>60.0</v>
      </c>
      <c r="T126" s="136">
        <v>1.0</v>
      </c>
      <c r="U126" s="138">
        <v>45747.799305555556</v>
      </c>
      <c r="V126" s="140"/>
      <c r="W126" s="140"/>
      <c r="X126" s="140"/>
      <c r="Y126" s="140"/>
      <c r="Z126" s="140"/>
    </row>
    <row r="127">
      <c r="A127" s="135" t="s">
        <v>4178</v>
      </c>
      <c r="B127" s="136" t="s">
        <v>4179</v>
      </c>
      <c r="C127" s="136" t="s">
        <v>4180</v>
      </c>
      <c r="D127" s="136" t="s">
        <v>4181</v>
      </c>
      <c r="E127" s="136">
        <v>2025.0</v>
      </c>
      <c r="F127" s="136" t="s">
        <v>3719</v>
      </c>
      <c r="G127" s="136" t="s">
        <v>5646</v>
      </c>
      <c r="H127" s="136" t="s">
        <v>5902</v>
      </c>
      <c r="I127" s="136" t="s">
        <v>4043</v>
      </c>
      <c r="J127" s="136" t="s">
        <v>4470</v>
      </c>
      <c r="K127" s="136">
        <v>73.0</v>
      </c>
      <c r="L127" s="136">
        <v>71.0</v>
      </c>
      <c r="M127" s="136">
        <v>48.76667</v>
      </c>
      <c r="N127" s="136">
        <v>0.0</v>
      </c>
      <c r="O127" s="136">
        <v>48.76667</v>
      </c>
      <c r="P127" s="136">
        <v>100.0</v>
      </c>
      <c r="Q127" s="136">
        <v>48.76667</v>
      </c>
      <c r="R127" s="136" t="s">
        <v>4045</v>
      </c>
      <c r="S127" s="136">
        <v>61.42857</v>
      </c>
      <c r="T127" s="136">
        <v>1.0</v>
      </c>
      <c r="U127" s="138">
        <v>45747.98525462963</v>
      </c>
      <c r="V127" s="140"/>
      <c r="W127" s="140"/>
      <c r="X127" s="140"/>
      <c r="Y127" s="140"/>
      <c r="Z127" s="140"/>
    </row>
    <row r="128">
      <c r="A128" s="135" t="s">
        <v>5903</v>
      </c>
      <c r="B128" s="136" t="s">
        <v>3727</v>
      </c>
      <c r="C128" s="136" t="s">
        <v>3728</v>
      </c>
      <c r="D128" s="136" t="s">
        <v>3724</v>
      </c>
      <c r="E128" s="136">
        <v>2025.0</v>
      </c>
      <c r="F128" s="136" t="s">
        <v>3719</v>
      </c>
      <c r="G128" s="136" t="s">
        <v>5646</v>
      </c>
      <c r="H128" s="136" t="s">
        <v>5904</v>
      </c>
      <c r="I128" s="136" t="s">
        <v>4043</v>
      </c>
      <c r="J128" s="136" t="s">
        <v>5905</v>
      </c>
      <c r="K128" s="136">
        <v>73.0</v>
      </c>
      <c r="L128" s="136">
        <v>43.0</v>
      </c>
      <c r="M128" s="136">
        <v>34.86667</v>
      </c>
      <c r="N128" s="136">
        <v>0.0</v>
      </c>
      <c r="O128" s="136">
        <v>34.86667</v>
      </c>
      <c r="P128" s="136">
        <v>100.0</v>
      </c>
      <c r="Q128" s="136">
        <v>34.86667</v>
      </c>
      <c r="R128" s="136" t="s">
        <v>4045</v>
      </c>
      <c r="S128" s="136">
        <v>69.04762</v>
      </c>
      <c r="T128" s="136">
        <v>2.0</v>
      </c>
      <c r="U128" s="138">
        <v>45747.93430555556</v>
      </c>
      <c r="V128" s="140"/>
      <c r="W128" s="140"/>
      <c r="X128" s="140"/>
      <c r="Y128" s="140"/>
      <c r="Z128" s="140"/>
    </row>
    <row r="129">
      <c r="A129" s="135" t="s">
        <v>4194</v>
      </c>
      <c r="B129" s="136" t="s">
        <v>4195</v>
      </c>
      <c r="C129" s="136" t="s">
        <v>4196</v>
      </c>
      <c r="D129" s="136" t="s">
        <v>4197</v>
      </c>
      <c r="E129" s="136">
        <v>2025.0</v>
      </c>
      <c r="F129" s="136" t="s">
        <v>3719</v>
      </c>
      <c r="G129" s="136" t="s">
        <v>5646</v>
      </c>
      <c r="H129" s="136" t="s">
        <v>5906</v>
      </c>
      <c r="I129" s="136" t="s">
        <v>4043</v>
      </c>
      <c r="J129" s="136" t="s">
        <v>5907</v>
      </c>
      <c r="K129" s="136">
        <v>73.0</v>
      </c>
      <c r="L129" s="136">
        <v>71.0</v>
      </c>
      <c r="M129" s="136">
        <v>63.66667</v>
      </c>
      <c r="N129" s="136">
        <v>0.0</v>
      </c>
      <c r="O129" s="136">
        <v>63.66667</v>
      </c>
      <c r="P129" s="136">
        <v>100.0</v>
      </c>
      <c r="Q129" s="136">
        <v>63.66667</v>
      </c>
      <c r="R129" s="136" t="s">
        <v>4200</v>
      </c>
      <c r="S129" s="136">
        <v>82.85714</v>
      </c>
      <c r="T129" s="136">
        <v>1.0</v>
      </c>
      <c r="U129" s="138">
        <v>45747.74450231482</v>
      </c>
      <c r="V129" s="140"/>
      <c r="W129" s="140"/>
      <c r="X129" s="140"/>
      <c r="Y129" s="140"/>
      <c r="Z129" s="140"/>
    </row>
    <row r="130">
      <c r="A130" s="135" t="s">
        <v>5908</v>
      </c>
      <c r="B130" s="136" t="s">
        <v>5909</v>
      </c>
      <c r="C130" s="136" t="s">
        <v>5910</v>
      </c>
      <c r="D130" s="136" t="s">
        <v>5911</v>
      </c>
      <c r="E130" s="136">
        <v>2025.0</v>
      </c>
      <c r="F130" s="136" t="s">
        <v>3719</v>
      </c>
      <c r="G130" s="136" t="s">
        <v>5646</v>
      </c>
      <c r="H130" s="136" t="s">
        <v>5912</v>
      </c>
      <c r="I130" s="136" t="s">
        <v>4043</v>
      </c>
      <c r="J130" s="136" t="s">
        <v>5913</v>
      </c>
      <c r="K130" s="136">
        <v>73.0</v>
      </c>
      <c r="L130" s="136">
        <v>69.0</v>
      </c>
      <c r="M130" s="136">
        <v>36.53333</v>
      </c>
      <c r="N130" s="136">
        <v>0.0</v>
      </c>
      <c r="O130" s="136">
        <v>36.53333</v>
      </c>
      <c r="P130" s="136">
        <v>100.0</v>
      </c>
      <c r="Q130" s="136">
        <v>36.53333</v>
      </c>
      <c r="R130" s="136" t="s">
        <v>4045</v>
      </c>
      <c r="S130" s="136">
        <v>44.11765</v>
      </c>
      <c r="T130" s="136">
        <v>4.0</v>
      </c>
      <c r="U130" s="138">
        <v>45747.89399305556</v>
      </c>
      <c r="V130" s="140"/>
      <c r="W130" s="140"/>
      <c r="X130" s="140"/>
      <c r="Y130" s="140"/>
      <c r="Z130" s="140"/>
    </row>
    <row r="131">
      <c r="A131" s="135" t="s">
        <v>5914</v>
      </c>
      <c r="B131" s="136" t="s">
        <v>5915</v>
      </c>
      <c r="C131" s="136" t="s">
        <v>5916</v>
      </c>
      <c r="D131" s="136" t="s">
        <v>5917</v>
      </c>
      <c r="E131" s="136">
        <v>2025.0</v>
      </c>
      <c r="F131" s="136" t="s">
        <v>3719</v>
      </c>
      <c r="G131" s="136" t="s">
        <v>5646</v>
      </c>
      <c r="H131" s="136" t="s">
        <v>5918</v>
      </c>
      <c r="I131" s="136" t="s">
        <v>4152</v>
      </c>
      <c r="J131" s="136" t="s">
        <v>4153</v>
      </c>
      <c r="K131" s="136" t="s">
        <v>1003</v>
      </c>
      <c r="L131" s="136" t="s">
        <v>1003</v>
      </c>
      <c r="M131" s="136" t="s">
        <v>1003</v>
      </c>
      <c r="N131" s="136" t="s">
        <v>1003</v>
      </c>
      <c r="O131" s="136" t="s">
        <v>1003</v>
      </c>
      <c r="P131" s="136" t="s">
        <v>1003</v>
      </c>
      <c r="Q131" s="136" t="s">
        <v>1003</v>
      </c>
      <c r="R131" s="136" t="s">
        <v>1003</v>
      </c>
      <c r="S131" s="136" t="s">
        <v>1003</v>
      </c>
      <c r="T131" s="136">
        <v>3.0</v>
      </c>
      <c r="U131" s="136" t="s">
        <v>1003</v>
      </c>
      <c r="V131" s="140"/>
      <c r="W131" s="140"/>
      <c r="X131" s="140"/>
      <c r="Y131" s="140"/>
      <c r="Z131" s="140"/>
    </row>
    <row r="132">
      <c r="A132" s="135" t="s">
        <v>4213</v>
      </c>
      <c r="B132" s="136" t="s">
        <v>4214</v>
      </c>
      <c r="C132" s="136" t="s">
        <v>4215</v>
      </c>
      <c r="D132" s="136" t="s">
        <v>4216</v>
      </c>
      <c r="E132" s="136">
        <v>2025.0</v>
      </c>
      <c r="F132" s="136" t="s">
        <v>3719</v>
      </c>
      <c r="G132" s="136" t="s">
        <v>5646</v>
      </c>
      <c r="H132" s="136" t="s">
        <v>5919</v>
      </c>
      <c r="I132" s="136" t="s">
        <v>4043</v>
      </c>
      <c r="J132" s="136" t="s">
        <v>5920</v>
      </c>
      <c r="K132" s="136">
        <v>73.0</v>
      </c>
      <c r="L132" s="136">
        <v>65.0</v>
      </c>
      <c r="M132" s="136">
        <v>48.33333</v>
      </c>
      <c r="N132" s="136">
        <v>0.0</v>
      </c>
      <c r="O132" s="136">
        <v>48.33333</v>
      </c>
      <c r="P132" s="136">
        <v>100.0</v>
      </c>
      <c r="Q132" s="136">
        <v>48.33333</v>
      </c>
      <c r="R132" s="136" t="s">
        <v>4045</v>
      </c>
      <c r="S132" s="136">
        <v>63.07692</v>
      </c>
      <c r="T132" s="136">
        <v>1.0</v>
      </c>
      <c r="U132" s="138">
        <v>45747.94792824074</v>
      </c>
      <c r="V132" s="140"/>
      <c r="W132" s="140"/>
      <c r="X132" s="140"/>
      <c r="Y132" s="140"/>
      <c r="Z132" s="140"/>
    </row>
    <row r="133">
      <c r="A133" s="135" t="s">
        <v>4219</v>
      </c>
      <c r="B133" s="136" t="s">
        <v>4220</v>
      </c>
      <c r="C133" s="136" t="s">
        <v>4221</v>
      </c>
      <c r="D133" s="136" t="s">
        <v>4222</v>
      </c>
      <c r="E133" s="136">
        <v>2025.0</v>
      </c>
      <c r="F133" s="136" t="s">
        <v>3719</v>
      </c>
      <c r="G133" s="136" t="s">
        <v>5646</v>
      </c>
      <c r="H133" s="136" t="s">
        <v>5921</v>
      </c>
      <c r="I133" s="136" t="s">
        <v>4152</v>
      </c>
      <c r="J133" s="136" t="s">
        <v>4153</v>
      </c>
      <c r="K133" s="136" t="s">
        <v>1003</v>
      </c>
      <c r="L133" s="136" t="s">
        <v>1003</v>
      </c>
      <c r="M133" s="136" t="s">
        <v>1003</v>
      </c>
      <c r="N133" s="136" t="s">
        <v>1003</v>
      </c>
      <c r="O133" s="136" t="s">
        <v>1003</v>
      </c>
      <c r="P133" s="136" t="s">
        <v>1003</v>
      </c>
      <c r="Q133" s="136" t="s">
        <v>1003</v>
      </c>
      <c r="R133" s="136" t="s">
        <v>1003</v>
      </c>
      <c r="S133" s="136" t="s">
        <v>1003</v>
      </c>
      <c r="T133" s="136">
        <v>0.0</v>
      </c>
      <c r="U133" s="136" t="s">
        <v>1003</v>
      </c>
      <c r="V133" s="140"/>
      <c r="W133" s="140"/>
      <c r="X133" s="140"/>
      <c r="Y133" s="140"/>
      <c r="Z133" s="140"/>
    </row>
    <row r="134">
      <c r="A134" s="135" t="s">
        <v>4225</v>
      </c>
      <c r="B134" s="136" t="s">
        <v>4226</v>
      </c>
      <c r="C134" s="136" t="s">
        <v>4227</v>
      </c>
      <c r="D134" s="136" t="s">
        <v>4228</v>
      </c>
      <c r="E134" s="136">
        <v>2025.0</v>
      </c>
      <c r="F134" s="136" t="s">
        <v>3719</v>
      </c>
      <c r="G134" s="136" t="s">
        <v>5646</v>
      </c>
      <c r="H134" s="136" t="s">
        <v>5922</v>
      </c>
      <c r="I134" s="136" t="s">
        <v>4043</v>
      </c>
      <c r="J134" s="136" t="s">
        <v>5286</v>
      </c>
      <c r="K134" s="136">
        <v>73.0</v>
      </c>
      <c r="L134" s="136">
        <v>40.0</v>
      </c>
      <c r="M134" s="136">
        <v>24.0</v>
      </c>
      <c r="N134" s="136">
        <v>0.0</v>
      </c>
      <c r="O134" s="136">
        <v>24.0</v>
      </c>
      <c r="P134" s="136">
        <v>100.0</v>
      </c>
      <c r="Q134" s="136">
        <v>24.0</v>
      </c>
      <c r="R134" s="136" t="s">
        <v>4045</v>
      </c>
      <c r="S134" s="136">
        <v>60.0</v>
      </c>
      <c r="T134" s="136">
        <v>2.0</v>
      </c>
      <c r="U134" s="138">
        <v>45747.95515046296</v>
      </c>
      <c r="V134" s="140"/>
      <c r="W134" s="140"/>
      <c r="X134" s="140"/>
      <c r="Y134" s="140"/>
      <c r="Z134" s="140"/>
    </row>
    <row r="135">
      <c r="A135" s="135" t="s">
        <v>4243</v>
      </c>
      <c r="B135" s="136" t="s">
        <v>4244</v>
      </c>
      <c r="C135" s="136" t="s">
        <v>3960</v>
      </c>
      <c r="D135" s="136" t="s">
        <v>3954</v>
      </c>
      <c r="E135" s="136">
        <v>2025.0</v>
      </c>
      <c r="F135" s="136" t="s">
        <v>3719</v>
      </c>
      <c r="G135" s="136" t="s">
        <v>5646</v>
      </c>
      <c r="H135" s="136" t="s">
        <v>5923</v>
      </c>
      <c r="I135" s="136" t="s">
        <v>4043</v>
      </c>
      <c r="J135" s="136" t="s">
        <v>5924</v>
      </c>
      <c r="K135" s="136">
        <v>73.0</v>
      </c>
      <c r="L135" s="136">
        <v>69.0</v>
      </c>
      <c r="M135" s="136">
        <v>14.0</v>
      </c>
      <c r="N135" s="136">
        <v>0.0</v>
      </c>
      <c r="O135" s="136">
        <v>14.0</v>
      </c>
      <c r="P135" s="136">
        <v>100.0</v>
      </c>
      <c r="Q135" s="136">
        <v>14.0</v>
      </c>
      <c r="R135" s="136" t="s">
        <v>4045</v>
      </c>
      <c r="S135" s="136">
        <v>20.28986</v>
      </c>
      <c r="T135" s="136">
        <v>3.0</v>
      </c>
      <c r="U135" s="138">
        <v>45749.360868055555</v>
      </c>
      <c r="V135" s="140"/>
      <c r="W135" s="140"/>
      <c r="X135" s="140"/>
      <c r="Y135" s="140"/>
      <c r="Z135" s="140"/>
    </row>
    <row r="136">
      <c r="A136" s="135" t="s">
        <v>5925</v>
      </c>
      <c r="B136" s="136" t="s">
        <v>5926</v>
      </c>
      <c r="C136" s="136" t="s">
        <v>5927</v>
      </c>
      <c r="D136" s="136" t="s">
        <v>5928</v>
      </c>
      <c r="E136" s="136">
        <v>2025.0</v>
      </c>
      <c r="F136" s="136" t="s">
        <v>4718</v>
      </c>
      <c r="G136" s="136" t="s">
        <v>5646</v>
      </c>
      <c r="H136" s="136" t="s">
        <v>5929</v>
      </c>
      <c r="I136" s="136" t="s">
        <v>4043</v>
      </c>
      <c r="J136" s="136" t="s">
        <v>5930</v>
      </c>
      <c r="K136" s="136">
        <v>73.0</v>
      </c>
      <c r="L136" s="136">
        <v>71.0</v>
      </c>
      <c r="M136" s="136">
        <v>46.66667</v>
      </c>
      <c r="N136" s="136">
        <v>0.0</v>
      </c>
      <c r="O136" s="136">
        <v>46.66667</v>
      </c>
      <c r="P136" s="136">
        <v>100.0</v>
      </c>
      <c r="Q136" s="136">
        <v>46.66667</v>
      </c>
      <c r="R136" s="136" t="s">
        <v>4045</v>
      </c>
      <c r="S136" s="136">
        <v>57.14286</v>
      </c>
      <c r="T136" s="136">
        <v>1.0</v>
      </c>
      <c r="U136" s="138">
        <v>45747.881273148145</v>
      </c>
      <c r="V136" s="140"/>
      <c r="W136" s="140"/>
      <c r="X136" s="140"/>
      <c r="Y136" s="140"/>
      <c r="Z136" s="140"/>
    </row>
    <row r="137">
      <c r="A137" s="135" t="s">
        <v>4721</v>
      </c>
      <c r="B137" s="136" t="s">
        <v>4722</v>
      </c>
      <c r="C137" s="136" t="s">
        <v>4723</v>
      </c>
      <c r="D137" s="136" t="s">
        <v>4724</v>
      </c>
      <c r="E137" s="136">
        <v>2025.0</v>
      </c>
      <c r="F137" s="136" t="s">
        <v>4718</v>
      </c>
      <c r="G137" s="136" t="s">
        <v>5646</v>
      </c>
      <c r="H137" s="136" t="s">
        <v>5931</v>
      </c>
      <c r="I137" s="136" t="s">
        <v>4043</v>
      </c>
      <c r="J137" s="136" t="s">
        <v>5932</v>
      </c>
      <c r="K137" s="136">
        <v>73.0</v>
      </c>
      <c r="L137" s="136">
        <v>71.0</v>
      </c>
      <c r="M137" s="136">
        <v>52.63333</v>
      </c>
      <c r="N137" s="136">
        <v>0.0</v>
      </c>
      <c r="O137" s="136">
        <v>52.63333</v>
      </c>
      <c r="P137" s="136">
        <v>100.0</v>
      </c>
      <c r="Q137" s="136">
        <v>52.63333</v>
      </c>
      <c r="R137" s="136" t="s">
        <v>4045</v>
      </c>
      <c r="S137" s="136">
        <v>67.14286</v>
      </c>
      <c r="T137" s="136">
        <v>0.0</v>
      </c>
      <c r="U137" s="138">
        <v>45747.435381944444</v>
      </c>
      <c r="V137" s="140"/>
      <c r="W137" s="140"/>
      <c r="X137" s="140"/>
      <c r="Y137" s="140"/>
      <c r="Z137" s="140"/>
    </row>
    <row r="138">
      <c r="A138" s="135" t="s">
        <v>4733</v>
      </c>
      <c r="B138" s="136" t="s">
        <v>4734</v>
      </c>
      <c r="C138" s="136" t="s">
        <v>4735</v>
      </c>
      <c r="D138" s="136" t="s">
        <v>4736</v>
      </c>
      <c r="E138" s="136">
        <v>2025.0</v>
      </c>
      <c r="F138" s="136" t="s">
        <v>4718</v>
      </c>
      <c r="G138" s="136" t="s">
        <v>5646</v>
      </c>
      <c r="H138" s="136" t="s">
        <v>5933</v>
      </c>
      <c r="I138" s="136" t="s">
        <v>4043</v>
      </c>
      <c r="J138" s="136" t="s">
        <v>5934</v>
      </c>
      <c r="K138" s="136">
        <v>73.0</v>
      </c>
      <c r="L138" s="136">
        <v>73.0</v>
      </c>
      <c r="M138" s="136">
        <v>53.43333</v>
      </c>
      <c r="N138" s="136">
        <v>0.0</v>
      </c>
      <c r="O138" s="136">
        <v>53.43333</v>
      </c>
      <c r="P138" s="136">
        <v>100.0</v>
      </c>
      <c r="Q138" s="136">
        <v>53.43333</v>
      </c>
      <c r="R138" s="136" t="s">
        <v>4045</v>
      </c>
      <c r="S138" s="136">
        <v>58.66667</v>
      </c>
      <c r="T138" s="136">
        <v>2.0</v>
      </c>
      <c r="U138" s="138">
        <v>45748.50733796296</v>
      </c>
      <c r="V138" s="140"/>
      <c r="W138" s="140"/>
      <c r="X138" s="140"/>
      <c r="Y138" s="140"/>
      <c r="Z138" s="140"/>
    </row>
    <row r="139">
      <c r="A139" s="135" t="s">
        <v>4745</v>
      </c>
      <c r="B139" s="136" t="s">
        <v>4746</v>
      </c>
      <c r="C139" s="136" t="s">
        <v>4747</v>
      </c>
      <c r="D139" s="136" t="s">
        <v>4748</v>
      </c>
      <c r="E139" s="136">
        <v>2025.0</v>
      </c>
      <c r="F139" s="136" t="s">
        <v>4718</v>
      </c>
      <c r="G139" s="136" t="s">
        <v>5646</v>
      </c>
      <c r="H139" s="136" t="s">
        <v>5935</v>
      </c>
      <c r="I139" s="136" t="s">
        <v>4043</v>
      </c>
      <c r="J139" s="136" t="s">
        <v>5936</v>
      </c>
      <c r="K139" s="136">
        <v>73.0</v>
      </c>
      <c r="L139" s="136">
        <v>73.0</v>
      </c>
      <c r="M139" s="136">
        <v>62.7</v>
      </c>
      <c r="N139" s="136">
        <v>0.0</v>
      </c>
      <c r="O139" s="136">
        <v>62.7</v>
      </c>
      <c r="P139" s="136">
        <v>100.0</v>
      </c>
      <c r="Q139" s="136">
        <v>62.7</v>
      </c>
      <c r="R139" s="136" t="s">
        <v>4200</v>
      </c>
      <c r="S139" s="136">
        <v>70.66667</v>
      </c>
      <c r="T139" s="136">
        <v>1.0</v>
      </c>
      <c r="U139" s="138">
        <v>45747.71325231482</v>
      </c>
      <c r="V139" s="140"/>
      <c r="W139" s="140"/>
      <c r="X139" s="140"/>
      <c r="Y139" s="140"/>
      <c r="Z139" s="140"/>
    </row>
    <row r="140">
      <c r="A140" s="135" t="s">
        <v>4756</v>
      </c>
      <c r="B140" s="136" t="s">
        <v>4757</v>
      </c>
      <c r="C140" s="136" t="s">
        <v>4758</v>
      </c>
      <c r="D140" s="136" t="s">
        <v>4759</v>
      </c>
      <c r="E140" s="136">
        <v>2025.0</v>
      </c>
      <c r="F140" s="136" t="s">
        <v>4718</v>
      </c>
      <c r="G140" s="136" t="s">
        <v>5646</v>
      </c>
      <c r="H140" s="136" t="s">
        <v>5937</v>
      </c>
      <c r="I140" s="136" t="s">
        <v>4043</v>
      </c>
      <c r="J140" s="136" t="s">
        <v>5208</v>
      </c>
      <c r="K140" s="136">
        <v>73.0</v>
      </c>
      <c r="L140" s="136">
        <v>52.0</v>
      </c>
      <c r="M140" s="136">
        <v>43.83333</v>
      </c>
      <c r="N140" s="136">
        <v>0.0</v>
      </c>
      <c r="O140" s="136">
        <v>43.83333</v>
      </c>
      <c r="P140" s="136">
        <v>100.0</v>
      </c>
      <c r="Q140" s="136">
        <v>43.83333</v>
      </c>
      <c r="R140" s="136" t="s">
        <v>4045</v>
      </c>
      <c r="S140" s="136">
        <v>76.47059</v>
      </c>
      <c r="T140" s="136">
        <v>3.0</v>
      </c>
      <c r="U140" s="138">
        <v>45747.718726851854</v>
      </c>
      <c r="V140" s="140"/>
      <c r="W140" s="140"/>
      <c r="X140" s="140"/>
      <c r="Y140" s="140"/>
      <c r="Z140" s="140"/>
    </row>
    <row r="141">
      <c r="A141" s="135" t="s">
        <v>4762</v>
      </c>
      <c r="B141" s="136" t="s">
        <v>4763</v>
      </c>
      <c r="C141" s="136" t="s">
        <v>4764</v>
      </c>
      <c r="D141" s="136" t="s">
        <v>4765</v>
      </c>
      <c r="E141" s="136">
        <v>2025.0</v>
      </c>
      <c r="F141" s="136" t="s">
        <v>4718</v>
      </c>
      <c r="G141" s="136" t="s">
        <v>5646</v>
      </c>
      <c r="H141" s="136" t="s">
        <v>5938</v>
      </c>
      <c r="I141" s="136" t="s">
        <v>4043</v>
      </c>
      <c r="J141" s="136" t="s">
        <v>5939</v>
      </c>
      <c r="K141" s="136">
        <v>73.0</v>
      </c>
      <c r="L141" s="136">
        <v>33.0</v>
      </c>
      <c r="M141" s="136">
        <v>33.0</v>
      </c>
      <c r="N141" s="136">
        <v>0.0</v>
      </c>
      <c r="O141" s="136">
        <v>33.0</v>
      </c>
      <c r="P141" s="136">
        <v>100.0</v>
      </c>
      <c r="Q141" s="136">
        <v>33.0</v>
      </c>
      <c r="R141" s="136" t="s">
        <v>4045</v>
      </c>
      <c r="S141" s="136">
        <v>73.52941</v>
      </c>
      <c r="T141" s="136">
        <v>8.0</v>
      </c>
      <c r="U141" s="138">
        <v>45747.9312037037</v>
      </c>
      <c r="V141" s="140"/>
      <c r="W141" s="140"/>
      <c r="X141" s="140"/>
      <c r="Y141" s="140"/>
      <c r="Z141" s="140"/>
    </row>
    <row r="142">
      <c r="A142" s="135" t="s">
        <v>4768</v>
      </c>
      <c r="B142" s="136" t="s">
        <v>4769</v>
      </c>
      <c r="C142" s="136" t="s">
        <v>4770</v>
      </c>
      <c r="D142" s="136" t="s">
        <v>4771</v>
      </c>
      <c r="E142" s="136">
        <v>2025.0</v>
      </c>
      <c r="F142" s="136" t="s">
        <v>4718</v>
      </c>
      <c r="G142" s="136" t="s">
        <v>5646</v>
      </c>
      <c r="H142" s="136" t="s">
        <v>5940</v>
      </c>
      <c r="I142" s="136" t="s">
        <v>4043</v>
      </c>
      <c r="J142" s="136" t="s">
        <v>5941</v>
      </c>
      <c r="K142" s="136">
        <v>73.0</v>
      </c>
      <c r="L142" s="136">
        <v>70.0</v>
      </c>
      <c r="M142" s="136">
        <v>49.0</v>
      </c>
      <c r="N142" s="136">
        <v>0.0</v>
      </c>
      <c r="O142" s="136">
        <v>49.0</v>
      </c>
      <c r="P142" s="136">
        <v>100.0</v>
      </c>
      <c r="Q142" s="136">
        <v>49.0</v>
      </c>
      <c r="R142" s="136" t="s">
        <v>4045</v>
      </c>
      <c r="S142" s="136">
        <v>70.0</v>
      </c>
      <c r="T142" s="136">
        <v>1.0</v>
      </c>
      <c r="U142" s="138">
        <v>45748.646006944444</v>
      </c>
      <c r="V142" s="140"/>
      <c r="W142" s="140"/>
      <c r="X142" s="140"/>
      <c r="Y142" s="140"/>
      <c r="Z142" s="140"/>
    </row>
    <row r="143">
      <c r="A143" s="135" t="s">
        <v>5942</v>
      </c>
      <c r="B143" s="136" t="s">
        <v>5943</v>
      </c>
      <c r="C143" s="136" t="s">
        <v>5944</v>
      </c>
      <c r="D143" s="136" t="s">
        <v>5945</v>
      </c>
      <c r="E143" s="136">
        <v>2025.0</v>
      </c>
      <c r="F143" s="136" t="s">
        <v>4718</v>
      </c>
      <c r="G143" s="136" t="s">
        <v>5646</v>
      </c>
      <c r="H143" s="136" t="s">
        <v>5946</v>
      </c>
      <c r="I143" s="136" t="s">
        <v>4043</v>
      </c>
      <c r="J143" s="136" t="s">
        <v>5947</v>
      </c>
      <c r="K143" s="136">
        <v>73.0</v>
      </c>
      <c r="L143" s="136">
        <v>71.0</v>
      </c>
      <c r="M143" s="136">
        <v>37.9</v>
      </c>
      <c r="N143" s="136">
        <v>0.0</v>
      </c>
      <c r="O143" s="136">
        <v>37.9</v>
      </c>
      <c r="P143" s="136">
        <v>100.0</v>
      </c>
      <c r="Q143" s="136">
        <v>37.9</v>
      </c>
      <c r="R143" s="136" t="s">
        <v>4045</v>
      </c>
      <c r="S143" s="136">
        <v>50.0</v>
      </c>
      <c r="T143" s="136">
        <v>0.0</v>
      </c>
      <c r="U143" s="138">
        <v>45747.874456018515</v>
      </c>
      <c r="V143" s="140"/>
      <c r="W143" s="140"/>
      <c r="X143" s="140"/>
      <c r="Y143" s="140"/>
      <c r="Z143" s="140"/>
    </row>
    <row r="144">
      <c r="A144" s="135" t="s">
        <v>4774</v>
      </c>
      <c r="B144" s="136" t="s">
        <v>4775</v>
      </c>
      <c r="C144" s="136" t="s">
        <v>4776</v>
      </c>
      <c r="D144" s="136" t="s">
        <v>4777</v>
      </c>
      <c r="E144" s="136">
        <v>2025.0</v>
      </c>
      <c r="F144" s="136" t="s">
        <v>4718</v>
      </c>
      <c r="G144" s="136" t="s">
        <v>5646</v>
      </c>
      <c r="H144" s="136" t="s">
        <v>5948</v>
      </c>
      <c r="I144" s="136" t="s">
        <v>4043</v>
      </c>
      <c r="J144" s="136" t="s">
        <v>5949</v>
      </c>
      <c r="K144" s="136">
        <v>73.0</v>
      </c>
      <c r="L144" s="136">
        <v>71.0</v>
      </c>
      <c r="M144" s="136">
        <v>30.6</v>
      </c>
      <c r="N144" s="136">
        <v>0.0</v>
      </c>
      <c r="O144" s="136">
        <v>30.6</v>
      </c>
      <c r="P144" s="136">
        <v>100.0</v>
      </c>
      <c r="Q144" s="136">
        <v>30.6</v>
      </c>
      <c r="R144" s="136" t="s">
        <v>4045</v>
      </c>
      <c r="S144" s="136">
        <v>35.71429</v>
      </c>
      <c r="T144" s="136">
        <v>3.0</v>
      </c>
      <c r="U144" s="138">
        <v>45747.7781712963</v>
      </c>
      <c r="V144" s="140"/>
      <c r="W144" s="140"/>
      <c r="X144" s="140"/>
      <c r="Y144" s="140"/>
      <c r="Z144" s="140"/>
    </row>
    <row r="145">
      <c r="A145" s="135" t="s">
        <v>4780</v>
      </c>
      <c r="B145" s="136" t="s">
        <v>4781</v>
      </c>
      <c r="C145" s="136" t="s">
        <v>4782</v>
      </c>
      <c r="D145" s="136" t="s">
        <v>4783</v>
      </c>
      <c r="E145" s="136">
        <v>2025.0</v>
      </c>
      <c r="F145" s="136" t="s">
        <v>4718</v>
      </c>
      <c r="G145" s="136" t="s">
        <v>5646</v>
      </c>
      <c r="H145" s="136" t="s">
        <v>5950</v>
      </c>
      <c r="I145" s="136" t="s">
        <v>4043</v>
      </c>
      <c r="J145" s="136" t="s">
        <v>5951</v>
      </c>
      <c r="K145" s="136">
        <v>73.0</v>
      </c>
      <c r="L145" s="136">
        <v>71.0</v>
      </c>
      <c r="M145" s="136">
        <v>41.93333</v>
      </c>
      <c r="N145" s="136">
        <v>0.0</v>
      </c>
      <c r="O145" s="136">
        <v>41.93333</v>
      </c>
      <c r="P145" s="136">
        <v>100.0</v>
      </c>
      <c r="Q145" s="136">
        <v>41.93333</v>
      </c>
      <c r="R145" s="136" t="s">
        <v>4045</v>
      </c>
      <c r="S145" s="136">
        <v>51.42857</v>
      </c>
      <c r="T145" s="136">
        <v>1.0</v>
      </c>
      <c r="U145" s="138">
        <v>45747.724953703706</v>
      </c>
      <c r="V145" s="140"/>
      <c r="W145" s="140"/>
      <c r="X145" s="140"/>
      <c r="Y145" s="140"/>
      <c r="Z145" s="140"/>
    </row>
    <row r="146">
      <c r="A146" s="135" t="s">
        <v>4786</v>
      </c>
      <c r="B146" s="136" t="s">
        <v>4787</v>
      </c>
      <c r="C146" s="136" t="s">
        <v>4788</v>
      </c>
      <c r="D146" s="136" t="s">
        <v>4789</v>
      </c>
      <c r="E146" s="136">
        <v>2025.0</v>
      </c>
      <c r="F146" s="136" t="s">
        <v>4718</v>
      </c>
      <c r="G146" s="136" t="s">
        <v>5646</v>
      </c>
      <c r="H146" s="136" t="s">
        <v>5952</v>
      </c>
      <c r="I146" s="136" t="s">
        <v>4043</v>
      </c>
      <c r="J146" s="136" t="s">
        <v>5953</v>
      </c>
      <c r="K146" s="136">
        <v>73.0</v>
      </c>
      <c r="L146" s="136">
        <v>70.0</v>
      </c>
      <c r="M146" s="136">
        <v>43.0</v>
      </c>
      <c r="N146" s="136">
        <v>0.0</v>
      </c>
      <c r="O146" s="136">
        <v>43.0</v>
      </c>
      <c r="P146" s="136">
        <v>100.0</v>
      </c>
      <c r="Q146" s="136">
        <v>43.0</v>
      </c>
      <c r="R146" s="136" t="s">
        <v>4045</v>
      </c>
      <c r="S146" s="136">
        <v>61.42857</v>
      </c>
      <c r="T146" s="136">
        <v>6.0</v>
      </c>
      <c r="U146" s="138">
        <v>45748.93628472222</v>
      </c>
      <c r="V146" s="140"/>
      <c r="W146" s="140"/>
      <c r="X146" s="140"/>
      <c r="Y146" s="140"/>
      <c r="Z146" s="140"/>
    </row>
    <row r="147">
      <c r="A147" s="135" t="s">
        <v>5120</v>
      </c>
      <c r="B147" s="136" t="s">
        <v>5121</v>
      </c>
      <c r="C147" s="136" t="s">
        <v>5122</v>
      </c>
      <c r="D147" s="136" t="s">
        <v>5123</v>
      </c>
      <c r="E147" s="136">
        <v>2025.0</v>
      </c>
      <c r="F147" s="136" t="s">
        <v>4718</v>
      </c>
      <c r="G147" s="136" t="s">
        <v>5646</v>
      </c>
      <c r="H147" s="136" t="s">
        <v>5954</v>
      </c>
      <c r="I147" s="136" t="s">
        <v>4043</v>
      </c>
      <c r="J147" s="136" t="s">
        <v>5343</v>
      </c>
      <c r="K147" s="136">
        <v>73.0</v>
      </c>
      <c r="L147" s="136">
        <v>71.0</v>
      </c>
      <c r="M147" s="136">
        <v>37.66667</v>
      </c>
      <c r="N147" s="136">
        <v>0.0</v>
      </c>
      <c r="O147" s="136">
        <v>37.66667</v>
      </c>
      <c r="P147" s="136">
        <v>100.0</v>
      </c>
      <c r="Q147" s="136">
        <v>37.66667</v>
      </c>
      <c r="R147" s="136" t="s">
        <v>4045</v>
      </c>
      <c r="S147" s="136">
        <v>44.28571</v>
      </c>
      <c r="T147" s="136">
        <v>4.0</v>
      </c>
      <c r="U147" s="138">
        <v>45747.839525462965</v>
      </c>
      <c r="V147" s="140"/>
      <c r="W147" s="140"/>
      <c r="X147" s="140"/>
      <c r="Y147" s="140"/>
      <c r="Z147" s="140"/>
    </row>
    <row r="148">
      <c r="A148" s="135" t="s">
        <v>5126</v>
      </c>
      <c r="B148" s="136" t="s">
        <v>5127</v>
      </c>
      <c r="C148" s="136" t="s">
        <v>5128</v>
      </c>
      <c r="D148" s="136" t="s">
        <v>5129</v>
      </c>
      <c r="E148" s="136">
        <v>2025.0</v>
      </c>
      <c r="F148" s="136" t="s">
        <v>4718</v>
      </c>
      <c r="G148" s="136" t="s">
        <v>5646</v>
      </c>
      <c r="H148" s="136" t="s">
        <v>5955</v>
      </c>
      <c r="I148" s="136" t="s">
        <v>4043</v>
      </c>
      <c r="J148" s="136" t="s">
        <v>5286</v>
      </c>
      <c r="K148" s="136">
        <v>73.0</v>
      </c>
      <c r="L148" s="136">
        <v>71.0</v>
      </c>
      <c r="M148" s="136">
        <v>58.16667</v>
      </c>
      <c r="N148" s="136">
        <v>0.0</v>
      </c>
      <c r="O148" s="136">
        <v>58.16667</v>
      </c>
      <c r="P148" s="136">
        <v>100.0</v>
      </c>
      <c r="Q148" s="136">
        <v>58.16667</v>
      </c>
      <c r="R148" s="136" t="s">
        <v>4045</v>
      </c>
      <c r="S148" s="136">
        <v>74.28571</v>
      </c>
      <c r="T148" s="136">
        <v>1.0</v>
      </c>
      <c r="U148" s="138">
        <v>45748.000613425924</v>
      </c>
      <c r="V148" s="140"/>
      <c r="W148" s="140"/>
      <c r="X148" s="140"/>
      <c r="Y148" s="140"/>
      <c r="Z148" s="140"/>
    </row>
    <row r="149">
      <c r="A149" s="135" t="s">
        <v>4798</v>
      </c>
      <c r="B149" s="136" t="s">
        <v>4799</v>
      </c>
      <c r="C149" s="136" t="s">
        <v>4800</v>
      </c>
      <c r="D149" s="136" t="s">
        <v>4801</v>
      </c>
      <c r="E149" s="136">
        <v>2025.0</v>
      </c>
      <c r="F149" s="136" t="s">
        <v>4718</v>
      </c>
      <c r="G149" s="136" t="s">
        <v>5646</v>
      </c>
      <c r="H149" s="136" t="s">
        <v>5956</v>
      </c>
      <c r="I149" s="136" t="s">
        <v>4043</v>
      </c>
      <c r="J149" s="136" t="s">
        <v>5957</v>
      </c>
      <c r="K149" s="136">
        <v>73.0</v>
      </c>
      <c r="L149" s="136">
        <v>71.0</v>
      </c>
      <c r="M149" s="136">
        <v>58.66667</v>
      </c>
      <c r="N149" s="136">
        <v>0.0</v>
      </c>
      <c r="O149" s="136">
        <v>58.66667</v>
      </c>
      <c r="P149" s="136">
        <v>100.0</v>
      </c>
      <c r="Q149" s="136">
        <v>58.66667</v>
      </c>
      <c r="R149" s="136" t="s">
        <v>4045</v>
      </c>
      <c r="S149" s="136">
        <v>74.28571</v>
      </c>
      <c r="T149" s="136">
        <v>1.0</v>
      </c>
      <c r="U149" s="138">
        <v>45747.83967592593</v>
      </c>
      <c r="V149" s="140"/>
      <c r="W149" s="140"/>
      <c r="X149" s="140"/>
      <c r="Y149" s="140"/>
      <c r="Z149" s="140"/>
    </row>
    <row r="150">
      <c r="A150" s="135" t="s">
        <v>4803</v>
      </c>
      <c r="B150" s="136" t="s">
        <v>4804</v>
      </c>
      <c r="C150" s="136" t="s">
        <v>4805</v>
      </c>
      <c r="D150" s="136" t="s">
        <v>4806</v>
      </c>
      <c r="E150" s="136">
        <v>2025.0</v>
      </c>
      <c r="F150" s="136" t="s">
        <v>4718</v>
      </c>
      <c r="G150" s="136" t="s">
        <v>5646</v>
      </c>
      <c r="H150" s="136" t="s">
        <v>5958</v>
      </c>
      <c r="I150" s="136" t="s">
        <v>4043</v>
      </c>
      <c r="J150" s="136" t="s">
        <v>5959</v>
      </c>
      <c r="K150" s="136">
        <v>73.0</v>
      </c>
      <c r="L150" s="136">
        <v>60.0</v>
      </c>
      <c r="M150" s="136">
        <v>42.66667</v>
      </c>
      <c r="N150" s="136">
        <v>0.0</v>
      </c>
      <c r="O150" s="136">
        <v>42.66667</v>
      </c>
      <c r="P150" s="136">
        <v>100.0</v>
      </c>
      <c r="Q150" s="136">
        <v>42.66667</v>
      </c>
      <c r="R150" s="136" t="s">
        <v>4045</v>
      </c>
      <c r="S150" s="136">
        <v>61.01695</v>
      </c>
      <c r="T150" s="136">
        <v>2.0</v>
      </c>
      <c r="U150" s="138">
        <v>45747.414305555554</v>
      </c>
      <c r="V150" s="140"/>
      <c r="W150" s="140"/>
      <c r="X150" s="140"/>
      <c r="Y150" s="140"/>
      <c r="Z150" s="140"/>
    </row>
    <row r="151">
      <c r="A151" s="135" t="s">
        <v>4809</v>
      </c>
      <c r="B151" s="136" t="s">
        <v>4810</v>
      </c>
      <c r="C151" s="136" t="s">
        <v>4811</v>
      </c>
      <c r="D151" s="136" t="s">
        <v>4812</v>
      </c>
      <c r="E151" s="136">
        <v>2025.0</v>
      </c>
      <c r="F151" s="136" t="s">
        <v>4718</v>
      </c>
      <c r="G151" s="136" t="s">
        <v>5646</v>
      </c>
      <c r="H151" s="136" t="s">
        <v>5960</v>
      </c>
      <c r="I151" s="136" t="s">
        <v>4043</v>
      </c>
      <c r="J151" s="136" t="s">
        <v>5961</v>
      </c>
      <c r="K151" s="136">
        <v>73.0</v>
      </c>
      <c r="L151" s="136">
        <v>68.0</v>
      </c>
      <c r="M151" s="136">
        <v>42.7</v>
      </c>
      <c r="N151" s="136">
        <v>0.0</v>
      </c>
      <c r="O151" s="136">
        <v>42.7</v>
      </c>
      <c r="P151" s="136">
        <v>100.0</v>
      </c>
      <c r="Q151" s="136">
        <v>42.7</v>
      </c>
      <c r="R151" s="136" t="s">
        <v>4045</v>
      </c>
      <c r="S151" s="136">
        <v>56.71642</v>
      </c>
      <c r="T151" s="136">
        <v>6.0</v>
      </c>
      <c r="U151" s="138">
        <v>45748.50019675926</v>
      </c>
      <c r="V151" s="140"/>
      <c r="W151" s="140"/>
      <c r="X151" s="140"/>
      <c r="Y151" s="140"/>
      <c r="Z151" s="140"/>
    </row>
    <row r="152">
      <c r="A152" s="135" t="s">
        <v>4814</v>
      </c>
      <c r="B152" s="136" t="s">
        <v>4815</v>
      </c>
      <c r="C152" s="136" t="s">
        <v>4816</v>
      </c>
      <c r="D152" s="136" t="s">
        <v>4817</v>
      </c>
      <c r="E152" s="136">
        <v>2025.0</v>
      </c>
      <c r="F152" s="136" t="s">
        <v>4718</v>
      </c>
      <c r="G152" s="136" t="s">
        <v>5646</v>
      </c>
      <c r="H152" s="136" t="s">
        <v>5962</v>
      </c>
      <c r="I152" s="136" t="s">
        <v>4043</v>
      </c>
      <c r="J152" s="136" t="s">
        <v>5963</v>
      </c>
      <c r="K152" s="136">
        <v>73.0</v>
      </c>
      <c r="L152" s="136">
        <v>73.0</v>
      </c>
      <c r="M152" s="136">
        <v>49.16667</v>
      </c>
      <c r="N152" s="136">
        <v>0.0</v>
      </c>
      <c r="O152" s="136">
        <v>49.16667</v>
      </c>
      <c r="P152" s="136">
        <v>100.0</v>
      </c>
      <c r="Q152" s="136">
        <v>49.16667</v>
      </c>
      <c r="R152" s="136" t="s">
        <v>4045</v>
      </c>
      <c r="S152" s="136">
        <v>49.33333</v>
      </c>
      <c r="T152" s="136">
        <v>1.0</v>
      </c>
      <c r="U152" s="138">
        <v>45747.89857638889</v>
      </c>
      <c r="V152" s="140"/>
      <c r="W152" s="140"/>
      <c r="X152" s="140"/>
      <c r="Y152" s="140"/>
      <c r="Z152" s="140"/>
    </row>
    <row r="153">
      <c r="A153" s="135" t="s">
        <v>4820</v>
      </c>
      <c r="B153" s="136" t="s">
        <v>4821</v>
      </c>
      <c r="C153" s="136" t="s">
        <v>4822</v>
      </c>
      <c r="D153" s="136" t="s">
        <v>4823</v>
      </c>
      <c r="E153" s="136">
        <v>2025.0</v>
      </c>
      <c r="F153" s="136" t="s">
        <v>4718</v>
      </c>
      <c r="G153" s="136" t="s">
        <v>5646</v>
      </c>
      <c r="H153" s="136" t="s">
        <v>5964</v>
      </c>
      <c r="I153" s="136" t="s">
        <v>4043</v>
      </c>
      <c r="J153" s="136" t="s">
        <v>5965</v>
      </c>
      <c r="K153" s="136">
        <v>73.0</v>
      </c>
      <c r="L153" s="136">
        <v>73.0</v>
      </c>
      <c r="M153" s="136">
        <v>61.0</v>
      </c>
      <c r="N153" s="136">
        <v>0.0</v>
      </c>
      <c r="O153" s="136">
        <v>61.0</v>
      </c>
      <c r="P153" s="136">
        <v>100.0</v>
      </c>
      <c r="Q153" s="136">
        <v>61.0</v>
      </c>
      <c r="R153" s="136" t="s">
        <v>4200</v>
      </c>
      <c r="S153" s="136">
        <v>69.33333</v>
      </c>
      <c r="T153" s="136">
        <v>1.0</v>
      </c>
      <c r="U153" s="138">
        <v>45747.415717592594</v>
      </c>
      <c r="V153" s="140"/>
      <c r="W153" s="140"/>
      <c r="X153" s="140"/>
      <c r="Y153" s="140"/>
      <c r="Z153" s="140"/>
    </row>
    <row r="154">
      <c r="A154" s="135" t="s">
        <v>4826</v>
      </c>
      <c r="B154" s="136" t="s">
        <v>4827</v>
      </c>
      <c r="C154" s="136" t="s">
        <v>4828</v>
      </c>
      <c r="D154" s="136" t="s">
        <v>4829</v>
      </c>
      <c r="E154" s="136">
        <v>2025.0</v>
      </c>
      <c r="F154" s="136" t="s">
        <v>4718</v>
      </c>
      <c r="G154" s="136" t="s">
        <v>5646</v>
      </c>
      <c r="H154" s="136" t="s">
        <v>5966</v>
      </c>
      <c r="I154" s="136" t="s">
        <v>4043</v>
      </c>
      <c r="J154" s="136" t="s">
        <v>5967</v>
      </c>
      <c r="K154" s="136">
        <v>73.0</v>
      </c>
      <c r="L154" s="136">
        <v>70.0</v>
      </c>
      <c r="M154" s="136">
        <v>17.0</v>
      </c>
      <c r="N154" s="136">
        <v>0.0</v>
      </c>
      <c r="O154" s="136">
        <v>17.0</v>
      </c>
      <c r="P154" s="136">
        <v>100.0</v>
      </c>
      <c r="Q154" s="136">
        <v>17.0</v>
      </c>
      <c r="R154" s="136" t="s">
        <v>4045</v>
      </c>
      <c r="S154" s="136">
        <v>24.28571</v>
      </c>
      <c r="T154" s="136">
        <v>1.0</v>
      </c>
      <c r="U154" s="138">
        <v>45747.862025462964</v>
      </c>
      <c r="V154" s="140"/>
      <c r="W154" s="140"/>
      <c r="X154" s="140"/>
      <c r="Y154" s="140"/>
      <c r="Z154" s="140"/>
    </row>
    <row r="155">
      <c r="A155" s="135" t="s">
        <v>4832</v>
      </c>
      <c r="B155" s="136" t="s">
        <v>4833</v>
      </c>
      <c r="C155" s="136" t="s">
        <v>4834</v>
      </c>
      <c r="D155" s="136" t="s">
        <v>4835</v>
      </c>
      <c r="E155" s="136">
        <v>2025.0</v>
      </c>
      <c r="F155" s="136" t="s">
        <v>4718</v>
      </c>
      <c r="G155" s="136" t="s">
        <v>5646</v>
      </c>
      <c r="H155" s="136" t="s">
        <v>5968</v>
      </c>
      <c r="I155" s="136" t="s">
        <v>4043</v>
      </c>
      <c r="J155" s="136" t="s">
        <v>5969</v>
      </c>
      <c r="K155" s="136">
        <v>73.0</v>
      </c>
      <c r="L155" s="136">
        <v>71.0</v>
      </c>
      <c r="M155" s="136">
        <v>42.66667</v>
      </c>
      <c r="N155" s="136">
        <v>0.0</v>
      </c>
      <c r="O155" s="136">
        <v>42.66667</v>
      </c>
      <c r="P155" s="136">
        <v>100.0</v>
      </c>
      <c r="Q155" s="136">
        <v>42.66667</v>
      </c>
      <c r="R155" s="136" t="s">
        <v>4045</v>
      </c>
      <c r="S155" s="136">
        <v>51.42857</v>
      </c>
      <c r="T155" s="136">
        <v>2.0</v>
      </c>
      <c r="U155" s="138">
        <v>45747.56333333333</v>
      </c>
      <c r="V155" s="140"/>
      <c r="W155" s="140"/>
      <c r="X155" s="140"/>
      <c r="Y155" s="140"/>
      <c r="Z155" s="140"/>
    </row>
    <row r="156">
      <c r="A156" s="135" t="s">
        <v>4837</v>
      </c>
      <c r="B156" s="136" t="s">
        <v>4838</v>
      </c>
      <c r="C156" s="136" t="s">
        <v>4839</v>
      </c>
      <c r="D156" s="136" t="s">
        <v>4840</v>
      </c>
      <c r="E156" s="136">
        <v>2025.0</v>
      </c>
      <c r="F156" s="136" t="s">
        <v>4718</v>
      </c>
      <c r="G156" s="136" t="s">
        <v>5646</v>
      </c>
      <c r="H156" s="136" t="s">
        <v>5970</v>
      </c>
      <c r="I156" s="136" t="s">
        <v>4043</v>
      </c>
      <c r="J156" s="136" t="s">
        <v>5971</v>
      </c>
      <c r="K156" s="136">
        <v>73.0</v>
      </c>
      <c r="L156" s="136">
        <v>70.0</v>
      </c>
      <c r="M156" s="136">
        <v>41.0</v>
      </c>
      <c r="N156" s="136">
        <v>0.0</v>
      </c>
      <c r="O156" s="136">
        <v>41.0</v>
      </c>
      <c r="P156" s="136">
        <v>100.0</v>
      </c>
      <c r="Q156" s="136">
        <v>41.0</v>
      </c>
      <c r="R156" s="136" t="s">
        <v>4045</v>
      </c>
      <c r="S156" s="136">
        <v>58.57143</v>
      </c>
      <c r="T156" s="136">
        <v>2.0</v>
      </c>
      <c r="U156" s="138">
        <v>45747.73974537037</v>
      </c>
      <c r="V156" s="140"/>
      <c r="W156" s="140"/>
      <c r="X156" s="140"/>
      <c r="Y156" s="140"/>
      <c r="Z156" s="140"/>
    </row>
    <row r="157">
      <c r="A157" s="135" t="s">
        <v>5972</v>
      </c>
      <c r="B157" s="136" t="s">
        <v>5973</v>
      </c>
      <c r="C157" s="136" t="s">
        <v>5974</v>
      </c>
      <c r="D157" s="136" t="s">
        <v>5975</v>
      </c>
      <c r="E157" s="136">
        <v>2025.0</v>
      </c>
      <c r="F157" s="136" t="s">
        <v>4718</v>
      </c>
      <c r="G157" s="136" t="s">
        <v>5646</v>
      </c>
      <c r="H157" s="136" t="s">
        <v>5976</v>
      </c>
      <c r="I157" s="136" t="s">
        <v>4043</v>
      </c>
      <c r="J157" s="136" t="s">
        <v>5977</v>
      </c>
      <c r="K157" s="136">
        <v>73.0</v>
      </c>
      <c r="L157" s="136">
        <v>64.0</v>
      </c>
      <c r="M157" s="136">
        <v>47.66667</v>
      </c>
      <c r="N157" s="136">
        <v>0.0</v>
      </c>
      <c r="O157" s="136">
        <v>47.66667</v>
      </c>
      <c r="P157" s="136">
        <v>100.0</v>
      </c>
      <c r="Q157" s="136">
        <v>47.66667</v>
      </c>
      <c r="R157" s="136" t="s">
        <v>4045</v>
      </c>
      <c r="S157" s="136">
        <v>65.07937</v>
      </c>
      <c r="T157" s="136">
        <v>1.0</v>
      </c>
      <c r="U157" s="138">
        <v>45747.740439814814</v>
      </c>
      <c r="V157" s="140"/>
      <c r="W157" s="140"/>
      <c r="X157" s="140"/>
      <c r="Y157" s="140"/>
      <c r="Z157" s="140"/>
    </row>
    <row r="158">
      <c r="A158" s="135" t="s">
        <v>4843</v>
      </c>
      <c r="B158" s="136" t="s">
        <v>4844</v>
      </c>
      <c r="C158" s="136" t="s">
        <v>4845</v>
      </c>
      <c r="D158" s="136" t="s">
        <v>4846</v>
      </c>
      <c r="E158" s="136">
        <v>2025.0</v>
      </c>
      <c r="F158" s="136" t="s">
        <v>4718</v>
      </c>
      <c r="G158" s="136" t="s">
        <v>5646</v>
      </c>
      <c r="H158" s="136" t="s">
        <v>5978</v>
      </c>
      <c r="I158" s="136" t="s">
        <v>4043</v>
      </c>
      <c r="J158" s="136" t="s">
        <v>5979</v>
      </c>
      <c r="K158" s="136">
        <v>73.0</v>
      </c>
      <c r="L158" s="136">
        <v>71.0</v>
      </c>
      <c r="M158" s="136">
        <v>51.33333</v>
      </c>
      <c r="N158" s="136">
        <v>0.0</v>
      </c>
      <c r="O158" s="136">
        <v>51.33333</v>
      </c>
      <c r="P158" s="136">
        <v>100.0</v>
      </c>
      <c r="Q158" s="136">
        <v>51.33333</v>
      </c>
      <c r="R158" s="136" t="s">
        <v>4045</v>
      </c>
      <c r="S158" s="136">
        <v>64.28571</v>
      </c>
      <c r="T158" s="136">
        <v>3.0</v>
      </c>
      <c r="U158" s="138">
        <v>45747.519467592596</v>
      </c>
      <c r="V158" s="140"/>
      <c r="W158" s="140"/>
      <c r="X158" s="140"/>
      <c r="Y158" s="140"/>
      <c r="Z158" s="140"/>
    </row>
    <row r="159">
      <c r="A159" s="135" t="s">
        <v>4849</v>
      </c>
      <c r="B159" s="136" t="s">
        <v>4850</v>
      </c>
      <c r="C159" s="136" t="s">
        <v>4851</v>
      </c>
      <c r="D159" s="136" t="s">
        <v>4852</v>
      </c>
      <c r="E159" s="136">
        <v>2025.0</v>
      </c>
      <c r="F159" s="136" t="s">
        <v>4718</v>
      </c>
      <c r="G159" s="136" t="s">
        <v>5646</v>
      </c>
      <c r="H159" s="136" t="s">
        <v>5980</v>
      </c>
      <c r="I159" s="136" t="s">
        <v>4043</v>
      </c>
      <c r="J159" s="136" t="s">
        <v>5981</v>
      </c>
      <c r="K159" s="136">
        <v>73.0</v>
      </c>
      <c r="L159" s="136">
        <v>72.0</v>
      </c>
      <c r="M159" s="136">
        <v>58.8</v>
      </c>
      <c r="N159" s="136">
        <v>0.0</v>
      </c>
      <c r="O159" s="136">
        <v>58.8</v>
      </c>
      <c r="P159" s="136">
        <v>100.0</v>
      </c>
      <c r="Q159" s="136">
        <v>58.8</v>
      </c>
      <c r="R159" s="136" t="s">
        <v>4045</v>
      </c>
      <c r="S159" s="136">
        <v>73.61111</v>
      </c>
      <c r="T159" s="136">
        <v>2.0</v>
      </c>
      <c r="U159" s="138">
        <v>45748.657847222225</v>
      </c>
      <c r="V159" s="140"/>
      <c r="W159" s="140"/>
      <c r="X159" s="140"/>
      <c r="Y159" s="140"/>
      <c r="Z159" s="140"/>
    </row>
    <row r="160">
      <c r="A160" s="135" t="s">
        <v>4855</v>
      </c>
      <c r="B160" s="136" t="s">
        <v>4856</v>
      </c>
      <c r="C160" s="136" t="s">
        <v>4857</v>
      </c>
      <c r="D160" s="136" t="s">
        <v>4858</v>
      </c>
      <c r="E160" s="136">
        <v>2025.0</v>
      </c>
      <c r="F160" s="136" t="s">
        <v>4718</v>
      </c>
      <c r="G160" s="136" t="s">
        <v>5646</v>
      </c>
      <c r="H160" s="136" t="s">
        <v>5982</v>
      </c>
      <c r="I160" s="136" t="s">
        <v>4043</v>
      </c>
      <c r="J160" s="136" t="s">
        <v>4405</v>
      </c>
      <c r="K160" s="136">
        <v>73.0</v>
      </c>
      <c r="L160" s="136">
        <v>70.0</v>
      </c>
      <c r="M160" s="136">
        <v>49.0</v>
      </c>
      <c r="N160" s="136">
        <v>0.0</v>
      </c>
      <c r="O160" s="136">
        <v>49.0</v>
      </c>
      <c r="P160" s="136">
        <v>100.0</v>
      </c>
      <c r="Q160" s="136">
        <v>49.0</v>
      </c>
      <c r="R160" s="136" t="s">
        <v>4045</v>
      </c>
      <c r="S160" s="136">
        <v>70.0</v>
      </c>
      <c r="T160" s="136">
        <v>2.0</v>
      </c>
      <c r="U160" s="138">
        <v>45747.71908564815</v>
      </c>
      <c r="V160" s="140"/>
      <c r="W160" s="140"/>
      <c r="X160" s="140"/>
      <c r="Y160" s="140"/>
      <c r="Z160" s="140"/>
    </row>
    <row r="161">
      <c r="A161" s="135" t="s">
        <v>4861</v>
      </c>
      <c r="B161" s="136" t="s">
        <v>4862</v>
      </c>
      <c r="C161" s="136" t="s">
        <v>4863</v>
      </c>
      <c r="D161" s="136" t="s">
        <v>4864</v>
      </c>
      <c r="E161" s="136">
        <v>2025.0</v>
      </c>
      <c r="F161" s="136" t="s">
        <v>4718</v>
      </c>
      <c r="G161" s="136" t="s">
        <v>5646</v>
      </c>
      <c r="H161" s="136" t="s">
        <v>5983</v>
      </c>
      <c r="I161" s="136" t="s">
        <v>4043</v>
      </c>
      <c r="J161" s="136" t="s">
        <v>5984</v>
      </c>
      <c r="K161" s="136">
        <v>73.0</v>
      </c>
      <c r="L161" s="136">
        <v>72.0</v>
      </c>
      <c r="M161" s="136">
        <v>60.33333</v>
      </c>
      <c r="N161" s="136">
        <v>0.0</v>
      </c>
      <c r="O161" s="136">
        <v>60.33333</v>
      </c>
      <c r="P161" s="136">
        <v>100.0</v>
      </c>
      <c r="Q161" s="136">
        <v>60.33333</v>
      </c>
      <c r="R161" s="136" t="s">
        <v>4200</v>
      </c>
      <c r="S161" s="136">
        <v>67.56757</v>
      </c>
      <c r="T161" s="136">
        <v>1.0</v>
      </c>
      <c r="U161" s="138">
        <v>45747.980578703704</v>
      </c>
      <c r="V161" s="140"/>
      <c r="W161" s="140"/>
      <c r="X161" s="140"/>
      <c r="Y161" s="140"/>
      <c r="Z161" s="140"/>
    </row>
    <row r="162">
      <c r="A162" s="135" t="s">
        <v>4867</v>
      </c>
      <c r="B162" s="136" t="s">
        <v>4868</v>
      </c>
      <c r="C162" s="136" t="s">
        <v>4869</v>
      </c>
      <c r="D162" s="136" t="s">
        <v>4870</v>
      </c>
      <c r="E162" s="136">
        <v>2025.0</v>
      </c>
      <c r="F162" s="136" t="s">
        <v>4718</v>
      </c>
      <c r="G162" s="136" t="s">
        <v>5646</v>
      </c>
      <c r="H162" s="136" t="s">
        <v>5985</v>
      </c>
      <c r="I162" s="136" t="s">
        <v>4043</v>
      </c>
      <c r="J162" s="136" t="s">
        <v>5364</v>
      </c>
      <c r="K162" s="136">
        <v>73.0</v>
      </c>
      <c r="L162" s="136">
        <v>71.0</v>
      </c>
      <c r="M162" s="136">
        <v>30.43333</v>
      </c>
      <c r="N162" s="136">
        <v>0.0</v>
      </c>
      <c r="O162" s="136">
        <v>30.43333</v>
      </c>
      <c r="P162" s="136">
        <v>100.0</v>
      </c>
      <c r="Q162" s="136">
        <v>30.43333</v>
      </c>
      <c r="R162" s="136" t="s">
        <v>4045</v>
      </c>
      <c r="S162" s="136">
        <v>34.28571</v>
      </c>
      <c r="T162" s="136">
        <v>1.0</v>
      </c>
      <c r="U162" s="138">
        <v>45747.97375</v>
      </c>
      <c r="V162" s="140"/>
      <c r="W162" s="140"/>
      <c r="X162" s="140"/>
      <c r="Y162" s="140"/>
      <c r="Z162" s="140"/>
    </row>
    <row r="163">
      <c r="A163" s="135" t="s">
        <v>4873</v>
      </c>
      <c r="B163" s="136" t="s">
        <v>4874</v>
      </c>
      <c r="C163" s="136" t="s">
        <v>4875</v>
      </c>
      <c r="D163" s="136" t="s">
        <v>4876</v>
      </c>
      <c r="E163" s="136">
        <v>2025.0</v>
      </c>
      <c r="F163" s="136" t="s">
        <v>4718</v>
      </c>
      <c r="G163" s="136" t="s">
        <v>5646</v>
      </c>
      <c r="H163" s="136" t="s">
        <v>5986</v>
      </c>
      <c r="I163" s="136" t="s">
        <v>4043</v>
      </c>
      <c r="J163" s="136" t="s">
        <v>5987</v>
      </c>
      <c r="K163" s="136">
        <v>73.0</v>
      </c>
      <c r="L163" s="136">
        <v>73.0</v>
      </c>
      <c r="M163" s="136">
        <v>36.6</v>
      </c>
      <c r="N163" s="136">
        <v>0.0</v>
      </c>
      <c r="O163" s="136">
        <v>36.6</v>
      </c>
      <c r="P163" s="136">
        <v>100.0</v>
      </c>
      <c r="Q163" s="136">
        <v>36.6</v>
      </c>
      <c r="R163" s="136" t="s">
        <v>4045</v>
      </c>
      <c r="S163" s="136">
        <v>41.33333</v>
      </c>
      <c r="T163" s="136">
        <v>5.0</v>
      </c>
      <c r="U163" s="138">
        <v>45747.59627314815</v>
      </c>
      <c r="V163" s="140"/>
      <c r="W163" s="140"/>
      <c r="X163" s="140"/>
      <c r="Y163" s="140"/>
      <c r="Z163" s="140"/>
    </row>
    <row r="164">
      <c r="A164" s="135" t="s">
        <v>4878</v>
      </c>
      <c r="B164" s="136" t="s">
        <v>4879</v>
      </c>
      <c r="C164" s="136" t="s">
        <v>4880</v>
      </c>
      <c r="D164" s="136" t="s">
        <v>4881</v>
      </c>
      <c r="E164" s="136">
        <v>2025.0</v>
      </c>
      <c r="F164" s="136" t="s">
        <v>4718</v>
      </c>
      <c r="G164" s="136" t="s">
        <v>5646</v>
      </c>
      <c r="H164" s="136" t="s">
        <v>5988</v>
      </c>
      <c r="I164" s="136" t="s">
        <v>4043</v>
      </c>
      <c r="J164" s="136" t="s">
        <v>5989</v>
      </c>
      <c r="K164" s="136">
        <v>73.0</v>
      </c>
      <c r="L164" s="136">
        <v>71.0</v>
      </c>
      <c r="M164" s="136">
        <v>41.03333</v>
      </c>
      <c r="N164" s="136">
        <v>0.0</v>
      </c>
      <c r="O164" s="136">
        <v>41.03333</v>
      </c>
      <c r="P164" s="136">
        <v>100.0</v>
      </c>
      <c r="Q164" s="136">
        <v>41.03333</v>
      </c>
      <c r="R164" s="136" t="s">
        <v>4045</v>
      </c>
      <c r="S164" s="136">
        <v>51.42857</v>
      </c>
      <c r="T164" s="136">
        <v>1.0</v>
      </c>
      <c r="U164" s="138">
        <v>45747.767800925925</v>
      </c>
      <c r="V164" s="140"/>
      <c r="W164" s="140"/>
      <c r="X164" s="140"/>
      <c r="Y164" s="140"/>
      <c r="Z164" s="140"/>
    </row>
    <row r="165">
      <c r="A165" s="135" t="s">
        <v>4883</v>
      </c>
      <c r="B165" s="136" t="s">
        <v>4884</v>
      </c>
      <c r="C165" s="136" t="s">
        <v>4885</v>
      </c>
      <c r="D165" s="136" t="s">
        <v>4886</v>
      </c>
      <c r="E165" s="136">
        <v>2025.0</v>
      </c>
      <c r="F165" s="136" t="s">
        <v>4718</v>
      </c>
      <c r="G165" s="136" t="s">
        <v>5646</v>
      </c>
      <c r="H165" s="136" t="s">
        <v>5990</v>
      </c>
      <c r="I165" s="136" t="s">
        <v>4043</v>
      </c>
      <c r="J165" s="136" t="s">
        <v>5991</v>
      </c>
      <c r="K165" s="136">
        <v>73.0</v>
      </c>
      <c r="L165" s="136">
        <v>71.0</v>
      </c>
      <c r="M165" s="136">
        <v>41.16667</v>
      </c>
      <c r="N165" s="136">
        <v>0.0</v>
      </c>
      <c r="O165" s="136">
        <v>41.16667</v>
      </c>
      <c r="P165" s="136">
        <v>100.0</v>
      </c>
      <c r="Q165" s="136">
        <v>41.16667</v>
      </c>
      <c r="R165" s="136" t="s">
        <v>4045</v>
      </c>
      <c r="S165" s="136">
        <v>52.85714</v>
      </c>
      <c r="T165" s="136">
        <v>2.0</v>
      </c>
      <c r="U165" s="138">
        <v>45747.776655092595</v>
      </c>
      <c r="V165" s="140"/>
      <c r="W165" s="140"/>
      <c r="X165" s="140"/>
      <c r="Y165" s="140"/>
      <c r="Z165" s="140"/>
    </row>
    <row r="166">
      <c r="A166" s="135" t="s">
        <v>4889</v>
      </c>
      <c r="B166" s="136" t="s">
        <v>4890</v>
      </c>
      <c r="C166" s="136" t="s">
        <v>4891</v>
      </c>
      <c r="D166" s="136" t="s">
        <v>4892</v>
      </c>
      <c r="E166" s="136">
        <v>2025.0</v>
      </c>
      <c r="F166" s="136" t="s">
        <v>4718</v>
      </c>
      <c r="G166" s="136" t="s">
        <v>5646</v>
      </c>
      <c r="H166" s="136" t="s">
        <v>5992</v>
      </c>
      <c r="I166" s="136" t="s">
        <v>4043</v>
      </c>
      <c r="J166" s="136" t="s">
        <v>5993</v>
      </c>
      <c r="K166" s="136">
        <v>73.0</v>
      </c>
      <c r="L166" s="136">
        <v>73.0</v>
      </c>
      <c r="M166" s="136">
        <v>46.13333</v>
      </c>
      <c r="N166" s="136">
        <v>0.0</v>
      </c>
      <c r="O166" s="136">
        <v>46.13333</v>
      </c>
      <c r="P166" s="136">
        <v>100.0</v>
      </c>
      <c r="Q166" s="136">
        <v>46.13333</v>
      </c>
      <c r="R166" s="136" t="s">
        <v>4045</v>
      </c>
      <c r="S166" s="136">
        <v>40.0</v>
      </c>
      <c r="T166" s="136">
        <v>3.0</v>
      </c>
      <c r="U166" s="138">
        <v>45747.662881944445</v>
      </c>
      <c r="V166" s="140"/>
      <c r="W166" s="140"/>
      <c r="X166" s="140"/>
      <c r="Y166" s="140"/>
      <c r="Z166" s="140"/>
    </row>
    <row r="167">
      <c r="A167" s="135" t="s">
        <v>4895</v>
      </c>
      <c r="B167" s="136" t="s">
        <v>4896</v>
      </c>
      <c r="C167" s="136" t="s">
        <v>4897</v>
      </c>
      <c r="D167" s="136" t="s">
        <v>4898</v>
      </c>
      <c r="E167" s="136">
        <v>2025.0</v>
      </c>
      <c r="F167" s="136" t="s">
        <v>4718</v>
      </c>
      <c r="G167" s="136" t="s">
        <v>5646</v>
      </c>
      <c r="H167" s="136" t="s">
        <v>5994</v>
      </c>
      <c r="I167" s="136" t="s">
        <v>4043</v>
      </c>
      <c r="J167" s="136" t="s">
        <v>5700</v>
      </c>
      <c r="K167" s="136">
        <v>73.0</v>
      </c>
      <c r="L167" s="136">
        <v>70.0</v>
      </c>
      <c r="M167" s="136">
        <v>50.0</v>
      </c>
      <c r="N167" s="136">
        <v>0.0</v>
      </c>
      <c r="O167" s="136">
        <v>50.0</v>
      </c>
      <c r="P167" s="136">
        <v>100.0</v>
      </c>
      <c r="Q167" s="136">
        <v>50.0</v>
      </c>
      <c r="R167" s="136" t="s">
        <v>4045</v>
      </c>
      <c r="S167" s="136">
        <v>71.42857</v>
      </c>
      <c r="T167" s="136">
        <v>4.0</v>
      </c>
      <c r="U167" s="138">
        <v>45747.925729166665</v>
      </c>
      <c r="V167" s="140"/>
      <c r="W167" s="140"/>
      <c r="X167" s="140"/>
      <c r="Y167" s="140"/>
      <c r="Z167" s="140"/>
    </row>
    <row r="168">
      <c r="A168" s="135" t="s">
        <v>4901</v>
      </c>
      <c r="B168" s="136" t="s">
        <v>4902</v>
      </c>
      <c r="C168" s="136" t="s">
        <v>4903</v>
      </c>
      <c r="D168" s="136" t="s">
        <v>4904</v>
      </c>
      <c r="E168" s="136">
        <v>2025.0</v>
      </c>
      <c r="F168" s="136" t="s">
        <v>4718</v>
      </c>
      <c r="G168" s="136" t="s">
        <v>5646</v>
      </c>
      <c r="H168" s="136" t="s">
        <v>5995</v>
      </c>
      <c r="I168" s="136" t="s">
        <v>4043</v>
      </c>
      <c r="J168" s="136" t="s">
        <v>5996</v>
      </c>
      <c r="K168" s="136">
        <v>73.0</v>
      </c>
      <c r="L168" s="136">
        <v>70.0</v>
      </c>
      <c r="M168" s="136">
        <v>22.0</v>
      </c>
      <c r="N168" s="136">
        <v>0.0</v>
      </c>
      <c r="O168" s="136">
        <v>22.0</v>
      </c>
      <c r="P168" s="136">
        <v>100.0</v>
      </c>
      <c r="Q168" s="136">
        <v>22.0</v>
      </c>
      <c r="R168" s="136" t="s">
        <v>4045</v>
      </c>
      <c r="S168" s="136">
        <v>31.42857</v>
      </c>
      <c r="T168" s="136">
        <v>0.0</v>
      </c>
      <c r="U168" s="138">
        <v>45747.74548611111</v>
      </c>
      <c r="V168" s="140"/>
      <c r="W168" s="140"/>
      <c r="X168" s="140"/>
      <c r="Y168" s="140"/>
      <c r="Z168" s="140"/>
    </row>
    <row r="169">
      <c r="A169" s="135" t="s">
        <v>4907</v>
      </c>
      <c r="B169" s="136" t="s">
        <v>4908</v>
      </c>
      <c r="C169" s="136" t="s">
        <v>4909</v>
      </c>
      <c r="D169" s="136" t="s">
        <v>4910</v>
      </c>
      <c r="E169" s="136">
        <v>2025.0</v>
      </c>
      <c r="F169" s="136" t="s">
        <v>4718</v>
      </c>
      <c r="G169" s="136" t="s">
        <v>5646</v>
      </c>
      <c r="H169" s="136" t="s">
        <v>5997</v>
      </c>
      <c r="I169" s="136" t="s">
        <v>4043</v>
      </c>
      <c r="J169" s="136" t="s">
        <v>5998</v>
      </c>
      <c r="K169" s="136">
        <v>73.0</v>
      </c>
      <c r="L169" s="136">
        <v>68.0</v>
      </c>
      <c r="M169" s="136">
        <v>25.0</v>
      </c>
      <c r="N169" s="136">
        <v>0.0</v>
      </c>
      <c r="O169" s="136">
        <v>25.0</v>
      </c>
      <c r="P169" s="136">
        <v>100.0</v>
      </c>
      <c r="Q169" s="136">
        <v>25.0</v>
      </c>
      <c r="R169" s="136" t="s">
        <v>4045</v>
      </c>
      <c r="S169" s="136">
        <v>36.76471</v>
      </c>
      <c r="T169" s="136">
        <v>0.0</v>
      </c>
      <c r="U169" s="138">
        <v>45747.794803240744</v>
      </c>
      <c r="V169" s="140"/>
      <c r="W169" s="140"/>
      <c r="X169" s="140"/>
      <c r="Y169" s="140"/>
      <c r="Z169" s="140"/>
    </row>
    <row r="170">
      <c r="A170" s="135" t="s">
        <v>4918</v>
      </c>
      <c r="B170" s="136" t="s">
        <v>4919</v>
      </c>
      <c r="C170" s="136" t="s">
        <v>4920</v>
      </c>
      <c r="D170" s="136" t="s">
        <v>4921</v>
      </c>
      <c r="E170" s="136">
        <v>2025.0</v>
      </c>
      <c r="F170" s="136" t="s">
        <v>4718</v>
      </c>
      <c r="G170" s="136" t="s">
        <v>5646</v>
      </c>
      <c r="H170" s="136" t="s">
        <v>5999</v>
      </c>
      <c r="I170" s="136" t="s">
        <v>4043</v>
      </c>
      <c r="J170" s="136" t="s">
        <v>6000</v>
      </c>
      <c r="K170" s="136">
        <v>73.0</v>
      </c>
      <c r="L170" s="136">
        <v>73.0</v>
      </c>
      <c r="M170" s="136">
        <v>37.1</v>
      </c>
      <c r="N170" s="136">
        <v>0.0</v>
      </c>
      <c r="O170" s="136">
        <v>37.1</v>
      </c>
      <c r="P170" s="136">
        <v>100.0</v>
      </c>
      <c r="Q170" s="136">
        <v>37.1</v>
      </c>
      <c r="R170" s="136" t="s">
        <v>4045</v>
      </c>
      <c r="S170" s="136">
        <v>37.33333</v>
      </c>
      <c r="T170" s="136">
        <v>1.0</v>
      </c>
      <c r="U170" s="138">
        <v>45747.84388888889</v>
      </c>
      <c r="V170" s="140"/>
      <c r="W170" s="140"/>
      <c r="X170" s="140"/>
      <c r="Y170" s="140"/>
      <c r="Z170" s="140"/>
    </row>
    <row r="171">
      <c r="A171" s="135" t="s">
        <v>4924</v>
      </c>
      <c r="B171" s="136" t="s">
        <v>4925</v>
      </c>
      <c r="C171" s="136" t="s">
        <v>4926</v>
      </c>
      <c r="D171" s="136" t="s">
        <v>4927</v>
      </c>
      <c r="E171" s="136">
        <v>2025.0</v>
      </c>
      <c r="F171" s="136" t="s">
        <v>4718</v>
      </c>
      <c r="G171" s="136" t="s">
        <v>5646</v>
      </c>
      <c r="H171" s="136" t="s">
        <v>6001</v>
      </c>
      <c r="I171" s="136" t="s">
        <v>4043</v>
      </c>
      <c r="J171" s="136" t="s">
        <v>6002</v>
      </c>
      <c r="K171" s="136">
        <v>73.0</v>
      </c>
      <c r="L171" s="136">
        <v>73.0</v>
      </c>
      <c r="M171" s="136">
        <v>48.96667</v>
      </c>
      <c r="N171" s="136">
        <v>0.0</v>
      </c>
      <c r="O171" s="136">
        <v>48.96667</v>
      </c>
      <c r="P171" s="136">
        <v>100.0</v>
      </c>
      <c r="Q171" s="136">
        <v>48.96667</v>
      </c>
      <c r="R171" s="136" t="s">
        <v>4045</v>
      </c>
      <c r="S171" s="136">
        <v>46.66667</v>
      </c>
      <c r="T171" s="136">
        <v>3.0</v>
      </c>
      <c r="U171" s="138">
        <v>45747.85890046296</v>
      </c>
      <c r="V171" s="140"/>
      <c r="W171" s="140"/>
      <c r="X171" s="140"/>
      <c r="Y171" s="140"/>
      <c r="Z171" s="140"/>
    </row>
    <row r="172">
      <c r="A172" s="135" t="s">
        <v>5132</v>
      </c>
      <c r="B172" s="136" t="s">
        <v>5133</v>
      </c>
      <c r="C172" s="136" t="s">
        <v>5134</v>
      </c>
      <c r="D172" s="136" t="s">
        <v>5135</v>
      </c>
      <c r="E172" s="136">
        <v>2025.0</v>
      </c>
      <c r="F172" s="136" t="s">
        <v>4718</v>
      </c>
      <c r="G172" s="136" t="s">
        <v>5646</v>
      </c>
      <c r="H172" s="136" t="s">
        <v>6003</v>
      </c>
      <c r="I172" s="136" t="s">
        <v>4043</v>
      </c>
      <c r="J172" s="136" t="s">
        <v>6004</v>
      </c>
      <c r="K172" s="136">
        <v>73.0</v>
      </c>
      <c r="L172" s="136">
        <v>69.0</v>
      </c>
      <c r="M172" s="136">
        <v>34.0</v>
      </c>
      <c r="N172" s="136">
        <v>0.0</v>
      </c>
      <c r="O172" s="136">
        <v>34.0</v>
      </c>
      <c r="P172" s="136">
        <v>100.0</v>
      </c>
      <c r="Q172" s="136">
        <v>34.0</v>
      </c>
      <c r="R172" s="136" t="s">
        <v>4045</v>
      </c>
      <c r="S172" s="136">
        <v>49.27536</v>
      </c>
      <c r="T172" s="136">
        <v>1.0</v>
      </c>
      <c r="U172" s="138">
        <v>45747.821064814816</v>
      </c>
      <c r="V172" s="140"/>
      <c r="W172" s="140"/>
      <c r="X172" s="140"/>
      <c r="Y172" s="140"/>
      <c r="Z172" s="140"/>
    </row>
    <row r="173">
      <c r="A173" s="135" t="s">
        <v>5138</v>
      </c>
      <c r="B173" s="136" t="s">
        <v>5139</v>
      </c>
      <c r="C173" s="136" t="s">
        <v>5140</v>
      </c>
      <c r="D173" s="136" t="s">
        <v>5141</v>
      </c>
      <c r="E173" s="136">
        <v>2025.0</v>
      </c>
      <c r="F173" s="136" t="s">
        <v>4718</v>
      </c>
      <c r="G173" s="136" t="s">
        <v>5646</v>
      </c>
      <c r="H173" s="136" t="s">
        <v>6005</v>
      </c>
      <c r="I173" s="136" t="s">
        <v>4152</v>
      </c>
      <c r="J173" s="136" t="s">
        <v>4153</v>
      </c>
      <c r="K173" s="136" t="s">
        <v>1003</v>
      </c>
      <c r="L173" s="136" t="s">
        <v>1003</v>
      </c>
      <c r="M173" s="136" t="s">
        <v>1003</v>
      </c>
      <c r="N173" s="136" t="s">
        <v>1003</v>
      </c>
      <c r="O173" s="136" t="s">
        <v>1003</v>
      </c>
      <c r="P173" s="136" t="s">
        <v>1003</v>
      </c>
      <c r="Q173" s="136" t="s">
        <v>1003</v>
      </c>
      <c r="R173" s="136" t="s">
        <v>1003</v>
      </c>
      <c r="S173" s="136" t="s">
        <v>1003</v>
      </c>
      <c r="T173" s="136">
        <v>0.0</v>
      </c>
      <c r="U173" s="136" t="s">
        <v>1003</v>
      </c>
      <c r="V173" s="140"/>
      <c r="W173" s="140"/>
      <c r="X173" s="140"/>
      <c r="Y173" s="140"/>
      <c r="Z173" s="140"/>
    </row>
    <row r="174">
      <c r="A174" s="135" t="s">
        <v>5144</v>
      </c>
      <c r="B174" s="136" t="s">
        <v>5145</v>
      </c>
      <c r="C174" s="136" t="s">
        <v>5146</v>
      </c>
      <c r="D174" s="136" t="s">
        <v>5147</v>
      </c>
      <c r="E174" s="136">
        <v>2025.0</v>
      </c>
      <c r="F174" s="136" t="s">
        <v>4718</v>
      </c>
      <c r="G174" s="136" t="s">
        <v>5646</v>
      </c>
      <c r="H174" s="136" t="s">
        <v>6006</v>
      </c>
      <c r="I174" s="136" t="s">
        <v>4043</v>
      </c>
      <c r="J174" s="136" t="s">
        <v>6007</v>
      </c>
      <c r="K174" s="136">
        <v>73.0</v>
      </c>
      <c r="L174" s="136">
        <v>71.0</v>
      </c>
      <c r="M174" s="136">
        <v>57.83333</v>
      </c>
      <c r="N174" s="136">
        <v>0.0</v>
      </c>
      <c r="O174" s="136">
        <v>57.83333</v>
      </c>
      <c r="P174" s="136">
        <v>100.0</v>
      </c>
      <c r="Q174" s="136">
        <v>57.83333</v>
      </c>
      <c r="R174" s="136" t="s">
        <v>4045</v>
      </c>
      <c r="S174" s="136">
        <v>74.28571</v>
      </c>
      <c r="T174" s="136">
        <v>2.0</v>
      </c>
      <c r="U174" s="138">
        <v>45747.81178240741</v>
      </c>
      <c r="V174" s="140"/>
      <c r="W174" s="140"/>
      <c r="X174" s="140"/>
      <c r="Y174" s="140"/>
      <c r="Z174" s="140"/>
    </row>
    <row r="175">
      <c r="A175" s="135" t="s">
        <v>4930</v>
      </c>
      <c r="B175" s="136" t="s">
        <v>4931</v>
      </c>
      <c r="C175" s="136" t="s">
        <v>4932</v>
      </c>
      <c r="D175" s="136" t="s">
        <v>4933</v>
      </c>
      <c r="E175" s="136">
        <v>2025.0</v>
      </c>
      <c r="F175" s="136" t="s">
        <v>4718</v>
      </c>
      <c r="G175" s="136" t="s">
        <v>5646</v>
      </c>
      <c r="H175" s="136" t="s">
        <v>6008</v>
      </c>
      <c r="I175" s="136" t="s">
        <v>4043</v>
      </c>
      <c r="J175" s="136" t="s">
        <v>5580</v>
      </c>
      <c r="K175" s="136">
        <v>73.0</v>
      </c>
      <c r="L175" s="136">
        <v>68.0</v>
      </c>
      <c r="M175" s="136">
        <v>31.0</v>
      </c>
      <c r="N175" s="136">
        <v>0.0</v>
      </c>
      <c r="O175" s="136">
        <v>31.0</v>
      </c>
      <c r="P175" s="136">
        <v>100.0</v>
      </c>
      <c r="Q175" s="136">
        <v>31.0</v>
      </c>
      <c r="R175" s="136" t="s">
        <v>4045</v>
      </c>
      <c r="S175" s="136">
        <v>45.58824</v>
      </c>
      <c r="T175" s="136">
        <v>2.0</v>
      </c>
      <c r="U175" s="138">
        <v>45747.9441087963</v>
      </c>
      <c r="V175" s="140"/>
      <c r="W175" s="140"/>
      <c r="X175" s="140"/>
      <c r="Y175" s="140"/>
      <c r="Z175" s="140"/>
    </row>
    <row r="176">
      <c r="A176" s="135" t="s">
        <v>4936</v>
      </c>
      <c r="B176" s="136" t="s">
        <v>4937</v>
      </c>
      <c r="C176" s="136" t="s">
        <v>4938</v>
      </c>
      <c r="D176" s="136" t="s">
        <v>4939</v>
      </c>
      <c r="E176" s="136">
        <v>2025.0</v>
      </c>
      <c r="F176" s="136" t="s">
        <v>4718</v>
      </c>
      <c r="G176" s="136" t="s">
        <v>5646</v>
      </c>
      <c r="H176" s="136" t="s">
        <v>6009</v>
      </c>
      <c r="I176" s="136" t="s">
        <v>4043</v>
      </c>
      <c r="J176" s="136" t="s">
        <v>6010</v>
      </c>
      <c r="K176" s="136">
        <v>73.0</v>
      </c>
      <c r="L176" s="136">
        <v>71.0</v>
      </c>
      <c r="M176" s="136">
        <v>60.7</v>
      </c>
      <c r="N176" s="136">
        <v>0.0</v>
      </c>
      <c r="O176" s="136">
        <v>60.7</v>
      </c>
      <c r="P176" s="136">
        <v>100.0</v>
      </c>
      <c r="Q176" s="136">
        <v>60.7</v>
      </c>
      <c r="R176" s="136" t="s">
        <v>4200</v>
      </c>
      <c r="S176" s="136">
        <v>75.0</v>
      </c>
      <c r="T176" s="136">
        <v>1.0</v>
      </c>
      <c r="U176" s="138">
        <v>45747.86896990741</v>
      </c>
      <c r="V176" s="140"/>
      <c r="W176" s="140"/>
      <c r="X176" s="140"/>
      <c r="Y176" s="140"/>
      <c r="Z176" s="140"/>
    </row>
    <row r="177">
      <c r="A177" s="135" t="s">
        <v>4942</v>
      </c>
      <c r="B177" s="136" t="s">
        <v>4943</v>
      </c>
      <c r="C177" s="136" t="s">
        <v>4944</v>
      </c>
      <c r="D177" s="136" t="s">
        <v>4945</v>
      </c>
      <c r="E177" s="136">
        <v>2025.0</v>
      </c>
      <c r="F177" s="136" t="s">
        <v>4718</v>
      </c>
      <c r="G177" s="136" t="s">
        <v>5646</v>
      </c>
      <c r="H177" s="136" t="s">
        <v>6011</v>
      </c>
      <c r="I177" s="136" t="s">
        <v>4043</v>
      </c>
      <c r="J177" s="136" t="s">
        <v>4372</v>
      </c>
      <c r="K177" s="136">
        <v>73.0</v>
      </c>
      <c r="L177" s="136">
        <v>73.0</v>
      </c>
      <c r="M177" s="136">
        <v>77.66667</v>
      </c>
      <c r="N177" s="136">
        <v>0.0</v>
      </c>
      <c r="O177" s="136">
        <v>77.66667</v>
      </c>
      <c r="P177" s="136">
        <v>100.0</v>
      </c>
      <c r="Q177" s="136">
        <v>77.66667</v>
      </c>
      <c r="R177" s="136" t="s">
        <v>4200</v>
      </c>
      <c r="S177" s="136">
        <v>78.66667</v>
      </c>
      <c r="T177" s="136">
        <v>1.0</v>
      </c>
      <c r="U177" s="138">
        <v>45747.76289351852</v>
      </c>
      <c r="V177" s="140"/>
      <c r="W177" s="140"/>
      <c r="X177" s="140"/>
      <c r="Y177" s="140"/>
      <c r="Z177" s="140"/>
    </row>
    <row r="178">
      <c r="A178" s="135" t="s">
        <v>4948</v>
      </c>
      <c r="B178" s="136" t="s">
        <v>4949</v>
      </c>
      <c r="C178" s="136" t="s">
        <v>4950</v>
      </c>
      <c r="D178" s="136" t="s">
        <v>4951</v>
      </c>
      <c r="E178" s="136">
        <v>2025.0</v>
      </c>
      <c r="F178" s="136" t="s">
        <v>4718</v>
      </c>
      <c r="G178" s="136" t="s">
        <v>5646</v>
      </c>
      <c r="H178" s="136" t="s">
        <v>6012</v>
      </c>
      <c r="I178" s="136" t="s">
        <v>4043</v>
      </c>
      <c r="J178" s="136" t="s">
        <v>6013</v>
      </c>
      <c r="K178" s="136">
        <v>73.0</v>
      </c>
      <c r="L178" s="136">
        <v>73.0</v>
      </c>
      <c r="M178" s="136">
        <v>40.83333</v>
      </c>
      <c r="N178" s="136">
        <v>0.0</v>
      </c>
      <c r="O178" s="136">
        <v>40.83333</v>
      </c>
      <c r="P178" s="136">
        <v>100.0</v>
      </c>
      <c r="Q178" s="136">
        <v>40.83333</v>
      </c>
      <c r="R178" s="136" t="s">
        <v>4045</v>
      </c>
      <c r="S178" s="136">
        <v>46.66667</v>
      </c>
      <c r="T178" s="136">
        <v>2.0</v>
      </c>
      <c r="U178" s="138">
        <v>45747.91247685185</v>
      </c>
      <c r="V178" s="140"/>
      <c r="W178" s="140"/>
      <c r="X178" s="140"/>
      <c r="Y178" s="140"/>
      <c r="Z178" s="140"/>
    </row>
    <row r="179">
      <c r="A179" s="135" t="s">
        <v>4954</v>
      </c>
      <c r="B179" s="136" t="s">
        <v>4955</v>
      </c>
      <c r="C179" s="136" t="s">
        <v>4956</v>
      </c>
      <c r="D179" s="136" t="s">
        <v>4957</v>
      </c>
      <c r="E179" s="136">
        <v>2025.0</v>
      </c>
      <c r="F179" s="136" t="s">
        <v>4718</v>
      </c>
      <c r="G179" s="136" t="s">
        <v>5646</v>
      </c>
      <c r="H179" s="136" t="s">
        <v>6014</v>
      </c>
      <c r="I179" s="136" t="s">
        <v>4043</v>
      </c>
      <c r="J179" s="136" t="s">
        <v>5645</v>
      </c>
      <c r="K179" s="136">
        <v>73.0</v>
      </c>
      <c r="L179" s="136">
        <v>70.0</v>
      </c>
      <c r="M179" s="136">
        <v>24.0</v>
      </c>
      <c r="N179" s="136">
        <v>0.0</v>
      </c>
      <c r="O179" s="136">
        <v>24.0</v>
      </c>
      <c r="P179" s="136">
        <v>100.0</v>
      </c>
      <c r="Q179" s="136">
        <v>24.0</v>
      </c>
      <c r="R179" s="136" t="s">
        <v>4045</v>
      </c>
      <c r="S179" s="136">
        <v>34.28571</v>
      </c>
      <c r="T179" s="136">
        <v>1.0</v>
      </c>
      <c r="U179" s="138">
        <v>45747.923310185186</v>
      </c>
      <c r="V179" s="140"/>
      <c r="W179" s="140"/>
      <c r="X179" s="140"/>
      <c r="Y179" s="140"/>
      <c r="Z179" s="140"/>
    </row>
    <row r="180">
      <c r="A180" s="135" t="s">
        <v>4960</v>
      </c>
      <c r="B180" s="136" t="s">
        <v>4961</v>
      </c>
      <c r="C180" s="136" t="s">
        <v>4962</v>
      </c>
      <c r="D180" s="136" t="s">
        <v>4963</v>
      </c>
      <c r="E180" s="136">
        <v>2025.0</v>
      </c>
      <c r="F180" s="136" t="s">
        <v>4718</v>
      </c>
      <c r="G180" s="136" t="s">
        <v>5646</v>
      </c>
      <c r="H180" s="136" t="s">
        <v>6015</v>
      </c>
      <c r="I180" s="136" t="s">
        <v>4043</v>
      </c>
      <c r="J180" s="136" t="s">
        <v>6016</v>
      </c>
      <c r="K180" s="136">
        <v>73.0</v>
      </c>
      <c r="L180" s="136">
        <v>71.0</v>
      </c>
      <c r="M180" s="136">
        <v>49.66667</v>
      </c>
      <c r="N180" s="136">
        <v>0.0</v>
      </c>
      <c r="O180" s="136">
        <v>49.66667</v>
      </c>
      <c r="P180" s="136">
        <v>100.0</v>
      </c>
      <c r="Q180" s="136">
        <v>49.66667</v>
      </c>
      <c r="R180" s="136" t="s">
        <v>4045</v>
      </c>
      <c r="S180" s="136">
        <v>61.42857</v>
      </c>
      <c r="T180" s="136">
        <v>4.0</v>
      </c>
      <c r="U180" s="138">
        <v>45748.39177083333</v>
      </c>
      <c r="V180" s="140"/>
      <c r="W180" s="140"/>
      <c r="X180" s="140"/>
      <c r="Y180" s="140"/>
      <c r="Z180" s="140"/>
    </row>
    <row r="181">
      <c r="A181" s="135" t="s">
        <v>4966</v>
      </c>
      <c r="B181" s="136" t="s">
        <v>4967</v>
      </c>
      <c r="C181" s="136" t="s">
        <v>4968</v>
      </c>
      <c r="D181" s="136" t="s">
        <v>4969</v>
      </c>
      <c r="E181" s="136">
        <v>2025.0</v>
      </c>
      <c r="F181" s="136" t="s">
        <v>4718</v>
      </c>
      <c r="G181" s="136" t="s">
        <v>5646</v>
      </c>
      <c r="H181" s="136" t="s">
        <v>6017</v>
      </c>
      <c r="I181" s="136" t="s">
        <v>4043</v>
      </c>
      <c r="J181" s="136" t="s">
        <v>6018</v>
      </c>
      <c r="K181" s="136">
        <v>73.0</v>
      </c>
      <c r="L181" s="136">
        <v>70.0</v>
      </c>
      <c r="M181" s="136">
        <v>22.0</v>
      </c>
      <c r="N181" s="136">
        <v>0.0</v>
      </c>
      <c r="O181" s="136">
        <v>22.0</v>
      </c>
      <c r="P181" s="136">
        <v>100.0</v>
      </c>
      <c r="Q181" s="136">
        <v>22.0</v>
      </c>
      <c r="R181" s="136" t="s">
        <v>4045</v>
      </c>
      <c r="S181" s="136">
        <v>31.42857</v>
      </c>
      <c r="T181" s="136">
        <v>1.0</v>
      </c>
      <c r="U181" s="138">
        <v>45747.92486111111</v>
      </c>
      <c r="V181" s="140"/>
      <c r="W181" s="140"/>
      <c r="X181" s="140"/>
      <c r="Y181" s="140"/>
      <c r="Z181" s="140"/>
    </row>
    <row r="182">
      <c r="A182" s="135" t="s">
        <v>4972</v>
      </c>
      <c r="B182" s="136" t="s">
        <v>4973</v>
      </c>
      <c r="C182" s="136" t="s">
        <v>4974</v>
      </c>
      <c r="D182" s="136" t="s">
        <v>4975</v>
      </c>
      <c r="E182" s="136">
        <v>2025.0</v>
      </c>
      <c r="F182" s="136" t="s">
        <v>4718</v>
      </c>
      <c r="G182" s="136" t="s">
        <v>5646</v>
      </c>
      <c r="H182" s="136" t="s">
        <v>6019</v>
      </c>
      <c r="I182" s="136" t="s">
        <v>4043</v>
      </c>
      <c r="J182" s="136" t="s">
        <v>5321</v>
      </c>
      <c r="K182" s="136">
        <v>73.0</v>
      </c>
      <c r="L182" s="136">
        <v>48.0</v>
      </c>
      <c r="M182" s="136">
        <v>32.0</v>
      </c>
      <c r="N182" s="136">
        <v>0.0</v>
      </c>
      <c r="O182" s="136">
        <v>32.0</v>
      </c>
      <c r="P182" s="136">
        <v>100.0</v>
      </c>
      <c r="Q182" s="136">
        <v>32.0</v>
      </c>
      <c r="R182" s="136" t="s">
        <v>4045</v>
      </c>
      <c r="S182" s="136">
        <v>57.14286</v>
      </c>
      <c r="T182" s="136">
        <v>2.0</v>
      </c>
      <c r="U182" s="138">
        <v>45748.82304398148</v>
      </c>
      <c r="V182" s="140"/>
      <c r="W182" s="140"/>
      <c r="X182" s="140"/>
      <c r="Y182" s="140"/>
      <c r="Z182" s="140"/>
    </row>
    <row r="183">
      <c r="A183" s="135" t="s">
        <v>4978</v>
      </c>
      <c r="B183" s="136" t="s">
        <v>4979</v>
      </c>
      <c r="C183" s="136" t="s">
        <v>4980</v>
      </c>
      <c r="D183" s="136" t="s">
        <v>4981</v>
      </c>
      <c r="E183" s="136">
        <v>2025.0</v>
      </c>
      <c r="F183" s="136" t="s">
        <v>4718</v>
      </c>
      <c r="G183" s="136" t="s">
        <v>5646</v>
      </c>
      <c r="H183" s="136" t="s">
        <v>6020</v>
      </c>
      <c r="I183" s="136" t="s">
        <v>4043</v>
      </c>
      <c r="J183" s="136" t="s">
        <v>6021</v>
      </c>
      <c r="K183" s="136">
        <v>73.0</v>
      </c>
      <c r="L183" s="136">
        <v>70.0</v>
      </c>
      <c r="M183" s="136">
        <v>51.56667</v>
      </c>
      <c r="N183" s="136">
        <v>0.0</v>
      </c>
      <c r="O183" s="136">
        <v>51.56667</v>
      </c>
      <c r="P183" s="136">
        <v>100.0</v>
      </c>
      <c r="Q183" s="136">
        <v>51.56667</v>
      </c>
      <c r="R183" s="136" t="s">
        <v>4045</v>
      </c>
      <c r="S183" s="136">
        <v>66.66667</v>
      </c>
      <c r="T183" s="136">
        <v>1.0</v>
      </c>
      <c r="U183" s="138">
        <v>45747.90766203704</v>
      </c>
      <c r="V183" s="140"/>
      <c r="W183" s="140"/>
      <c r="X183" s="140"/>
      <c r="Y183" s="140"/>
      <c r="Z183" s="140"/>
    </row>
    <row r="184">
      <c r="A184" s="135" t="s">
        <v>4984</v>
      </c>
      <c r="B184" s="136" t="s">
        <v>4985</v>
      </c>
      <c r="C184" s="136" t="s">
        <v>4986</v>
      </c>
      <c r="D184" s="136" t="s">
        <v>4987</v>
      </c>
      <c r="E184" s="136">
        <v>2025.0</v>
      </c>
      <c r="F184" s="136" t="s">
        <v>4718</v>
      </c>
      <c r="G184" s="136" t="s">
        <v>5646</v>
      </c>
      <c r="H184" s="136" t="s">
        <v>6022</v>
      </c>
      <c r="I184" s="136" t="s">
        <v>4043</v>
      </c>
      <c r="J184" s="136" t="s">
        <v>6023</v>
      </c>
      <c r="K184" s="136">
        <v>73.0</v>
      </c>
      <c r="L184" s="136">
        <v>70.0</v>
      </c>
      <c r="M184" s="136">
        <v>49.0</v>
      </c>
      <c r="N184" s="136">
        <v>0.0</v>
      </c>
      <c r="O184" s="136">
        <v>49.0</v>
      </c>
      <c r="P184" s="136">
        <v>100.0</v>
      </c>
      <c r="Q184" s="136">
        <v>49.0</v>
      </c>
      <c r="R184" s="136" t="s">
        <v>4045</v>
      </c>
      <c r="S184" s="136">
        <v>70.0</v>
      </c>
      <c r="T184" s="136">
        <v>2.0</v>
      </c>
      <c r="U184" s="138">
        <v>45747.78671296296</v>
      </c>
      <c r="V184" s="140"/>
      <c r="W184" s="140"/>
      <c r="X184" s="140"/>
      <c r="Y184" s="140"/>
      <c r="Z184" s="140"/>
    </row>
    <row r="185">
      <c r="A185" s="135" t="s">
        <v>6024</v>
      </c>
      <c r="B185" s="136" t="s">
        <v>6025</v>
      </c>
      <c r="C185" s="136" t="s">
        <v>6026</v>
      </c>
      <c r="D185" s="136" t="s">
        <v>6027</v>
      </c>
      <c r="E185" s="136">
        <v>2025.0</v>
      </c>
      <c r="F185" s="136" t="s">
        <v>4718</v>
      </c>
      <c r="G185" s="136" t="s">
        <v>5646</v>
      </c>
      <c r="H185" s="136" t="s">
        <v>6028</v>
      </c>
      <c r="I185" s="136" t="s">
        <v>4043</v>
      </c>
      <c r="J185" s="136" t="s">
        <v>5897</v>
      </c>
      <c r="K185" s="136">
        <v>73.0</v>
      </c>
      <c r="L185" s="136">
        <v>70.0</v>
      </c>
      <c r="M185" s="136">
        <v>17.0</v>
      </c>
      <c r="N185" s="136">
        <v>0.0</v>
      </c>
      <c r="O185" s="136">
        <v>17.0</v>
      </c>
      <c r="P185" s="136">
        <v>100.0</v>
      </c>
      <c r="Q185" s="136">
        <v>17.0</v>
      </c>
      <c r="R185" s="136" t="s">
        <v>4045</v>
      </c>
      <c r="S185" s="136">
        <v>24.28571</v>
      </c>
      <c r="T185" s="136">
        <v>1.0</v>
      </c>
      <c r="U185" s="138">
        <v>45747.75203703704</v>
      </c>
      <c r="V185" s="140"/>
      <c r="W185" s="140"/>
      <c r="X185" s="140"/>
      <c r="Y185" s="140"/>
      <c r="Z185" s="140"/>
    </row>
    <row r="186">
      <c r="A186" s="135" t="s">
        <v>4990</v>
      </c>
      <c r="B186" s="136" t="s">
        <v>4991</v>
      </c>
      <c r="C186" s="136" t="s">
        <v>4992</v>
      </c>
      <c r="D186" s="136" t="s">
        <v>4993</v>
      </c>
      <c r="E186" s="136">
        <v>2025.0</v>
      </c>
      <c r="F186" s="136" t="s">
        <v>4718</v>
      </c>
      <c r="G186" s="136" t="s">
        <v>5646</v>
      </c>
      <c r="H186" s="136" t="s">
        <v>6029</v>
      </c>
      <c r="I186" s="136" t="s">
        <v>4043</v>
      </c>
      <c r="J186" s="136" t="s">
        <v>6030</v>
      </c>
      <c r="K186" s="136">
        <v>73.0</v>
      </c>
      <c r="L186" s="136">
        <v>70.0</v>
      </c>
      <c r="M186" s="136">
        <v>30.0</v>
      </c>
      <c r="N186" s="136">
        <v>0.0</v>
      </c>
      <c r="O186" s="136">
        <v>30.0</v>
      </c>
      <c r="P186" s="136">
        <v>100.0</v>
      </c>
      <c r="Q186" s="136">
        <v>30.0</v>
      </c>
      <c r="R186" s="136" t="s">
        <v>4045</v>
      </c>
      <c r="S186" s="136">
        <v>42.85714</v>
      </c>
      <c r="T186" s="136">
        <v>6.0</v>
      </c>
      <c r="U186" s="138">
        <v>45747.921689814815</v>
      </c>
      <c r="V186" s="140"/>
      <c r="W186" s="140"/>
      <c r="X186" s="140"/>
      <c r="Y186" s="140"/>
      <c r="Z186" s="140"/>
    </row>
    <row r="187">
      <c r="A187" s="135" t="s">
        <v>4996</v>
      </c>
      <c r="B187" s="136" t="s">
        <v>4997</v>
      </c>
      <c r="C187" s="136" t="s">
        <v>4998</v>
      </c>
      <c r="D187" s="136" t="s">
        <v>4999</v>
      </c>
      <c r="E187" s="136">
        <v>2025.0</v>
      </c>
      <c r="F187" s="136" t="s">
        <v>4718</v>
      </c>
      <c r="G187" s="136" t="s">
        <v>5646</v>
      </c>
      <c r="H187" s="136" t="s">
        <v>6031</v>
      </c>
      <c r="I187" s="136" t="s">
        <v>4043</v>
      </c>
      <c r="J187" s="136" t="s">
        <v>6032</v>
      </c>
      <c r="K187" s="136">
        <v>73.0</v>
      </c>
      <c r="L187" s="136">
        <v>71.0</v>
      </c>
      <c r="M187" s="136">
        <v>49.56667</v>
      </c>
      <c r="N187" s="136">
        <v>0.0</v>
      </c>
      <c r="O187" s="136">
        <v>49.56667</v>
      </c>
      <c r="P187" s="136">
        <v>100.0</v>
      </c>
      <c r="Q187" s="136">
        <v>49.56667</v>
      </c>
      <c r="R187" s="136" t="s">
        <v>4045</v>
      </c>
      <c r="S187" s="136">
        <v>64.28571</v>
      </c>
      <c r="T187" s="136">
        <v>3.0</v>
      </c>
      <c r="U187" s="138">
        <v>45747.710648148146</v>
      </c>
      <c r="V187" s="140"/>
      <c r="W187" s="140"/>
      <c r="X187" s="140"/>
      <c r="Y187" s="140"/>
      <c r="Z187" s="140"/>
    </row>
    <row r="188">
      <c r="A188" s="135" t="s">
        <v>5001</v>
      </c>
      <c r="B188" s="136" t="s">
        <v>5002</v>
      </c>
      <c r="C188" s="136" t="s">
        <v>5003</v>
      </c>
      <c r="D188" s="136" t="s">
        <v>5004</v>
      </c>
      <c r="E188" s="136">
        <v>2025.0</v>
      </c>
      <c r="F188" s="136" t="s">
        <v>4718</v>
      </c>
      <c r="G188" s="136" t="s">
        <v>5646</v>
      </c>
      <c r="H188" s="136" t="s">
        <v>6033</v>
      </c>
      <c r="I188" s="136" t="s">
        <v>4043</v>
      </c>
      <c r="J188" s="136" t="s">
        <v>6034</v>
      </c>
      <c r="K188" s="136">
        <v>73.0</v>
      </c>
      <c r="L188" s="136">
        <v>69.0</v>
      </c>
      <c r="M188" s="136">
        <v>28.0</v>
      </c>
      <c r="N188" s="136">
        <v>0.0</v>
      </c>
      <c r="O188" s="136">
        <v>28.0</v>
      </c>
      <c r="P188" s="136">
        <v>100.0</v>
      </c>
      <c r="Q188" s="136">
        <v>28.0</v>
      </c>
      <c r="R188" s="136" t="s">
        <v>4045</v>
      </c>
      <c r="S188" s="136">
        <v>40.57971</v>
      </c>
      <c r="T188" s="136">
        <v>2.0</v>
      </c>
      <c r="U188" s="138">
        <v>45747.80908564815</v>
      </c>
      <c r="V188" s="140"/>
      <c r="W188" s="140"/>
      <c r="X188" s="140"/>
      <c r="Y188" s="140"/>
      <c r="Z188" s="140"/>
    </row>
    <row r="189">
      <c r="A189" s="135" t="s">
        <v>5013</v>
      </c>
      <c r="B189" s="136" t="s">
        <v>5014</v>
      </c>
      <c r="C189" s="136" t="s">
        <v>5015</v>
      </c>
      <c r="D189" s="136" t="s">
        <v>5016</v>
      </c>
      <c r="E189" s="136">
        <v>2025.0</v>
      </c>
      <c r="F189" s="136" t="s">
        <v>4718</v>
      </c>
      <c r="G189" s="136" t="s">
        <v>5646</v>
      </c>
      <c r="H189" s="136" t="s">
        <v>6035</v>
      </c>
      <c r="I189" s="136" t="s">
        <v>4043</v>
      </c>
      <c r="J189" s="136" t="s">
        <v>5761</v>
      </c>
      <c r="K189" s="136">
        <v>73.0</v>
      </c>
      <c r="L189" s="136">
        <v>71.0</v>
      </c>
      <c r="M189" s="136">
        <v>40.33333</v>
      </c>
      <c r="N189" s="136">
        <v>0.0</v>
      </c>
      <c r="O189" s="136">
        <v>40.33333</v>
      </c>
      <c r="P189" s="136">
        <v>100.0</v>
      </c>
      <c r="Q189" s="136">
        <v>40.33333</v>
      </c>
      <c r="R189" s="136" t="s">
        <v>4045</v>
      </c>
      <c r="S189" s="136">
        <v>52.85714</v>
      </c>
      <c r="T189" s="136">
        <v>2.0</v>
      </c>
      <c r="U189" s="138">
        <v>45747.584027777775</v>
      </c>
      <c r="V189" s="140"/>
      <c r="W189" s="140"/>
      <c r="X189" s="140"/>
      <c r="Y189" s="140"/>
      <c r="Z189" s="140"/>
    </row>
    <row r="190">
      <c r="A190" s="135" t="s">
        <v>5019</v>
      </c>
      <c r="B190" s="136" t="s">
        <v>5020</v>
      </c>
      <c r="C190" s="136" t="s">
        <v>5021</v>
      </c>
      <c r="D190" s="136" t="s">
        <v>5022</v>
      </c>
      <c r="E190" s="136">
        <v>2025.0</v>
      </c>
      <c r="F190" s="136" t="s">
        <v>4718</v>
      </c>
      <c r="G190" s="136" t="s">
        <v>5646</v>
      </c>
      <c r="H190" s="136" t="s">
        <v>6036</v>
      </c>
      <c r="I190" s="136" t="s">
        <v>4043</v>
      </c>
      <c r="J190" s="136" t="s">
        <v>6037</v>
      </c>
      <c r="K190" s="136">
        <v>73.0</v>
      </c>
      <c r="L190" s="136">
        <v>71.0</v>
      </c>
      <c r="M190" s="136">
        <v>47.66667</v>
      </c>
      <c r="N190" s="136">
        <v>0.0</v>
      </c>
      <c r="O190" s="136">
        <v>47.66667</v>
      </c>
      <c r="P190" s="136">
        <v>100.0</v>
      </c>
      <c r="Q190" s="136">
        <v>47.66667</v>
      </c>
      <c r="R190" s="136" t="s">
        <v>4045</v>
      </c>
      <c r="S190" s="136">
        <v>58.57143</v>
      </c>
      <c r="T190" s="136">
        <v>2.0</v>
      </c>
      <c r="U190" s="138">
        <v>45747.75443287037</v>
      </c>
      <c r="V190" s="140"/>
      <c r="W190" s="140"/>
      <c r="X190" s="140"/>
      <c r="Y190" s="140"/>
      <c r="Z190" s="140"/>
    </row>
    <row r="191">
      <c r="A191" s="135" t="s">
        <v>6038</v>
      </c>
      <c r="B191" s="136" t="s">
        <v>6039</v>
      </c>
      <c r="C191" s="136" t="s">
        <v>6040</v>
      </c>
      <c r="D191" s="136" t="s">
        <v>6041</v>
      </c>
      <c r="E191" s="136">
        <v>2025.0</v>
      </c>
      <c r="F191" s="136" t="s">
        <v>4718</v>
      </c>
      <c r="G191" s="136" t="s">
        <v>5646</v>
      </c>
      <c r="H191" s="136" t="s">
        <v>6042</v>
      </c>
      <c r="I191" s="136" t="s">
        <v>4043</v>
      </c>
      <c r="J191" s="136" t="s">
        <v>6043</v>
      </c>
      <c r="K191" s="136">
        <v>73.0</v>
      </c>
      <c r="L191" s="136">
        <v>71.0</v>
      </c>
      <c r="M191" s="136">
        <v>33.83333</v>
      </c>
      <c r="N191" s="136">
        <v>0.0</v>
      </c>
      <c r="O191" s="136">
        <v>33.83333</v>
      </c>
      <c r="P191" s="136">
        <v>100.0</v>
      </c>
      <c r="Q191" s="136">
        <v>33.83333</v>
      </c>
      <c r="R191" s="136" t="s">
        <v>4045</v>
      </c>
      <c r="S191" s="136">
        <v>40.0</v>
      </c>
      <c r="T191" s="136">
        <v>1.0</v>
      </c>
      <c r="U191" s="138">
        <v>45747.73949074074</v>
      </c>
      <c r="V191" s="140"/>
      <c r="W191" s="140"/>
      <c r="X191" s="140"/>
      <c r="Y191" s="140"/>
      <c r="Z191" s="140"/>
    </row>
    <row r="192">
      <c r="A192" s="135" t="s">
        <v>5150</v>
      </c>
      <c r="B192" s="136" t="s">
        <v>5151</v>
      </c>
      <c r="C192" s="136" t="s">
        <v>5152</v>
      </c>
      <c r="D192" s="136" t="s">
        <v>5153</v>
      </c>
      <c r="E192" s="136">
        <v>2025.0</v>
      </c>
      <c r="F192" s="136" t="s">
        <v>4718</v>
      </c>
      <c r="G192" s="136" t="s">
        <v>5646</v>
      </c>
      <c r="H192" s="136" t="s">
        <v>6044</v>
      </c>
      <c r="I192" s="136" t="s">
        <v>4043</v>
      </c>
      <c r="J192" s="136" t="s">
        <v>6045</v>
      </c>
      <c r="K192" s="136">
        <v>73.0</v>
      </c>
      <c r="L192" s="136">
        <v>71.0</v>
      </c>
      <c r="M192" s="136">
        <v>29.66667</v>
      </c>
      <c r="N192" s="136">
        <v>0.0</v>
      </c>
      <c r="O192" s="136">
        <v>29.66667</v>
      </c>
      <c r="P192" s="136">
        <v>100.0</v>
      </c>
      <c r="Q192" s="136">
        <v>29.66667</v>
      </c>
      <c r="R192" s="136" t="s">
        <v>4045</v>
      </c>
      <c r="S192" s="136">
        <v>32.85714</v>
      </c>
      <c r="T192" s="136">
        <v>1.0</v>
      </c>
      <c r="U192" s="138">
        <v>45747.75200231482</v>
      </c>
      <c r="V192" s="140"/>
      <c r="W192" s="140"/>
      <c r="X192" s="140"/>
      <c r="Y192" s="140"/>
      <c r="Z192" s="140"/>
    </row>
    <row r="193">
      <c r="A193" s="135" t="s">
        <v>5156</v>
      </c>
      <c r="B193" s="136" t="s">
        <v>5157</v>
      </c>
      <c r="C193" s="136" t="s">
        <v>5158</v>
      </c>
      <c r="D193" s="136" t="s">
        <v>5159</v>
      </c>
      <c r="E193" s="136">
        <v>2025.0</v>
      </c>
      <c r="F193" s="136" t="s">
        <v>4718</v>
      </c>
      <c r="G193" s="136" t="s">
        <v>5646</v>
      </c>
      <c r="H193" s="136" t="s">
        <v>6046</v>
      </c>
      <c r="I193" s="136" t="s">
        <v>4043</v>
      </c>
      <c r="J193" s="136" t="s">
        <v>6047</v>
      </c>
      <c r="K193" s="136">
        <v>73.0</v>
      </c>
      <c r="L193" s="136">
        <v>71.0</v>
      </c>
      <c r="M193" s="136">
        <v>48.5</v>
      </c>
      <c r="N193" s="136">
        <v>0.0</v>
      </c>
      <c r="O193" s="136">
        <v>48.5</v>
      </c>
      <c r="P193" s="136">
        <v>100.0</v>
      </c>
      <c r="Q193" s="136">
        <v>48.5</v>
      </c>
      <c r="R193" s="136" t="s">
        <v>4045</v>
      </c>
      <c r="S193" s="136">
        <v>60.0</v>
      </c>
      <c r="T193" s="136">
        <v>1.0</v>
      </c>
      <c r="U193" s="138">
        <v>45747.75560185185</v>
      </c>
      <c r="V193" s="140"/>
      <c r="W193" s="140"/>
      <c r="X193" s="140"/>
      <c r="Y193" s="140"/>
      <c r="Z193" s="140"/>
    </row>
    <row r="194">
      <c r="A194" s="135" t="s">
        <v>5025</v>
      </c>
      <c r="B194" s="136" t="s">
        <v>5026</v>
      </c>
      <c r="C194" s="136" t="s">
        <v>5027</v>
      </c>
      <c r="D194" s="136" t="s">
        <v>5028</v>
      </c>
      <c r="E194" s="136">
        <v>2025.0</v>
      </c>
      <c r="F194" s="136" t="s">
        <v>4718</v>
      </c>
      <c r="G194" s="136" t="s">
        <v>5646</v>
      </c>
      <c r="H194" s="136" t="s">
        <v>6048</v>
      </c>
      <c r="I194" s="136" t="s">
        <v>4043</v>
      </c>
      <c r="J194" s="136" t="s">
        <v>6049</v>
      </c>
      <c r="K194" s="136">
        <v>73.0</v>
      </c>
      <c r="L194" s="136">
        <v>72.0</v>
      </c>
      <c r="M194" s="136">
        <v>49.0</v>
      </c>
      <c r="N194" s="136">
        <v>0.0</v>
      </c>
      <c r="O194" s="136">
        <v>49.0</v>
      </c>
      <c r="P194" s="136">
        <v>100.0</v>
      </c>
      <c r="Q194" s="136">
        <v>49.0</v>
      </c>
      <c r="R194" s="136" t="s">
        <v>4045</v>
      </c>
      <c r="S194" s="136">
        <v>65.33333</v>
      </c>
      <c r="T194" s="136">
        <v>1.0</v>
      </c>
      <c r="U194" s="138">
        <v>45747.80126157407</v>
      </c>
      <c r="V194" s="140"/>
      <c r="W194" s="140"/>
      <c r="X194" s="140"/>
      <c r="Y194" s="140"/>
      <c r="Z194" s="140"/>
    </row>
    <row r="195">
      <c r="A195" s="135" t="s">
        <v>5037</v>
      </c>
      <c r="B195" s="136" t="s">
        <v>5038</v>
      </c>
      <c r="C195" s="136" t="s">
        <v>5039</v>
      </c>
      <c r="D195" s="136" t="s">
        <v>5040</v>
      </c>
      <c r="E195" s="136">
        <v>2025.0</v>
      </c>
      <c r="F195" s="136" t="s">
        <v>4718</v>
      </c>
      <c r="G195" s="136" t="s">
        <v>5646</v>
      </c>
      <c r="H195" s="136" t="s">
        <v>6050</v>
      </c>
      <c r="I195" s="136" t="s">
        <v>4043</v>
      </c>
      <c r="J195" s="136" t="s">
        <v>4565</v>
      </c>
      <c r="K195" s="136">
        <v>73.0</v>
      </c>
      <c r="L195" s="136">
        <v>71.0</v>
      </c>
      <c r="M195" s="136">
        <v>25.53333</v>
      </c>
      <c r="N195" s="136">
        <v>0.0</v>
      </c>
      <c r="O195" s="136">
        <v>25.53333</v>
      </c>
      <c r="P195" s="136">
        <v>100.0</v>
      </c>
      <c r="Q195" s="136">
        <v>25.53333</v>
      </c>
      <c r="R195" s="136" t="s">
        <v>4045</v>
      </c>
      <c r="S195" s="136">
        <v>30.0</v>
      </c>
      <c r="T195" s="136">
        <v>3.0</v>
      </c>
      <c r="U195" s="138">
        <v>45747.86388888889</v>
      </c>
      <c r="V195" s="140"/>
      <c r="W195" s="140"/>
      <c r="X195" s="140"/>
      <c r="Y195" s="140"/>
      <c r="Z195" s="140"/>
    </row>
    <row r="196">
      <c r="A196" s="135" t="s">
        <v>5043</v>
      </c>
      <c r="B196" s="136" t="s">
        <v>5044</v>
      </c>
      <c r="C196" s="136" t="s">
        <v>5045</v>
      </c>
      <c r="D196" s="136" t="s">
        <v>5046</v>
      </c>
      <c r="E196" s="136">
        <v>2025.0</v>
      </c>
      <c r="F196" s="136" t="s">
        <v>4718</v>
      </c>
      <c r="G196" s="136" t="s">
        <v>5646</v>
      </c>
      <c r="H196" s="136" t="s">
        <v>6051</v>
      </c>
      <c r="I196" s="136" t="s">
        <v>4043</v>
      </c>
      <c r="J196" s="136" t="s">
        <v>6052</v>
      </c>
      <c r="K196" s="136">
        <v>73.0</v>
      </c>
      <c r="L196" s="136">
        <v>73.0</v>
      </c>
      <c r="M196" s="136">
        <v>51.93333</v>
      </c>
      <c r="N196" s="136">
        <v>0.0</v>
      </c>
      <c r="O196" s="136">
        <v>51.93333</v>
      </c>
      <c r="P196" s="136">
        <v>100.0</v>
      </c>
      <c r="Q196" s="136">
        <v>51.93333</v>
      </c>
      <c r="R196" s="136" t="s">
        <v>4045</v>
      </c>
      <c r="S196" s="136">
        <v>56.0</v>
      </c>
      <c r="T196" s="136">
        <v>1.0</v>
      </c>
      <c r="U196" s="138">
        <v>45747.802719907406</v>
      </c>
      <c r="V196" s="140"/>
      <c r="W196" s="140"/>
      <c r="X196" s="140"/>
      <c r="Y196" s="140"/>
      <c r="Z196" s="140"/>
    </row>
    <row r="197">
      <c r="A197" s="135" t="s">
        <v>5055</v>
      </c>
      <c r="B197" s="136" t="s">
        <v>5056</v>
      </c>
      <c r="C197" s="136" t="s">
        <v>5057</v>
      </c>
      <c r="D197" s="136" t="s">
        <v>5058</v>
      </c>
      <c r="E197" s="136">
        <v>2025.0</v>
      </c>
      <c r="F197" s="136" t="s">
        <v>4718</v>
      </c>
      <c r="G197" s="136" t="s">
        <v>5646</v>
      </c>
      <c r="H197" s="136" t="s">
        <v>6053</v>
      </c>
      <c r="I197" s="136" t="s">
        <v>4043</v>
      </c>
      <c r="J197" s="136" t="s">
        <v>5492</v>
      </c>
      <c r="K197" s="136">
        <v>73.0</v>
      </c>
      <c r="L197" s="136">
        <v>71.0</v>
      </c>
      <c r="M197" s="136">
        <v>49.43333</v>
      </c>
      <c r="N197" s="136">
        <v>0.0</v>
      </c>
      <c r="O197" s="136">
        <v>49.43333</v>
      </c>
      <c r="P197" s="136">
        <v>100.0</v>
      </c>
      <c r="Q197" s="136">
        <v>49.43333</v>
      </c>
      <c r="R197" s="136" t="s">
        <v>4045</v>
      </c>
      <c r="S197" s="136">
        <v>50.70423</v>
      </c>
      <c r="T197" s="136">
        <v>1.0</v>
      </c>
      <c r="U197" s="138">
        <v>45748.83331018518</v>
      </c>
      <c r="V197" s="140"/>
      <c r="W197" s="140"/>
      <c r="X197" s="140"/>
      <c r="Y197" s="140"/>
      <c r="Z197" s="140"/>
    </row>
    <row r="198">
      <c r="A198" s="135" t="s">
        <v>5061</v>
      </c>
      <c r="B198" s="136" t="s">
        <v>5062</v>
      </c>
      <c r="C198" s="136" t="s">
        <v>5063</v>
      </c>
      <c r="D198" s="136" t="s">
        <v>5064</v>
      </c>
      <c r="E198" s="136">
        <v>2025.0</v>
      </c>
      <c r="F198" s="136" t="s">
        <v>4718</v>
      </c>
      <c r="G198" s="136" t="s">
        <v>5646</v>
      </c>
      <c r="H198" s="136" t="s">
        <v>6054</v>
      </c>
      <c r="I198" s="136" t="s">
        <v>4043</v>
      </c>
      <c r="J198" s="136" t="s">
        <v>4044</v>
      </c>
      <c r="K198" s="136">
        <v>73.0</v>
      </c>
      <c r="L198" s="136">
        <v>73.0</v>
      </c>
      <c r="M198" s="136">
        <v>56.03333</v>
      </c>
      <c r="N198" s="136">
        <v>0.0</v>
      </c>
      <c r="O198" s="136">
        <v>56.03333</v>
      </c>
      <c r="P198" s="136">
        <v>100.0</v>
      </c>
      <c r="Q198" s="136">
        <v>56.03333</v>
      </c>
      <c r="R198" s="136" t="s">
        <v>4045</v>
      </c>
      <c r="S198" s="136">
        <v>66.66667</v>
      </c>
      <c r="T198" s="136">
        <v>1.0</v>
      </c>
      <c r="U198" s="138">
        <v>45747.84717592593</v>
      </c>
      <c r="V198" s="140"/>
      <c r="W198" s="140"/>
      <c r="X198" s="140"/>
      <c r="Y198" s="140"/>
      <c r="Z198" s="140"/>
    </row>
    <row r="199">
      <c r="A199" s="135" t="s">
        <v>5067</v>
      </c>
      <c r="B199" s="136" t="s">
        <v>5068</v>
      </c>
      <c r="C199" s="136" t="s">
        <v>5069</v>
      </c>
      <c r="D199" s="136" t="s">
        <v>5070</v>
      </c>
      <c r="E199" s="136">
        <v>2025.0</v>
      </c>
      <c r="F199" s="136" t="s">
        <v>4718</v>
      </c>
      <c r="G199" s="136" t="s">
        <v>5646</v>
      </c>
      <c r="H199" s="136" t="s">
        <v>6055</v>
      </c>
      <c r="I199" s="136" t="s">
        <v>4043</v>
      </c>
      <c r="J199" s="136" t="s">
        <v>6056</v>
      </c>
      <c r="K199" s="136">
        <v>73.0</v>
      </c>
      <c r="L199" s="136">
        <v>71.0</v>
      </c>
      <c r="M199" s="136">
        <v>44.83333</v>
      </c>
      <c r="N199" s="136">
        <v>0.0</v>
      </c>
      <c r="O199" s="136">
        <v>44.83333</v>
      </c>
      <c r="P199" s="136">
        <v>100.0</v>
      </c>
      <c r="Q199" s="136">
        <v>44.83333</v>
      </c>
      <c r="R199" s="136" t="s">
        <v>4045</v>
      </c>
      <c r="S199" s="136">
        <v>57.14286</v>
      </c>
      <c r="T199" s="136">
        <v>1.0</v>
      </c>
      <c r="U199" s="138">
        <v>45747.86561342593</v>
      </c>
      <c r="V199" s="140"/>
      <c r="W199" s="141"/>
      <c r="X199" s="141"/>
      <c r="Y199" s="141"/>
      <c r="Z199" s="141"/>
    </row>
    <row r="200">
      <c r="A200" s="135" t="s">
        <v>5073</v>
      </c>
      <c r="B200" s="136" t="s">
        <v>5074</v>
      </c>
      <c r="C200" s="136" t="s">
        <v>5075</v>
      </c>
      <c r="D200" s="136" t="s">
        <v>5076</v>
      </c>
      <c r="E200" s="136">
        <v>2025.0</v>
      </c>
      <c r="F200" s="136" t="s">
        <v>4718</v>
      </c>
      <c r="G200" s="136" t="s">
        <v>5646</v>
      </c>
      <c r="H200" s="136" t="s">
        <v>6057</v>
      </c>
      <c r="I200" s="136" t="s">
        <v>4152</v>
      </c>
      <c r="J200" s="136" t="s">
        <v>4153</v>
      </c>
      <c r="K200" s="136" t="s">
        <v>1003</v>
      </c>
      <c r="L200" s="136" t="s">
        <v>1003</v>
      </c>
      <c r="M200" s="136" t="s">
        <v>1003</v>
      </c>
      <c r="N200" s="136" t="s">
        <v>1003</v>
      </c>
      <c r="O200" s="136" t="s">
        <v>1003</v>
      </c>
      <c r="P200" s="136" t="s">
        <v>1003</v>
      </c>
      <c r="Q200" s="136" t="s">
        <v>1003</v>
      </c>
      <c r="R200" s="136" t="s">
        <v>1003</v>
      </c>
      <c r="S200" s="136" t="s">
        <v>1003</v>
      </c>
      <c r="T200" s="136">
        <v>1.0</v>
      </c>
      <c r="U200" s="136" t="s">
        <v>1003</v>
      </c>
      <c r="V200" s="140"/>
      <c r="W200" s="141"/>
      <c r="X200" s="141"/>
      <c r="Y200" s="141"/>
      <c r="Z200" s="141"/>
    </row>
    <row r="201">
      <c r="A201" s="135" t="s">
        <v>5085</v>
      </c>
      <c r="B201" s="136" t="s">
        <v>5086</v>
      </c>
      <c r="C201" s="136" t="s">
        <v>5087</v>
      </c>
      <c r="D201" s="136" t="s">
        <v>5088</v>
      </c>
      <c r="E201" s="136">
        <v>2025.0</v>
      </c>
      <c r="F201" s="136" t="s">
        <v>4718</v>
      </c>
      <c r="G201" s="136" t="s">
        <v>5646</v>
      </c>
      <c r="H201" s="136" t="s">
        <v>6058</v>
      </c>
      <c r="I201" s="136" t="s">
        <v>4043</v>
      </c>
      <c r="J201" s="136" t="s">
        <v>6059</v>
      </c>
      <c r="K201" s="136">
        <v>73.0</v>
      </c>
      <c r="L201" s="136">
        <v>73.0</v>
      </c>
      <c r="M201" s="136">
        <v>56.33333</v>
      </c>
      <c r="N201" s="136">
        <v>0.0</v>
      </c>
      <c r="O201" s="136">
        <v>56.33333</v>
      </c>
      <c r="P201" s="136">
        <v>100.0</v>
      </c>
      <c r="Q201" s="136">
        <v>56.33333</v>
      </c>
      <c r="R201" s="136" t="s">
        <v>4045</v>
      </c>
      <c r="S201" s="136">
        <v>62.66667</v>
      </c>
      <c r="T201" s="136">
        <v>1.0</v>
      </c>
      <c r="U201" s="138">
        <v>45747.84230324074</v>
      </c>
      <c r="V201" s="140"/>
      <c r="W201" s="141"/>
      <c r="X201" s="141"/>
      <c r="Y201" s="141"/>
      <c r="Z201" s="141"/>
    </row>
    <row r="202">
      <c r="A202" s="135" t="s">
        <v>6060</v>
      </c>
      <c r="B202" s="136" t="s">
        <v>6061</v>
      </c>
      <c r="C202" s="136" t="s">
        <v>6062</v>
      </c>
      <c r="D202" s="136" t="s">
        <v>6063</v>
      </c>
      <c r="E202" s="136">
        <v>2025.0</v>
      </c>
      <c r="F202" s="136" t="s">
        <v>4718</v>
      </c>
      <c r="G202" s="136" t="s">
        <v>5646</v>
      </c>
      <c r="H202" s="136" t="s">
        <v>6064</v>
      </c>
      <c r="I202" s="136" t="s">
        <v>4043</v>
      </c>
      <c r="J202" s="136" t="s">
        <v>6065</v>
      </c>
      <c r="K202" s="136">
        <v>73.0</v>
      </c>
      <c r="L202" s="136">
        <v>70.0</v>
      </c>
      <c r="M202" s="136">
        <v>33.0</v>
      </c>
      <c r="N202" s="136">
        <v>0.0</v>
      </c>
      <c r="O202" s="136">
        <v>33.0</v>
      </c>
      <c r="P202" s="136">
        <v>100.0</v>
      </c>
      <c r="Q202" s="136">
        <v>33.0</v>
      </c>
      <c r="R202" s="136" t="s">
        <v>4045</v>
      </c>
      <c r="S202" s="136">
        <v>47.14286</v>
      </c>
      <c r="T202" s="136">
        <v>4.0</v>
      </c>
      <c r="U202" s="138">
        <v>45747.75423611111</v>
      </c>
      <c r="V202" s="140"/>
      <c r="W202" s="141"/>
      <c r="X202" s="141"/>
      <c r="Y202" s="141"/>
      <c r="Z202" s="141"/>
    </row>
    <row r="203">
      <c r="A203" s="135" t="s">
        <v>5091</v>
      </c>
      <c r="B203" s="136" t="s">
        <v>5092</v>
      </c>
      <c r="C203" s="136" t="s">
        <v>5093</v>
      </c>
      <c r="D203" s="136" t="s">
        <v>5094</v>
      </c>
      <c r="E203" s="136">
        <v>2025.0</v>
      </c>
      <c r="F203" s="136" t="s">
        <v>4718</v>
      </c>
      <c r="G203" s="136" t="s">
        <v>5646</v>
      </c>
      <c r="H203" s="136" t="s">
        <v>6066</v>
      </c>
      <c r="I203" s="136" t="s">
        <v>4043</v>
      </c>
      <c r="J203" s="136" t="s">
        <v>6013</v>
      </c>
      <c r="K203" s="136">
        <v>73.0</v>
      </c>
      <c r="L203" s="136">
        <v>71.0</v>
      </c>
      <c r="M203" s="136">
        <v>60.63333</v>
      </c>
      <c r="N203" s="136">
        <v>0.0</v>
      </c>
      <c r="O203" s="136">
        <v>60.63333</v>
      </c>
      <c r="P203" s="136">
        <v>100.0</v>
      </c>
      <c r="Q203" s="136">
        <v>60.63333</v>
      </c>
      <c r="R203" s="136" t="s">
        <v>4200</v>
      </c>
      <c r="S203" s="136">
        <v>80.0</v>
      </c>
      <c r="T203" s="136">
        <v>1.0</v>
      </c>
      <c r="U203" s="138">
        <v>45747.857835648145</v>
      </c>
      <c r="V203" s="140"/>
      <c r="W203" s="141"/>
      <c r="X203" s="141"/>
      <c r="Y203" s="141"/>
      <c r="Z203" s="141"/>
    </row>
    <row r="204">
      <c r="A204" s="135" t="s">
        <v>5097</v>
      </c>
      <c r="B204" s="136" t="s">
        <v>5098</v>
      </c>
      <c r="C204" s="136" t="s">
        <v>5099</v>
      </c>
      <c r="D204" s="136" t="s">
        <v>5100</v>
      </c>
      <c r="E204" s="136">
        <v>2025.0</v>
      </c>
      <c r="F204" s="136" t="s">
        <v>4718</v>
      </c>
      <c r="G204" s="136" t="s">
        <v>5646</v>
      </c>
      <c r="H204" s="136" t="s">
        <v>6067</v>
      </c>
      <c r="I204" s="136" t="s">
        <v>4043</v>
      </c>
      <c r="J204" s="136" t="s">
        <v>5018</v>
      </c>
      <c r="K204" s="136">
        <v>73.0</v>
      </c>
      <c r="L204" s="136">
        <v>73.0</v>
      </c>
      <c r="M204" s="136">
        <v>31.3</v>
      </c>
      <c r="N204" s="136">
        <v>0.0</v>
      </c>
      <c r="O204" s="136">
        <v>31.3</v>
      </c>
      <c r="P204" s="136">
        <v>100.0</v>
      </c>
      <c r="Q204" s="136">
        <v>31.3</v>
      </c>
      <c r="R204" s="136" t="s">
        <v>4045</v>
      </c>
      <c r="S204" s="136">
        <v>32.0</v>
      </c>
      <c r="T204" s="136">
        <v>4.0</v>
      </c>
      <c r="U204" s="138">
        <v>45747.76329861111</v>
      </c>
      <c r="V204" s="140"/>
      <c r="W204" s="141"/>
      <c r="X204" s="141"/>
      <c r="Y204" s="141"/>
      <c r="Z204" s="141"/>
    </row>
    <row r="205">
      <c r="A205" s="135" t="s">
        <v>5102</v>
      </c>
      <c r="B205" s="136" t="s">
        <v>5103</v>
      </c>
      <c r="C205" s="136" t="s">
        <v>5104</v>
      </c>
      <c r="D205" s="136" t="s">
        <v>5105</v>
      </c>
      <c r="E205" s="136">
        <v>2025.0</v>
      </c>
      <c r="F205" s="136" t="s">
        <v>4718</v>
      </c>
      <c r="G205" s="136" t="s">
        <v>5646</v>
      </c>
      <c r="H205" s="136" t="s">
        <v>6068</v>
      </c>
      <c r="I205" s="136" t="s">
        <v>4043</v>
      </c>
      <c r="J205" s="136" t="s">
        <v>6069</v>
      </c>
      <c r="K205" s="136">
        <v>73.0</v>
      </c>
      <c r="L205" s="136">
        <v>71.0</v>
      </c>
      <c r="M205" s="136">
        <v>42.33333</v>
      </c>
      <c r="N205" s="136">
        <v>0.0</v>
      </c>
      <c r="O205" s="136">
        <v>42.33333</v>
      </c>
      <c r="P205" s="136">
        <v>100.0</v>
      </c>
      <c r="Q205" s="136">
        <v>42.33333</v>
      </c>
      <c r="R205" s="136" t="s">
        <v>4045</v>
      </c>
      <c r="S205" s="136">
        <v>52.85714</v>
      </c>
      <c r="T205" s="136">
        <v>5.0</v>
      </c>
      <c r="U205" s="138">
        <v>45747.937048611115</v>
      </c>
      <c r="V205" s="140"/>
      <c r="W205" s="141"/>
      <c r="X205" s="141"/>
      <c r="Y205" s="141"/>
      <c r="Z205" s="141"/>
    </row>
    <row r="206">
      <c r="A206" s="135" t="s">
        <v>5108</v>
      </c>
      <c r="B206" s="136" t="s">
        <v>5109</v>
      </c>
      <c r="C206" s="136" t="s">
        <v>5110</v>
      </c>
      <c r="D206" s="136" t="s">
        <v>5111</v>
      </c>
      <c r="E206" s="136">
        <v>2025.0</v>
      </c>
      <c r="F206" s="136" t="s">
        <v>4718</v>
      </c>
      <c r="G206" s="136" t="s">
        <v>5646</v>
      </c>
      <c r="H206" s="136" t="s">
        <v>6070</v>
      </c>
      <c r="I206" s="136" t="s">
        <v>4043</v>
      </c>
      <c r="J206" s="136" t="s">
        <v>6071</v>
      </c>
      <c r="K206" s="136">
        <v>73.0</v>
      </c>
      <c r="L206" s="136">
        <v>73.0</v>
      </c>
      <c r="M206" s="136">
        <v>60.43333</v>
      </c>
      <c r="N206" s="136">
        <v>0.0</v>
      </c>
      <c r="O206" s="136">
        <v>60.43333</v>
      </c>
      <c r="P206" s="136">
        <v>100.0</v>
      </c>
      <c r="Q206" s="136">
        <v>60.43333</v>
      </c>
      <c r="R206" s="136" t="s">
        <v>4200</v>
      </c>
      <c r="S206" s="136">
        <v>68.0</v>
      </c>
      <c r="T206" s="136">
        <v>0.0</v>
      </c>
      <c r="U206" s="138">
        <v>45747.53837962963</v>
      </c>
      <c r="V206" s="140"/>
      <c r="W206" s="141"/>
      <c r="X206" s="141"/>
      <c r="Y206" s="141"/>
      <c r="Z206" s="141"/>
    </row>
    <row r="207">
      <c r="A207" s="135" t="s">
        <v>5114</v>
      </c>
      <c r="B207" s="136" t="s">
        <v>5115</v>
      </c>
      <c r="C207" s="136" t="s">
        <v>5116</v>
      </c>
      <c r="D207" s="136" t="s">
        <v>5117</v>
      </c>
      <c r="E207" s="136">
        <v>2025.0</v>
      </c>
      <c r="F207" s="136" t="s">
        <v>4718</v>
      </c>
      <c r="G207" s="136" t="s">
        <v>5646</v>
      </c>
      <c r="H207" s="136" t="s">
        <v>6072</v>
      </c>
      <c r="I207" s="136" t="s">
        <v>4043</v>
      </c>
      <c r="J207" s="136" t="s">
        <v>6073</v>
      </c>
      <c r="K207" s="136">
        <v>73.0</v>
      </c>
      <c r="L207" s="136">
        <v>40.0</v>
      </c>
      <c r="M207" s="136">
        <v>21.0</v>
      </c>
      <c r="N207" s="136">
        <v>0.0</v>
      </c>
      <c r="O207" s="136">
        <v>21.0</v>
      </c>
      <c r="P207" s="136">
        <v>100.0</v>
      </c>
      <c r="Q207" s="136">
        <v>21.0</v>
      </c>
      <c r="R207" s="136" t="s">
        <v>4045</v>
      </c>
      <c r="S207" s="136">
        <v>52.5</v>
      </c>
      <c r="T207" s="136">
        <v>2.0</v>
      </c>
      <c r="U207" s="138">
        <v>45747.89475694444</v>
      </c>
      <c r="V207" s="140"/>
      <c r="W207" s="141"/>
      <c r="X207" s="141"/>
      <c r="Y207" s="141"/>
      <c r="Z207" s="141"/>
    </row>
    <row r="208">
      <c r="A208" s="135" t="s">
        <v>5162</v>
      </c>
      <c r="B208" s="136" t="s">
        <v>5163</v>
      </c>
      <c r="C208" s="136" t="s">
        <v>5164</v>
      </c>
      <c r="D208" s="136" t="s">
        <v>5165</v>
      </c>
      <c r="E208" s="136">
        <v>2025.0</v>
      </c>
      <c r="F208" s="136" t="s">
        <v>4718</v>
      </c>
      <c r="G208" s="136" t="s">
        <v>5646</v>
      </c>
      <c r="H208" s="136" t="s">
        <v>6074</v>
      </c>
      <c r="I208" s="136" t="s">
        <v>4043</v>
      </c>
      <c r="J208" s="136" t="s">
        <v>6075</v>
      </c>
      <c r="K208" s="136">
        <v>73.0</v>
      </c>
      <c r="L208" s="136">
        <v>73.0</v>
      </c>
      <c r="M208" s="136">
        <v>47.36667</v>
      </c>
      <c r="N208" s="136">
        <v>0.0</v>
      </c>
      <c r="O208" s="136">
        <v>47.36667</v>
      </c>
      <c r="P208" s="136">
        <v>100.0</v>
      </c>
      <c r="Q208" s="136">
        <v>47.36667</v>
      </c>
      <c r="R208" s="136" t="s">
        <v>4045</v>
      </c>
      <c r="S208" s="136">
        <v>56.0</v>
      </c>
      <c r="T208" s="136">
        <v>0.0</v>
      </c>
      <c r="U208" s="138">
        <v>45747.90225694444</v>
      </c>
      <c r="V208" s="140"/>
      <c r="W208" s="141"/>
      <c r="X208" s="141"/>
      <c r="Y208" s="141"/>
      <c r="Z208" s="141"/>
    </row>
    <row r="209">
      <c r="A209" s="135" t="s">
        <v>5185</v>
      </c>
      <c r="B209" s="136" t="s">
        <v>5186</v>
      </c>
      <c r="C209" s="136" t="s">
        <v>5187</v>
      </c>
      <c r="D209" s="136" t="s">
        <v>5188</v>
      </c>
      <c r="E209" s="136">
        <v>2025.0</v>
      </c>
      <c r="F209" s="136" t="s">
        <v>5172</v>
      </c>
      <c r="G209" s="136" t="s">
        <v>5646</v>
      </c>
      <c r="H209" s="136" t="s">
        <v>6076</v>
      </c>
      <c r="I209" s="136" t="s">
        <v>4043</v>
      </c>
      <c r="J209" s="136" t="s">
        <v>6077</v>
      </c>
      <c r="K209" s="136">
        <v>73.0</v>
      </c>
      <c r="L209" s="136">
        <v>54.0</v>
      </c>
      <c r="M209" s="136">
        <v>16.0</v>
      </c>
      <c r="N209" s="136">
        <v>0.0</v>
      </c>
      <c r="O209" s="136">
        <v>16.0</v>
      </c>
      <c r="P209" s="136">
        <v>100.0</v>
      </c>
      <c r="Q209" s="136">
        <v>16.0</v>
      </c>
      <c r="R209" s="136" t="s">
        <v>4045</v>
      </c>
      <c r="S209" s="136">
        <v>29.62963</v>
      </c>
      <c r="T209" s="136">
        <v>1.0</v>
      </c>
      <c r="U209" s="138">
        <v>45748.766747685186</v>
      </c>
      <c r="V209" s="140"/>
      <c r="W209" s="141"/>
      <c r="X209" s="141"/>
      <c r="Y209" s="141"/>
      <c r="Z209" s="141"/>
    </row>
    <row r="210">
      <c r="A210" s="135" t="s">
        <v>5197</v>
      </c>
      <c r="B210" s="136" t="s">
        <v>5198</v>
      </c>
      <c r="C210" s="136" t="s">
        <v>5199</v>
      </c>
      <c r="D210" s="136" t="s">
        <v>5200</v>
      </c>
      <c r="E210" s="136">
        <v>2025.0</v>
      </c>
      <c r="F210" s="136" t="s">
        <v>5172</v>
      </c>
      <c r="G210" s="136" t="s">
        <v>5646</v>
      </c>
      <c r="H210" s="136" t="s">
        <v>6078</v>
      </c>
      <c r="I210" s="136" t="s">
        <v>4043</v>
      </c>
      <c r="J210" s="136" t="s">
        <v>5871</v>
      </c>
      <c r="K210" s="136">
        <v>73.0</v>
      </c>
      <c r="L210" s="136">
        <v>69.0</v>
      </c>
      <c r="M210" s="136">
        <v>21.0</v>
      </c>
      <c r="N210" s="136">
        <v>0.0</v>
      </c>
      <c r="O210" s="136">
        <v>21.0</v>
      </c>
      <c r="P210" s="136">
        <v>100.0</v>
      </c>
      <c r="Q210" s="136">
        <v>21.0</v>
      </c>
      <c r="R210" s="136" t="s">
        <v>4045</v>
      </c>
      <c r="S210" s="136">
        <v>30.43478</v>
      </c>
      <c r="T210" s="136">
        <v>1.0</v>
      </c>
      <c r="U210" s="138">
        <v>45747.77800925926</v>
      </c>
      <c r="V210" s="140"/>
      <c r="W210" s="141"/>
      <c r="X210" s="141"/>
      <c r="Y210" s="141"/>
      <c r="Z210" s="141"/>
    </row>
    <row r="211">
      <c r="A211" s="135" t="s">
        <v>5203</v>
      </c>
      <c r="B211" s="136" t="s">
        <v>5204</v>
      </c>
      <c r="C211" s="136" t="s">
        <v>5205</v>
      </c>
      <c r="D211" s="136" t="s">
        <v>5206</v>
      </c>
      <c r="E211" s="136">
        <v>2025.0</v>
      </c>
      <c r="F211" s="136" t="s">
        <v>5172</v>
      </c>
      <c r="G211" s="136" t="s">
        <v>5646</v>
      </c>
      <c r="H211" s="136" t="s">
        <v>6079</v>
      </c>
      <c r="I211" s="136" t="s">
        <v>4043</v>
      </c>
      <c r="J211" s="136" t="s">
        <v>6080</v>
      </c>
      <c r="K211" s="136">
        <v>73.0</v>
      </c>
      <c r="L211" s="136">
        <v>70.0</v>
      </c>
      <c r="M211" s="136">
        <v>26.0</v>
      </c>
      <c r="N211" s="136">
        <v>0.0</v>
      </c>
      <c r="O211" s="136">
        <v>26.0</v>
      </c>
      <c r="P211" s="136">
        <v>100.0</v>
      </c>
      <c r="Q211" s="136">
        <v>26.0</v>
      </c>
      <c r="R211" s="136" t="s">
        <v>4045</v>
      </c>
      <c r="S211" s="136">
        <v>37.14286</v>
      </c>
      <c r="T211" s="136">
        <v>2.0</v>
      </c>
      <c r="U211" s="138">
        <v>45748.89780092592</v>
      </c>
      <c r="V211" s="140"/>
      <c r="W211" s="141"/>
      <c r="X211" s="141"/>
      <c r="Y211" s="141"/>
      <c r="Z211" s="141"/>
    </row>
    <row r="212">
      <c r="A212" s="135" t="s">
        <v>5209</v>
      </c>
      <c r="B212" s="136" t="s">
        <v>5210</v>
      </c>
      <c r="C212" s="136" t="s">
        <v>5211</v>
      </c>
      <c r="D212" s="136" t="s">
        <v>5212</v>
      </c>
      <c r="E212" s="136">
        <v>2025.0</v>
      </c>
      <c r="F212" s="136" t="s">
        <v>5172</v>
      </c>
      <c r="G212" s="136" t="s">
        <v>5646</v>
      </c>
      <c r="H212" s="136" t="s">
        <v>6081</v>
      </c>
      <c r="I212" s="136" t="s">
        <v>4043</v>
      </c>
      <c r="J212" s="136" t="s">
        <v>6082</v>
      </c>
      <c r="K212" s="136">
        <v>73.0</v>
      </c>
      <c r="L212" s="136">
        <v>33.0</v>
      </c>
      <c r="M212" s="136">
        <v>11.0</v>
      </c>
      <c r="N212" s="136">
        <v>0.0</v>
      </c>
      <c r="O212" s="136">
        <v>11.0</v>
      </c>
      <c r="P212" s="136">
        <v>100.0</v>
      </c>
      <c r="Q212" s="136">
        <v>11.0</v>
      </c>
      <c r="R212" s="136" t="s">
        <v>4045</v>
      </c>
      <c r="S212" s="136">
        <v>33.33333</v>
      </c>
      <c r="T212" s="136">
        <v>3.0</v>
      </c>
      <c r="U212" s="138">
        <v>45748.74355324074</v>
      </c>
      <c r="V212" s="140"/>
      <c r="W212" s="141"/>
      <c r="X212" s="141"/>
      <c r="Y212" s="141"/>
      <c r="Z212" s="141"/>
    </row>
    <row r="213">
      <c r="A213" s="135" t="s">
        <v>5221</v>
      </c>
      <c r="B213" s="136" t="s">
        <v>5222</v>
      </c>
      <c r="C213" s="136" t="s">
        <v>5223</v>
      </c>
      <c r="D213" s="136" t="s">
        <v>5224</v>
      </c>
      <c r="E213" s="136">
        <v>2025.0</v>
      </c>
      <c r="F213" s="136" t="s">
        <v>5172</v>
      </c>
      <c r="G213" s="136" t="s">
        <v>5646</v>
      </c>
      <c r="H213" s="136" t="s">
        <v>6083</v>
      </c>
      <c r="I213" s="136" t="s">
        <v>4043</v>
      </c>
      <c r="J213" s="136" t="s">
        <v>5018</v>
      </c>
      <c r="K213" s="136">
        <v>73.0</v>
      </c>
      <c r="L213" s="136">
        <v>71.0</v>
      </c>
      <c r="M213" s="136">
        <v>50.43333</v>
      </c>
      <c r="N213" s="136">
        <v>0.0</v>
      </c>
      <c r="O213" s="136">
        <v>50.43333</v>
      </c>
      <c r="P213" s="136">
        <v>100.0</v>
      </c>
      <c r="Q213" s="136">
        <v>50.43333</v>
      </c>
      <c r="R213" s="136" t="s">
        <v>4045</v>
      </c>
      <c r="S213" s="136">
        <v>64.28571</v>
      </c>
      <c r="T213" s="136">
        <v>1.0</v>
      </c>
      <c r="U213" s="138">
        <v>45748.74980324074</v>
      </c>
      <c r="V213" s="140"/>
      <c r="W213" s="141"/>
      <c r="X213" s="141"/>
      <c r="Y213" s="141"/>
      <c r="Z213" s="141"/>
    </row>
    <row r="214">
      <c r="A214" s="135" t="s">
        <v>5227</v>
      </c>
      <c r="B214" s="136" t="s">
        <v>5228</v>
      </c>
      <c r="C214" s="136" t="s">
        <v>5229</v>
      </c>
      <c r="D214" s="136" t="s">
        <v>5230</v>
      </c>
      <c r="E214" s="136">
        <v>2025.0</v>
      </c>
      <c r="F214" s="136" t="s">
        <v>5172</v>
      </c>
      <c r="G214" s="136" t="s">
        <v>5646</v>
      </c>
      <c r="H214" s="136" t="s">
        <v>6084</v>
      </c>
      <c r="I214" s="136" t="s">
        <v>4043</v>
      </c>
      <c r="J214" s="136" t="s">
        <v>6085</v>
      </c>
      <c r="K214" s="136">
        <v>73.0</v>
      </c>
      <c r="L214" s="136">
        <v>70.0</v>
      </c>
      <c r="M214" s="136">
        <v>24.33333</v>
      </c>
      <c r="N214" s="136">
        <v>0.0</v>
      </c>
      <c r="O214" s="136">
        <v>24.33333</v>
      </c>
      <c r="P214" s="136">
        <v>100.0</v>
      </c>
      <c r="Q214" s="136">
        <v>24.33333</v>
      </c>
      <c r="R214" s="136" t="s">
        <v>4045</v>
      </c>
      <c r="S214" s="136">
        <v>30.43478</v>
      </c>
      <c r="T214" s="136">
        <v>4.0</v>
      </c>
      <c r="U214" s="138">
        <v>45748.74868055555</v>
      </c>
      <c r="V214" s="140"/>
      <c r="W214" s="141"/>
      <c r="X214" s="141"/>
      <c r="Y214" s="141"/>
      <c r="Z214" s="141"/>
    </row>
    <row r="215">
      <c r="A215" s="135" t="s">
        <v>5233</v>
      </c>
      <c r="B215" s="136" t="s">
        <v>5234</v>
      </c>
      <c r="C215" s="136" t="s">
        <v>5235</v>
      </c>
      <c r="D215" s="136" t="s">
        <v>5236</v>
      </c>
      <c r="E215" s="136">
        <v>2025.0</v>
      </c>
      <c r="F215" s="136" t="s">
        <v>5172</v>
      </c>
      <c r="G215" s="136" t="s">
        <v>5646</v>
      </c>
      <c r="H215" s="136" t="s">
        <v>6086</v>
      </c>
      <c r="I215" s="136" t="s">
        <v>4043</v>
      </c>
      <c r="J215" s="136" t="s">
        <v>6087</v>
      </c>
      <c r="K215" s="136">
        <v>73.0</v>
      </c>
      <c r="L215" s="136">
        <v>71.0</v>
      </c>
      <c r="M215" s="136">
        <v>25.33333</v>
      </c>
      <c r="N215" s="136">
        <v>0.0</v>
      </c>
      <c r="O215" s="136">
        <v>25.33333</v>
      </c>
      <c r="P215" s="136">
        <v>100.0</v>
      </c>
      <c r="Q215" s="136">
        <v>25.33333</v>
      </c>
      <c r="R215" s="136" t="s">
        <v>4045</v>
      </c>
      <c r="S215" s="136">
        <v>31.42857</v>
      </c>
      <c r="T215" s="136">
        <v>0.0</v>
      </c>
      <c r="U215" s="138">
        <v>45748.742951388886</v>
      </c>
      <c r="V215" s="140"/>
      <c r="W215" s="141"/>
      <c r="X215" s="141"/>
      <c r="Y215" s="141"/>
      <c r="Z215" s="141"/>
    </row>
    <row r="216">
      <c r="A216" s="135" t="s">
        <v>5239</v>
      </c>
      <c r="B216" s="136" t="s">
        <v>5240</v>
      </c>
      <c r="C216" s="136" t="s">
        <v>5241</v>
      </c>
      <c r="D216" s="136" t="s">
        <v>5242</v>
      </c>
      <c r="E216" s="136">
        <v>2025.0</v>
      </c>
      <c r="F216" s="136" t="s">
        <v>5172</v>
      </c>
      <c r="G216" s="136" t="s">
        <v>5646</v>
      </c>
      <c r="H216" s="136" t="s">
        <v>6088</v>
      </c>
      <c r="I216" s="136" t="s">
        <v>4043</v>
      </c>
      <c r="J216" s="136" t="s">
        <v>6089</v>
      </c>
      <c r="K216" s="136">
        <v>73.0</v>
      </c>
      <c r="L216" s="136">
        <v>70.0</v>
      </c>
      <c r="M216" s="136">
        <v>42.83333</v>
      </c>
      <c r="N216" s="136">
        <v>0.0</v>
      </c>
      <c r="O216" s="136">
        <v>42.83333</v>
      </c>
      <c r="P216" s="136">
        <v>100.0</v>
      </c>
      <c r="Q216" s="136">
        <v>42.83333</v>
      </c>
      <c r="R216" s="136" t="s">
        <v>4045</v>
      </c>
      <c r="S216" s="136">
        <v>55.07246</v>
      </c>
      <c r="T216" s="136">
        <v>1.0</v>
      </c>
      <c r="U216" s="138">
        <v>45748.72814814815</v>
      </c>
      <c r="V216" s="140"/>
      <c r="W216" s="141"/>
      <c r="X216" s="141"/>
      <c r="Y216" s="141"/>
      <c r="Z216" s="141"/>
    </row>
    <row r="217">
      <c r="A217" s="135" t="s">
        <v>6090</v>
      </c>
      <c r="B217" s="136" t="s">
        <v>6091</v>
      </c>
      <c r="C217" s="136" t="s">
        <v>6092</v>
      </c>
      <c r="D217" s="136" t="s">
        <v>6093</v>
      </c>
      <c r="E217" s="136">
        <v>2025.0</v>
      </c>
      <c r="F217" s="136" t="s">
        <v>5172</v>
      </c>
      <c r="G217" s="136" t="s">
        <v>5646</v>
      </c>
      <c r="H217" s="136" t="s">
        <v>6094</v>
      </c>
      <c r="I217" s="136" t="s">
        <v>4043</v>
      </c>
      <c r="J217" s="136" t="s">
        <v>6095</v>
      </c>
      <c r="K217" s="136">
        <v>73.0</v>
      </c>
      <c r="L217" s="136">
        <v>70.0</v>
      </c>
      <c r="M217" s="136">
        <v>26.0</v>
      </c>
      <c r="N217" s="136">
        <v>0.0</v>
      </c>
      <c r="O217" s="136">
        <v>26.0</v>
      </c>
      <c r="P217" s="136">
        <v>100.0</v>
      </c>
      <c r="Q217" s="136">
        <v>26.0</v>
      </c>
      <c r="R217" s="136" t="s">
        <v>4045</v>
      </c>
      <c r="S217" s="136">
        <v>37.14286</v>
      </c>
      <c r="T217" s="136">
        <v>3.0</v>
      </c>
      <c r="U217" s="138">
        <v>45748.886087962965</v>
      </c>
      <c r="V217" s="140"/>
      <c r="W217" s="141"/>
      <c r="X217" s="141"/>
      <c r="Y217" s="141"/>
      <c r="Z217" s="141"/>
    </row>
    <row r="218">
      <c r="A218" s="135" t="s">
        <v>5245</v>
      </c>
      <c r="B218" s="136" t="s">
        <v>5246</v>
      </c>
      <c r="C218" s="136" t="s">
        <v>5247</v>
      </c>
      <c r="D218" s="136" t="s">
        <v>5248</v>
      </c>
      <c r="E218" s="136">
        <v>2025.0</v>
      </c>
      <c r="F218" s="136" t="s">
        <v>5172</v>
      </c>
      <c r="G218" s="136" t="s">
        <v>5646</v>
      </c>
      <c r="H218" s="136" t="s">
        <v>6096</v>
      </c>
      <c r="I218" s="136" t="s">
        <v>4043</v>
      </c>
      <c r="J218" s="136" t="s">
        <v>5996</v>
      </c>
      <c r="K218" s="136">
        <v>73.0</v>
      </c>
      <c r="L218" s="136">
        <v>70.0</v>
      </c>
      <c r="M218" s="136">
        <v>11.0</v>
      </c>
      <c r="N218" s="136">
        <v>0.0</v>
      </c>
      <c r="O218" s="136">
        <v>11.0</v>
      </c>
      <c r="P218" s="136">
        <v>100.0</v>
      </c>
      <c r="Q218" s="136">
        <v>11.0</v>
      </c>
      <c r="R218" s="136" t="s">
        <v>4045</v>
      </c>
      <c r="S218" s="136">
        <v>15.71429</v>
      </c>
      <c r="T218" s="136">
        <v>1.0</v>
      </c>
      <c r="U218" s="138">
        <v>45749.3575462963</v>
      </c>
      <c r="V218" s="140"/>
      <c r="W218" s="141"/>
      <c r="X218" s="141"/>
      <c r="Y218" s="141"/>
      <c r="Z218" s="141"/>
    </row>
    <row r="219">
      <c r="A219" s="135" t="s">
        <v>5338</v>
      </c>
      <c r="B219" s="136" t="s">
        <v>5339</v>
      </c>
      <c r="C219" s="136" t="s">
        <v>5340</v>
      </c>
      <c r="D219" s="136" t="s">
        <v>5341</v>
      </c>
      <c r="E219" s="136">
        <v>2025.0</v>
      </c>
      <c r="F219" s="136" t="s">
        <v>5172</v>
      </c>
      <c r="G219" s="136" t="s">
        <v>5646</v>
      </c>
      <c r="H219" s="136" t="s">
        <v>6097</v>
      </c>
      <c r="I219" s="136" t="s">
        <v>4043</v>
      </c>
      <c r="J219" s="136" t="s">
        <v>6098</v>
      </c>
      <c r="K219" s="136">
        <v>73.0</v>
      </c>
      <c r="L219" s="136">
        <v>71.0</v>
      </c>
      <c r="M219" s="136">
        <v>33.16667</v>
      </c>
      <c r="N219" s="136">
        <v>0.0</v>
      </c>
      <c r="O219" s="136">
        <v>33.16667</v>
      </c>
      <c r="P219" s="136">
        <v>100.0</v>
      </c>
      <c r="Q219" s="136">
        <v>33.16667</v>
      </c>
      <c r="R219" s="136" t="s">
        <v>4045</v>
      </c>
      <c r="S219" s="136">
        <v>41.42857</v>
      </c>
      <c r="T219" s="136">
        <v>1.0</v>
      </c>
      <c r="U219" s="138">
        <v>45748.82303240741</v>
      </c>
      <c r="V219" s="140"/>
      <c r="W219" s="141"/>
      <c r="X219" s="141"/>
      <c r="Y219" s="141"/>
      <c r="Z219" s="141"/>
    </row>
    <row r="220">
      <c r="A220" s="135" t="s">
        <v>6099</v>
      </c>
      <c r="B220" s="136" t="s">
        <v>6100</v>
      </c>
      <c r="C220" s="136" t="s">
        <v>6101</v>
      </c>
      <c r="D220" s="136" t="s">
        <v>6102</v>
      </c>
      <c r="E220" s="136">
        <v>2025.0</v>
      </c>
      <c r="F220" s="136" t="s">
        <v>5172</v>
      </c>
      <c r="G220" s="136" t="s">
        <v>5646</v>
      </c>
      <c r="H220" s="136" t="s">
        <v>6103</v>
      </c>
      <c r="I220" s="136" t="s">
        <v>4043</v>
      </c>
      <c r="J220" s="136" t="s">
        <v>5871</v>
      </c>
      <c r="K220" s="136">
        <v>73.0</v>
      </c>
      <c r="L220" s="136">
        <v>71.0</v>
      </c>
      <c r="M220" s="136">
        <v>19.33333</v>
      </c>
      <c r="N220" s="136">
        <v>0.0</v>
      </c>
      <c r="O220" s="136">
        <v>19.33333</v>
      </c>
      <c r="P220" s="136">
        <v>100.0</v>
      </c>
      <c r="Q220" s="136">
        <v>19.33333</v>
      </c>
      <c r="R220" s="136" t="s">
        <v>4045</v>
      </c>
      <c r="S220" s="136">
        <v>22.85714</v>
      </c>
      <c r="T220" s="136">
        <v>0.0</v>
      </c>
      <c r="U220" s="138">
        <v>45747.92092592592</v>
      </c>
      <c r="V220" s="140"/>
      <c r="W220" s="141"/>
      <c r="X220" s="141"/>
      <c r="Y220" s="141"/>
      <c r="Z220" s="141"/>
    </row>
    <row r="221">
      <c r="A221" s="135" t="s">
        <v>5251</v>
      </c>
      <c r="B221" s="136" t="s">
        <v>5252</v>
      </c>
      <c r="C221" s="136" t="s">
        <v>5253</v>
      </c>
      <c r="D221" s="136" t="s">
        <v>5254</v>
      </c>
      <c r="E221" s="136">
        <v>2025.0</v>
      </c>
      <c r="F221" s="136" t="s">
        <v>5172</v>
      </c>
      <c r="G221" s="136" t="s">
        <v>5646</v>
      </c>
      <c r="H221" s="136" t="s">
        <v>6104</v>
      </c>
      <c r="I221" s="136" t="s">
        <v>4043</v>
      </c>
      <c r="J221" s="136" t="s">
        <v>4831</v>
      </c>
      <c r="K221" s="136">
        <v>73.0</v>
      </c>
      <c r="L221" s="136">
        <v>71.0</v>
      </c>
      <c r="M221" s="136">
        <v>24.73333</v>
      </c>
      <c r="N221" s="136">
        <v>0.0</v>
      </c>
      <c r="O221" s="136">
        <v>24.73333</v>
      </c>
      <c r="P221" s="136">
        <v>100.0</v>
      </c>
      <c r="Q221" s="136">
        <v>24.73333</v>
      </c>
      <c r="R221" s="136" t="s">
        <v>4045</v>
      </c>
      <c r="S221" s="136">
        <v>27.14286</v>
      </c>
      <c r="T221" s="136">
        <v>1.0</v>
      </c>
      <c r="U221" s="138">
        <v>45748.59590277778</v>
      </c>
      <c r="V221" s="140"/>
      <c r="W221" s="141"/>
      <c r="X221" s="141"/>
      <c r="Y221" s="141"/>
      <c r="Z221" s="141"/>
    </row>
    <row r="222">
      <c r="A222" s="135" t="s">
        <v>5257</v>
      </c>
      <c r="B222" s="136" t="s">
        <v>5258</v>
      </c>
      <c r="C222" s="136" t="s">
        <v>5259</v>
      </c>
      <c r="D222" s="136" t="s">
        <v>5260</v>
      </c>
      <c r="E222" s="136">
        <v>2025.0</v>
      </c>
      <c r="F222" s="136" t="s">
        <v>5172</v>
      </c>
      <c r="G222" s="136" t="s">
        <v>5646</v>
      </c>
      <c r="H222" s="136" t="s">
        <v>6105</v>
      </c>
      <c r="I222" s="136" t="s">
        <v>4043</v>
      </c>
      <c r="J222" s="136" t="s">
        <v>6106</v>
      </c>
      <c r="K222" s="136">
        <v>73.0</v>
      </c>
      <c r="L222" s="136">
        <v>73.0</v>
      </c>
      <c r="M222" s="136">
        <v>74.13333</v>
      </c>
      <c r="N222" s="136">
        <v>0.0</v>
      </c>
      <c r="O222" s="136">
        <v>74.13333</v>
      </c>
      <c r="P222" s="136">
        <v>100.0</v>
      </c>
      <c r="Q222" s="136">
        <v>74.13333</v>
      </c>
      <c r="R222" s="136" t="s">
        <v>4200</v>
      </c>
      <c r="S222" s="136">
        <v>70.66667</v>
      </c>
      <c r="T222" s="136">
        <v>4.0</v>
      </c>
      <c r="U222" s="138">
        <v>45747.58729166666</v>
      </c>
      <c r="V222" s="140"/>
      <c r="W222" s="141"/>
      <c r="X222" s="141"/>
      <c r="Y222" s="141"/>
      <c r="Z222" s="141"/>
    </row>
    <row r="223">
      <c r="A223" s="135" t="s">
        <v>5263</v>
      </c>
      <c r="B223" s="136" t="s">
        <v>5264</v>
      </c>
      <c r="C223" s="136" t="s">
        <v>5265</v>
      </c>
      <c r="D223" s="136" t="s">
        <v>5266</v>
      </c>
      <c r="E223" s="136">
        <v>2025.0</v>
      </c>
      <c r="F223" s="136" t="s">
        <v>5172</v>
      </c>
      <c r="G223" s="136" t="s">
        <v>5646</v>
      </c>
      <c r="H223" s="136" t="s">
        <v>6107</v>
      </c>
      <c r="I223" s="136" t="s">
        <v>4043</v>
      </c>
      <c r="J223" s="136" t="s">
        <v>6108</v>
      </c>
      <c r="K223" s="136">
        <v>73.0</v>
      </c>
      <c r="L223" s="136">
        <v>70.0</v>
      </c>
      <c r="M223" s="136">
        <v>20.0</v>
      </c>
      <c r="N223" s="136">
        <v>0.0</v>
      </c>
      <c r="O223" s="136">
        <v>20.0</v>
      </c>
      <c r="P223" s="136">
        <v>100.0</v>
      </c>
      <c r="Q223" s="136">
        <v>20.0</v>
      </c>
      <c r="R223" s="136" t="s">
        <v>4045</v>
      </c>
      <c r="S223" s="136">
        <v>28.57143</v>
      </c>
      <c r="T223" s="136">
        <v>1.0</v>
      </c>
      <c r="U223" s="138">
        <v>45748.82457175926</v>
      </c>
      <c r="V223" s="140"/>
      <c r="W223" s="141"/>
      <c r="X223" s="141"/>
      <c r="Y223" s="141"/>
      <c r="Z223" s="141"/>
    </row>
    <row r="224">
      <c r="A224" s="135" t="s">
        <v>5269</v>
      </c>
      <c r="B224" s="136" t="s">
        <v>5270</v>
      </c>
      <c r="C224" s="136" t="s">
        <v>5271</v>
      </c>
      <c r="D224" s="136" t="s">
        <v>5272</v>
      </c>
      <c r="E224" s="136">
        <v>2025.0</v>
      </c>
      <c r="F224" s="136" t="s">
        <v>5172</v>
      </c>
      <c r="G224" s="136" t="s">
        <v>5646</v>
      </c>
      <c r="H224" s="136" t="s">
        <v>6109</v>
      </c>
      <c r="I224" s="136" t="s">
        <v>4043</v>
      </c>
      <c r="J224" s="136" t="s">
        <v>6110</v>
      </c>
      <c r="K224" s="136">
        <v>73.0</v>
      </c>
      <c r="L224" s="136">
        <v>66.0</v>
      </c>
      <c r="M224" s="136">
        <v>14.0</v>
      </c>
      <c r="N224" s="136">
        <v>0.0</v>
      </c>
      <c r="O224" s="136">
        <v>14.0</v>
      </c>
      <c r="P224" s="136">
        <v>100.0</v>
      </c>
      <c r="Q224" s="136">
        <v>14.0</v>
      </c>
      <c r="R224" s="136" t="s">
        <v>4045</v>
      </c>
      <c r="S224" s="136">
        <v>21.21212</v>
      </c>
      <c r="T224" s="136">
        <v>2.0</v>
      </c>
      <c r="U224" s="138">
        <v>45749.357766203706</v>
      </c>
      <c r="V224" s="140"/>
      <c r="W224" s="141"/>
      <c r="X224" s="141"/>
      <c r="Y224" s="141"/>
      <c r="Z224" s="141"/>
    </row>
    <row r="225">
      <c r="A225" s="135" t="s">
        <v>5275</v>
      </c>
      <c r="B225" s="136" t="s">
        <v>5276</v>
      </c>
      <c r="C225" s="136" t="s">
        <v>5277</v>
      </c>
      <c r="D225" s="136" t="s">
        <v>5278</v>
      </c>
      <c r="E225" s="136">
        <v>2025.0</v>
      </c>
      <c r="F225" s="136" t="s">
        <v>5172</v>
      </c>
      <c r="G225" s="136" t="s">
        <v>5646</v>
      </c>
      <c r="H225" s="136" t="s">
        <v>6111</v>
      </c>
      <c r="I225" s="136" t="s">
        <v>4043</v>
      </c>
      <c r="J225" s="136" t="s">
        <v>5617</v>
      </c>
      <c r="K225" s="136">
        <v>73.0</v>
      </c>
      <c r="L225" s="136">
        <v>70.0</v>
      </c>
      <c r="M225" s="136">
        <v>26.0</v>
      </c>
      <c r="N225" s="136">
        <v>0.0</v>
      </c>
      <c r="O225" s="136">
        <v>26.0</v>
      </c>
      <c r="P225" s="136">
        <v>100.0</v>
      </c>
      <c r="Q225" s="136">
        <v>26.0</v>
      </c>
      <c r="R225" s="136" t="s">
        <v>4045</v>
      </c>
      <c r="S225" s="136">
        <v>37.14286</v>
      </c>
      <c r="T225" s="136">
        <v>1.0</v>
      </c>
      <c r="U225" s="138">
        <v>45747.69850694444</v>
      </c>
      <c r="V225" s="140"/>
      <c r="W225" s="141"/>
      <c r="X225" s="141"/>
      <c r="Y225" s="141"/>
      <c r="Z225" s="141"/>
    </row>
    <row r="226">
      <c r="A226" s="135" t="s">
        <v>5281</v>
      </c>
      <c r="B226" s="136" t="s">
        <v>5282</v>
      </c>
      <c r="C226" s="136" t="s">
        <v>5283</v>
      </c>
      <c r="D226" s="136" t="s">
        <v>5284</v>
      </c>
      <c r="E226" s="136">
        <v>2025.0</v>
      </c>
      <c r="F226" s="136" t="s">
        <v>5172</v>
      </c>
      <c r="G226" s="136" t="s">
        <v>5646</v>
      </c>
      <c r="H226" s="136" t="s">
        <v>6112</v>
      </c>
      <c r="I226" s="136" t="s">
        <v>4043</v>
      </c>
      <c r="J226" s="136" t="s">
        <v>6113</v>
      </c>
      <c r="K226" s="136">
        <v>73.0</v>
      </c>
      <c r="L226" s="136">
        <v>70.0</v>
      </c>
      <c r="M226" s="136">
        <v>22.0</v>
      </c>
      <c r="N226" s="136">
        <v>0.0</v>
      </c>
      <c r="O226" s="136">
        <v>22.0</v>
      </c>
      <c r="P226" s="136">
        <v>100.0</v>
      </c>
      <c r="Q226" s="136">
        <v>22.0</v>
      </c>
      <c r="R226" s="136" t="s">
        <v>4045</v>
      </c>
      <c r="S226" s="136">
        <v>31.42857</v>
      </c>
      <c r="T226" s="136">
        <v>1.0</v>
      </c>
      <c r="U226" s="138">
        <v>45747.66428240741</v>
      </c>
      <c r="V226" s="140"/>
      <c r="W226" s="141"/>
      <c r="X226" s="141"/>
      <c r="Y226" s="141"/>
      <c r="Z226" s="141"/>
    </row>
    <row r="227">
      <c r="A227" s="135" t="s">
        <v>6114</v>
      </c>
      <c r="B227" s="136" t="s">
        <v>6115</v>
      </c>
      <c r="C227" s="136" t="s">
        <v>6116</v>
      </c>
      <c r="D227" s="136" t="s">
        <v>6117</v>
      </c>
      <c r="E227" s="136">
        <v>2025.0</v>
      </c>
      <c r="F227" s="136" t="s">
        <v>5172</v>
      </c>
      <c r="G227" s="136" t="s">
        <v>5646</v>
      </c>
      <c r="H227" s="136" t="s">
        <v>6118</v>
      </c>
      <c r="I227" s="136" t="s">
        <v>4043</v>
      </c>
      <c r="J227" s="136" t="s">
        <v>6119</v>
      </c>
      <c r="K227" s="136">
        <v>73.0</v>
      </c>
      <c r="L227" s="136">
        <v>71.0</v>
      </c>
      <c r="M227" s="136">
        <v>20.26667</v>
      </c>
      <c r="N227" s="136">
        <v>0.0</v>
      </c>
      <c r="O227" s="136">
        <v>20.26667</v>
      </c>
      <c r="P227" s="136">
        <v>100.0</v>
      </c>
      <c r="Q227" s="136">
        <v>20.26667</v>
      </c>
      <c r="R227" s="136" t="s">
        <v>4045</v>
      </c>
      <c r="S227" s="136">
        <v>22.85714</v>
      </c>
      <c r="T227" s="136">
        <v>2.0</v>
      </c>
      <c r="U227" s="138">
        <v>45748.783217592594</v>
      </c>
      <c r="V227" s="140"/>
      <c r="W227" s="141"/>
      <c r="X227" s="141"/>
      <c r="Y227" s="141"/>
      <c r="Z227" s="141"/>
    </row>
    <row r="228">
      <c r="A228" s="135" t="s">
        <v>5310</v>
      </c>
      <c r="B228" s="136" t="s">
        <v>5311</v>
      </c>
      <c r="C228" s="136" t="s">
        <v>5312</v>
      </c>
      <c r="D228" s="136" t="s">
        <v>5313</v>
      </c>
      <c r="E228" s="136">
        <v>2025.0</v>
      </c>
      <c r="F228" s="136" t="s">
        <v>5172</v>
      </c>
      <c r="G228" s="136" t="s">
        <v>5646</v>
      </c>
      <c r="H228" s="136" t="s">
        <v>6120</v>
      </c>
      <c r="I228" s="136" t="s">
        <v>4043</v>
      </c>
      <c r="J228" s="136" t="s">
        <v>6121</v>
      </c>
      <c r="K228" s="136">
        <v>73.0</v>
      </c>
      <c r="L228" s="136">
        <v>69.0</v>
      </c>
      <c r="M228" s="136">
        <v>24.0</v>
      </c>
      <c r="N228" s="136">
        <v>0.0</v>
      </c>
      <c r="O228" s="136">
        <v>24.0</v>
      </c>
      <c r="P228" s="136">
        <v>100.0</v>
      </c>
      <c r="Q228" s="136">
        <v>24.0</v>
      </c>
      <c r="R228" s="136" t="s">
        <v>4045</v>
      </c>
      <c r="S228" s="136">
        <v>34.78261</v>
      </c>
      <c r="T228" s="136">
        <v>1.0</v>
      </c>
      <c r="U228" s="138">
        <v>45747.92313657407</v>
      </c>
      <c r="V228" s="140"/>
      <c r="W228" s="141"/>
      <c r="X228" s="141"/>
      <c r="Y228" s="141"/>
      <c r="Z228" s="141"/>
    </row>
    <row r="229">
      <c r="A229" s="135" t="s">
        <v>5316</v>
      </c>
      <c r="B229" s="136" t="s">
        <v>5317</v>
      </c>
      <c r="C229" s="136" t="s">
        <v>5318</v>
      </c>
      <c r="D229" s="136" t="s">
        <v>5319</v>
      </c>
      <c r="E229" s="136">
        <v>2025.0</v>
      </c>
      <c r="F229" s="136" t="s">
        <v>5172</v>
      </c>
      <c r="G229" s="136" t="s">
        <v>5646</v>
      </c>
      <c r="H229" s="136" t="s">
        <v>6122</v>
      </c>
      <c r="I229" s="136" t="s">
        <v>4043</v>
      </c>
      <c r="J229" s="136" t="s">
        <v>6123</v>
      </c>
      <c r="K229" s="136">
        <v>73.0</v>
      </c>
      <c r="L229" s="136">
        <v>73.0</v>
      </c>
      <c r="M229" s="136">
        <v>63.13333</v>
      </c>
      <c r="N229" s="136">
        <v>0.0</v>
      </c>
      <c r="O229" s="136">
        <v>63.13333</v>
      </c>
      <c r="P229" s="136">
        <v>100.0</v>
      </c>
      <c r="Q229" s="136">
        <v>63.13333</v>
      </c>
      <c r="R229" s="136" t="s">
        <v>4200</v>
      </c>
      <c r="S229" s="136">
        <v>70.66667</v>
      </c>
      <c r="T229" s="136">
        <v>1.0</v>
      </c>
      <c r="U229" s="138">
        <v>45747.75969907407</v>
      </c>
      <c r="V229" s="140"/>
      <c r="W229" s="141"/>
      <c r="X229" s="141"/>
      <c r="Y229" s="141"/>
      <c r="Z229" s="141"/>
    </row>
    <row r="230">
      <c r="A230" s="135" t="s">
        <v>5327</v>
      </c>
      <c r="B230" s="136" t="s">
        <v>5328</v>
      </c>
      <c r="C230" s="136" t="s">
        <v>5329</v>
      </c>
      <c r="D230" s="136" t="s">
        <v>5330</v>
      </c>
      <c r="E230" s="136">
        <v>2025.0</v>
      </c>
      <c r="F230" s="136" t="s">
        <v>5172</v>
      </c>
      <c r="G230" s="136" t="s">
        <v>5646</v>
      </c>
      <c r="H230" s="136" t="s">
        <v>6124</v>
      </c>
      <c r="I230" s="136" t="s">
        <v>4043</v>
      </c>
      <c r="J230" s="136" t="s">
        <v>6125</v>
      </c>
      <c r="K230" s="136">
        <v>73.0</v>
      </c>
      <c r="L230" s="136">
        <v>70.0</v>
      </c>
      <c r="M230" s="136">
        <v>15.0</v>
      </c>
      <c r="N230" s="136">
        <v>0.0</v>
      </c>
      <c r="O230" s="136">
        <v>15.0</v>
      </c>
      <c r="P230" s="136">
        <v>100.0</v>
      </c>
      <c r="Q230" s="136">
        <v>15.0</v>
      </c>
      <c r="R230" s="136" t="s">
        <v>4045</v>
      </c>
      <c r="S230" s="136">
        <v>21.42857</v>
      </c>
      <c r="T230" s="136">
        <v>1.0</v>
      </c>
      <c r="U230" s="138">
        <v>45749.3572337963</v>
      </c>
      <c r="V230" s="140"/>
      <c r="W230" s="141"/>
      <c r="X230" s="141"/>
      <c r="Y230" s="141"/>
      <c r="Z230" s="141"/>
    </row>
    <row r="231">
      <c r="A231" s="135" t="s">
        <v>5333</v>
      </c>
      <c r="B231" s="136" t="s">
        <v>5334</v>
      </c>
      <c r="C231" s="136" t="s">
        <v>5335</v>
      </c>
      <c r="D231" s="136" t="s">
        <v>5336</v>
      </c>
      <c r="E231" s="136">
        <v>2025.0</v>
      </c>
      <c r="F231" s="136" t="s">
        <v>5172</v>
      </c>
      <c r="G231" s="136" t="s">
        <v>5646</v>
      </c>
      <c r="H231" s="136" t="s">
        <v>6126</v>
      </c>
      <c r="I231" s="136" t="s">
        <v>4152</v>
      </c>
      <c r="J231" s="136" t="s">
        <v>4153</v>
      </c>
      <c r="K231" s="136" t="s">
        <v>1003</v>
      </c>
      <c r="L231" s="136" t="s">
        <v>1003</v>
      </c>
      <c r="M231" s="136" t="s">
        <v>1003</v>
      </c>
      <c r="N231" s="136" t="s">
        <v>1003</v>
      </c>
      <c r="O231" s="136" t="s">
        <v>1003</v>
      </c>
      <c r="P231" s="136" t="s">
        <v>1003</v>
      </c>
      <c r="Q231" s="136" t="s">
        <v>1003</v>
      </c>
      <c r="R231" s="136" t="s">
        <v>1003</v>
      </c>
      <c r="S231" s="136" t="s">
        <v>1003</v>
      </c>
      <c r="T231" s="136">
        <v>2.0</v>
      </c>
      <c r="U231" s="136" t="s">
        <v>1003</v>
      </c>
      <c r="V231" s="140"/>
      <c r="W231" s="141"/>
      <c r="X231" s="141"/>
      <c r="Y231" s="141"/>
      <c r="Z231" s="141"/>
    </row>
    <row r="232">
      <c r="A232" s="135" t="s">
        <v>5344</v>
      </c>
      <c r="B232" s="136" t="s">
        <v>5345</v>
      </c>
      <c r="C232" s="136" t="s">
        <v>5346</v>
      </c>
      <c r="D232" s="136" t="s">
        <v>5347</v>
      </c>
      <c r="E232" s="136">
        <v>2025.0</v>
      </c>
      <c r="F232" s="136" t="s">
        <v>5172</v>
      </c>
      <c r="G232" s="136" t="s">
        <v>5646</v>
      </c>
      <c r="H232" s="136" t="s">
        <v>6127</v>
      </c>
      <c r="I232" s="136" t="s">
        <v>4043</v>
      </c>
      <c r="J232" s="136" t="s">
        <v>4659</v>
      </c>
      <c r="K232" s="136">
        <v>73.0</v>
      </c>
      <c r="L232" s="136">
        <v>71.0</v>
      </c>
      <c r="M232" s="136">
        <v>42.0</v>
      </c>
      <c r="N232" s="136">
        <v>0.0</v>
      </c>
      <c r="O232" s="136">
        <v>42.0</v>
      </c>
      <c r="P232" s="136">
        <v>100.0</v>
      </c>
      <c r="Q232" s="136">
        <v>42.0</v>
      </c>
      <c r="R232" s="136" t="s">
        <v>4045</v>
      </c>
      <c r="S232" s="136">
        <v>51.42857</v>
      </c>
      <c r="T232" s="136">
        <v>1.0</v>
      </c>
      <c r="U232" s="138">
        <v>45747.7275</v>
      </c>
      <c r="V232" s="139"/>
      <c r="W232" s="141"/>
      <c r="X232" s="141"/>
      <c r="Y232" s="141"/>
      <c r="Z232" s="141"/>
    </row>
    <row r="233">
      <c r="A233" s="135" t="s">
        <v>5350</v>
      </c>
      <c r="B233" s="136" t="s">
        <v>5351</v>
      </c>
      <c r="C233" s="136" t="s">
        <v>5352</v>
      </c>
      <c r="D233" s="136" t="s">
        <v>5353</v>
      </c>
      <c r="E233" s="136">
        <v>2025.0</v>
      </c>
      <c r="F233" s="136" t="s">
        <v>5172</v>
      </c>
      <c r="G233" s="136" t="s">
        <v>5646</v>
      </c>
      <c r="H233" s="136" t="s">
        <v>6128</v>
      </c>
      <c r="I233" s="136" t="s">
        <v>4043</v>
      </c>
      <c r="J233" s="136" t="s">
        <v>6129</v>
      </c>
      <c r="K233" s="136">
        <v>73.0</v>
      </c>
      <c r="L233" s="136">
        <v>71.0</v>
      </c>
      <c r="M233" s="136">
        <v>24.23333</v>
      </c>
      <c r="N233" s="136">
        <v>0.0</v>
      </c>
      <c r="O233" s="136">
        <v>24.23333</v>
      </c>
      <c r="P233" s="136">
        <v>100.0</v>
      </c>
      <c r="Q233" s="136">
        <v>24.23333</v>
      </c>
      <c r="R233" s="136" t="s">
        <v>4045</v>
      </c>
      <c r="S233" s="136">
        <v>27.14286</v>
      </c>
      <c r="T233" s="136">
        <v>1.0</v>
      </c>
      <c r="U233" s="138">
        <v>45748.79613425926</v>
      </c>
      <c r="V233" s="139"/>
      <c r="W233" s="141"/>
      <c r="X233" s="141"/>
      <c r="Y233" s="141"/>
      <c r="Z233" s="141"/>
    </row>
    <row r="234">
      <c r="A234" s="135" t="s">
        <v>5355</v>
      </c>
      <c r="B234" s="136" t="s">
        <v>5356</v>
      </c>
      <c r="C234" s="136" t="s">
        <v>5357</v>
      </c>
      <c r="D234" s="136" t="s">
        <v>5358</v>
      </c>
      <c r="E234" s="136">
        <v>2025.0</v>
      </c>
      <c r="F234" s="136" t="s">
        <v>5172</v>
      </c>
      <c r="G234" s="136" t="s">
        <v>5646</v>
      </c>
      <c r="H234" s="136" t="s">
        <v>6130</v>
      </c>
      <c r="I234" s="136" t="s">
        <v>4043</v>
      </c>
      <c r="J234" s="136" t="s">
        <v>5137</v>
      </c>
      <c r="K234" s="136">
        <v>73.0</v>
      </c>
      <c r="L234" s="136">
        <v>71.0</v>
      </c>
      <c r="M234" s="136">
        <v>35.66667</v>
      </c>
      <c r="N234" s="136">
        <v>0.0</v>
      </c>
      <c r="O234" s="136">
        <v>35.66667</v>
      </c>
      <c r="P234" s="136">
        <v>100.0</v>
      </c>
      <c r="Q234" s="136">
        <v>35.66667</v>
      </c>
      <c r="R234" s="136" t="s">
        <v>4045</v>
      </c>
      <c r="S234" s="136">
        <v>41.42857</v>
      </c>
      <c r="T234" s="136">
        <v>1.0</v>
      </c>
      <c r="U234" s="138">
        <v>45748.741006944445</v>
      </c>
      <c r="V234" s="139"/>
      <c r="W234" s="141"/>
      <c r="X234" s="141"/>
      <c r="Y234" s="141"/>
      <c r="Z234" s="141"/>
    </row>
    <row r="235">
      <c r="A235" s="135" t="s">
        <v>5361</v>
      </c>
      <c r="B235" s="136" t="s">
        <v>3512</v>
      </c>
      <c r="C235" s="136" t="s">
        <v>5362</v>
      </c>
      <c r="D235" s="136" t="s">
        <v>3509</v>
      </c>
      <c r="E235" s="136">
        <v>2025.0</v>
      </c>
      <c r="F235" s="136" t="s">
        <v>3514</v>
      </c>
      <c r="G235" s="136" t="s">
        <v>5646</v>
      </c>
      <c r="H235" s="136" t="s">
        <v>6131</v>
      </c>
      <c r="I235" s="136" t="s">
        <v>4043</v>
      </c>
      <c r="J235" s="136" t="s">
        <v>6132</v>
      </c>
      <c r="K235" s="136">
        <v>73.0</v>
      </c>
      <c r="L235" s="136">
        <v>60.0</v>
      </c>
      <c r="M235" s="136">
        <v>36.66667</v>
      </c>
      <c r="N235" s="136">
        <v>0.0</v>
      </c>
      <c r="O235" s="136">
        <v>36.66667</v>
      </c>
      <c r="P235" s="136">
        <v>100.0</v>
      </c>
      <c r="Q235" s="136">
        <v>36.66667</v>
      </c>
      <c r="R235" s="136" t="s">
        <v>4045</v>
      </c>
      <c r="S235" s="136">
        <v>50.84746</v>
      </c>
      <c r="T235" s="136">
        <v>1.0</v>
      </c>
      <c r="U235" s="138">
        <v>45748.52334490741</v>
      </c>
      <c r="V235" s="139"/>
      <c r="W235" s="141"/>
      <c r="X235" s="141"/>
      <c r="Y235" s="141"/>
      <c r="Z235" s="141"/>
    </row>
    <row r="236">
      <c r="A236" s="135" t="s">
        <v>5365</v>
      </c>
      <c r="B236" s="136" t="s">
        <v>3521</v>
      </c>
      <c r="C236" s="136" t="s">
        <v>3523</v>
      </c>
      <c r="D236" s="136" t="s">
        <v>3518</v>
      </c>
      <c r="E236" s="136">
        <v>2025.0</v>
      </c>
      <c r="F236" s="136" t="s">
        <v>3514</v>
      </c>
      <c r="G236" s="136" t="s">
        <v>5646</v>
      </c>
      <c r="H236" s="136" t="s">
        <v>6133</v>
      </c>
      <c r="I236" s="136" t="s">
        <v>4043</v>
      </c>
      <c r="J236" s="136" t="s">
        <v>6134</v>
      </c>
      <c r="K236" s="136">
        <v>73.0</v>
      </c>
      <c r="L236" s="136">
        <v>70.0</v>
      </c>
      <c r="M236" s="136">
        <v>24.0</v>
      </c>
      <c r="N236" s="136">
        <v>0.0</v>
      </c>
      <c r="O236" s="136">
        <v>24.0</v>
      </c>
      <c r="P236" s="136">
        <v>100.0</v>
      </c>
      <c r="Q236" s="136">
        <v>24.0</v>
      </c>
      <c r="R236" s="136" t="s">
        <v>4045</v>
      </c>
      <c r="S236" s="136">
        <v>34.28571</v>
      </c>
      <c r="T236" s="136">
        <v>1.0</v>
      </c>
      <c r="U236" s="138">
        <v>45747.78568287037</v>
      </c>
      <c r="V236" s="139"/>
      <c r="W236" s="141"/>
      <c r="X236" s="141"/>
      <c r="Y236" s="141"/>
      <c r="Z236" s="141"/>
    </row>
    <row r="237">
      <c r="A237" s="135" t="s">
        <v>5368</v>
      </c>
      <c r="B237" s="136" t="s">
        <v>5369</v>
      </c>
      <c r="C237" s="136" t="s">
        <v>3536</v>
      </c>
      <c r="D237" s="136" t="s">
        <v>3532</v>
      </c>
      <c r="E237" s="136">
        <v>2025.0</v>
      </c>
      <c r="F237" s="136" t="s">
        <v>3514</v>
      </c>
      <c r="G237" s="136" t="s">
        <v>5646</v>
      </c>
      <c r="H237" s="136" t="s">
        <v>6135</v>
      </c>
      <c r="I237" s="136" t="s">
        <v>4043</v>
      </c>
      <c r="J237" s="136" t="s">
        <v>4297</v>
      </c>
      <c r="K237" s="136">
        <v>73.0</v>
      </c>
      <c r="L237" s="136">
        <v>71.0</v>
      </c>
      <c r="M237" s="136">
        <v>52.03333</v>
      </c>
      <c r="N237" s="136">
        <v>0.0</v>
      </c>
      <c r="O237" s="136">
        <v>52.03333</v>
      </c>
      <c r="P237" s="136">
        <v>100.0</v>
      </c>
      <c r="Q237" s="136">
        <v>52.03333</v>
      </c>
      <c r="R237" s="136" t="s">
        <v>4045</v>
      </c>
      <c r="S237" s="136">
        <v>67.14286</v>
      </c>
      <c r="T237" s="136">
        <v>1.0</v>
      </c>
      <c r="U237" s="138">
        <v>45747.751493055555</v>
      </c>
      <c r="V237" s="139"/>
      <c r="W237" s="141"/>
      <c r="X237" s="141"/>
      <c r="Y237" s="141"/>
      <c r="Z237" s="141"/>
    </row>
    <row r="238">
      <c r="A238" s="135" t="s">
        <v>5372</v>
      </c>
      <c r="B238" s="136" t="s">
        <v>5373</v>
      </c>
      <c r="C238" s="136" t="s">
        <v>5374</v>
      </c>
      <c r="D238" s="136" t="s">
        <v>5375</v>
      </c>
      <c r="E238" s="136">
        <v>2025.0</v>
      </c>
      <c r="F238" s="136" t="s">
        <v>3514</v>
      </c>
      <c r="G238" s="136" t="s">
        <v>5646</v>
      </c>
      <c r="H238" s="136" t="s">
        <v>6136</v>
      </c>
      <c r="I238" s="136" t="s">
        <v>4043</v>
      </c>
      <c r="J238" s="136" t="s">
        <v>6137</v>
      </c>
      <c r="K238" s="136">
        <v>73.0</v>
      </c>
      <c r="L238" s="136">
        <v>72.0</v>
      </c>
      <c r="M238" s="136">
        <v>58.46667</v>
      </c>
      <c r="N238" s="136">
        <v>0.0</v>
      </c>
      <c r="O238" s="136">
        <v>58.46667</v>
      </c>
      <c r="P238" s="136">
        <v>100.0</v>
      </c>
      <c r="Q238" s="136">
        <v>58.46667</v>
      </c>
      <c r="R238" s="136" t="s">
        <v>4045</v>
      </c>
      <c r="S238" s="136">
        <v>72.60274</v>
      </c>
      <c r="T238" s="136">
        <v>3.0</v>
      </c>
      <c r="U238" s="138">
        <v>45747.9921412037</v>
      </c>
      <c r="V238" s="139"/>
      <c r="W238" s="141"/>
      <c r="X238" s="141"/>
      <c r="Y238" s="141"/>
      <c r="Z238" s="141"/>
    </row>
    <row r="239">
      <c r="A239" s="135" t="s">
        <v>5378</v>
      </c>
      <c r="B239" s="136" t="s">
        <v>5379</v>
      </c>
      <c r="C239" s="136" t="s">
        <v>5380</v>
      </c>
      <c r="D239" s="136" t="s">
        <v>5381</v>
      </c>
      <c r="E239" s="136">
        <v>2025.0</v>
      </c>
      <c r="F239" s="136" t="s">
        <v>3514</v>
      </c>
      <c r="G239" s="136" t="s">
        <v>5646</v>
      </c>
      <c r="H239" s="136" t="s">
        <v>6138</v>
      </c>
      <c r="I239" s="136" t="s">
        <v>4043</v>
      </c>
      <c r="J239" s="136" t="s">
        <v>6139</v>
      </c>
      <c r="K239" s="136">
        <v>73.0</v>
      </c>
      <c r="L239" s="136">
        <v>70.0</v>
      </c>
      <c r="M239" s="136">
        <v>31.0</v>
      </c>
      <c r="N239" s="136">
        <v>0.0</v>
      </c>
      <c r="O239" s="136">
        <v>31.0</v>
      </c>
      <c r="P239" s="136">
        <v>100.0</v>
      </c>
      <c r="Q239" s="136">
        <v>31.0</v>
      </c>
      <c r="R239" s="136" t="s">
        <v>4045</v>
      </c>
      <c r="S239" s="136">
        <v>44.28571</v>
      </c>
      <c r="T239" s="136">
        <v>1.0</v>
      </c>
      <c r="U239" s="138">
        <v>45747.97587962963</v>
      </c>
      <c r="V239" s="139"/>
      <c r="W239" s="141"/>
      <c r="X239" s="141"/>
      <c r="Y239" s="141"/>
      <c r="Z239" s="141"/>
    </row>
    <row r="240">
      <c r="A240" s="135" t="s">
        <v>6140</v>
      </c>
      <c r="B240" s="136" t="s">
        <v>6141</v>
      </c>
      <c r="C240" s="136" t="s">
        <v>6142</v>
      </c>
      <c r="D240" s="136" t="s">
        <v>6143</v>
      </c>
      <c r="E240" s="136">
        <v>2025.0</v>
      </c>
      <c r="F240" s="136" t="s">
        <v>3514</v>
      </c>
      <c r="G240" s="136" t="s">
        <v>5646</v>
      </c>
      <c r="H240" s="136" t="s">
        <v>6144</v>
      </c>
      <c r="I240" s="136" t="s">
        <v>4043</v>
      </c>
      <c r="J240" s="136" t="s">
        <v>6145</v>
      </c>
      <c r="K240" s="136">
        <v>73.0</v>
      </c>
      <c r="L240" s="136">
        <v>68.0</v>
      </c>
      <c r="M240" s="136">
        <v>41.0</v>
      </c>
      <c r="N240" s="136">
        <v>0.0</v>
      </c>
      <c r="O240" s="136">
        <v>41.0</v>
      </c>
      <c r="P240" s="136">
        <v>100.0</v>
      </c>
      <c r="Q240" s="136">
        <v>41.0</v>
      </c>
      <c r="R240" s="136" t="s">
        <v>4045</v>
      </c>
      <c r="S240" s="136">
        <v>60.29412</v>
      </c>
      <c r="T240" s="136">
        <v>2.0</v>
      </c>
      <c r="U240" s="138">
        <v>45747.86377314815</v>
      </c>
      <c r="V240" s="139"/>
      <c r="W240" s="141"/>
      <c r="X240" s="141"/>
      <c r="Y240" s="141"/>
      <c r="Z240" s="141"/>
    </row>
    <row r="241">
      <c r="A241" s="135" t="s">
        <v>5384</v>
      </c>
      <c r="B241" s="136" t="s">
        <v>5385</v>
      </c>
      <c r="C241" s="136" t="s">
        <v>5386</v>
      </c>
      <c r="D241" s="136" t="s">
        <v>5387</v>
      </c>
      <c r="E241" s="136">
        <v>2025.0</v>
      </c>
      <c r="F241" s="136" t="s">
        <v>3514</v>
      </c>
      <c r="G241" s="136" t="s">
        <v>5646</v>
      </c>
      <c r="H241" s="136" t="s">
        <v>6146</v>
      </c>
      <c r="I241" s="136" t="s">
        <v>4043</v>
      </c>
      <c r="J241" s="136" t="s">
        <v>5744</v>
      </c>
      <c r="K241" s="136">
        <v>73.0</v>
      </c>
      <c r="L241" s="136">
        <v>72.0</v>
      </c>
      <c r="M241" s="136">
        <v>36.93333</v>
      </c>
      <c r="N241" s="136">
        <v>0.0</v>
      </c>
      <c r="O241" s="136">
        <v>36.93333</v>
      </c>
      <c r="P241" s="136">
        <v>100.0</v>
      </c>
      <c r="Q241" s="136">
        <v>36.93333</v>
      </c>
      <c r="R241" s="136" t="s">
        <v>4045</v>
      </c>
      <c r="S241" s="136">
        <v>42.46575</v>
      </c>
      <c r="T241" s="136">
        <v>2.0</v>
      </c>
      <c r="U241" s="138">
        <v>45747.695763888885</v>
      </c>
      <c r="V241" s="139"/>
      <c r="W241" s="141"/>
      <c r="X241" s="141"/>
      <c r="Y241" s="141"/>
      <c r="Z241" s="141"/>
    </row>
    <row r="242">
      <c r="A242" s="135" t="s">
        <v>6147</v>
      </c>
      <c r="B242" s="136" t="s">
        <v>6148</v>
      </c>
      <c r="C242" s="136" t="s">
        <v>6149</v>
      </c>
      <c r="D242" s="136" t="s">
        <v>6150</v>
      </c>
      <c r="E242" s="136">
        <v>2025.0</v>
      </c>
      <c r="F242" s="136" t="s">
        <v>3514</v>
      </c>
      <c r="G242" s="136" t="s">
        <v>5646</v>
      </c>
      <c r="H242" s="136" t="s">
        <v>6151</v>
      </c>
      <c r="I242" s="136" t="s">
        <v>4043</v>
      </c>
      <c r="J242" s="136" t="s">
        <v>6152</v>
      </c>
      <c r="K242" s="136">
        <v>73.0</v>
      </c>
      <c r="L242" s="136">
        <v>71.0</v>
      </c>
      <c r="M242" s="136">
        <v>45.1</v>
      </c>
      <c r="N242" s="136">
        <v>0.0</v>
      </c>
      <c r="O242" s="136">
        <v>45.1</v>
      </c>
      <c r="P242" s="136">
        <v>100.0</v>
      </c>
      <c r="Q242" s="136">
        <v>45.1</v>
      </c>
      <c r="R242" s="136" t="s">
        <v>4045</v>
      </c>
      <c r="S242" s="136">
        <v>55.71429</v>
      </c>
      <c r="T242" s="136">
        <v>1.0</v>
      </c>
      <c r="U242" s="138">
        <v>45748.75126157407</v>
      </c>
      <c r="V242" s="139"/>
      <c r="W242" s="141"/>
      <c r="X242" s="141"/>
      <c r="Y242" s="141"/>
      <c r="Z242" s="141"/>
    </row>
    <row r="243">
      <c r="A243" s="135" t="s">
        <v>5396</v>
      </c>
      <c r="B243" s="136" t="s">
        <v>3541</v>
      </c>
      <c r="C243" s="136" t="s">
        <v>3542</v>
      </c>
      <c r="D243" s="136" t="s">
        <v>3538</v>
      </c>
      <c r="E243" s="136">
        <v>2025.0</v>
      </c>
      <c r="F243" s="136" t="s">
        <v>3514</v>
      </c>
      <c r="G243" s="136" t="s">
        <v>5646</v>
      </c>
      <c r="H243" s="136" t="s">
        <v>6153</v>
      </c>
      <c r="I243" s="136" t="s">
        <v>4043</v>
      </c>
      <c r="J243" s="136" t="s">
        <v>6154</v>
      </c>
      <c r="K243" s="136">
        <v>73.0</v>
      </c>
      <c r="L243" s="136">
        <v>73.0</v>
      </c>
      <c r="M243" s="136">
        <v>71.83333</v>
      </c>
      <c r="N243" s="136">
        <v>0.0</v>
      </c>
      <c r="O243" s="136">
        <v>71.83333</v>
      </c>
      <c r="P243" s="136">
        <v>100.0</v>
      </c>
      <c r="Q243" s="136">
        <v>71.83333</v>
      </c>
      <c r="R243" s="136" t="s">
        <v>4200</v>
      </c>
      <c r="S243" s="136">
        <v>77.33333</v>
      </c>
      <c r="T243" s="136">
        <v>1.0</v>
      </c>
      <c r="U243" s="138">
        <v>45747.64517361111</v>
      </c>
      <c r="V243" s="139"/>
      <c r="W243" s="141"/>
      <c r="X243" s="141"/>
      <c r="Y243" s="141"/>
      <c r="Z243" s="141"/>
    </row>
    <row r="244">
      <c r="A244" s="135" t="s">
        <v>5399</v>
      </c>
      <c r="B244" s="136" t="s">
        <v>5400</v>
      </c>
      <c r="C244" s="136" t="s">
        <v>5401</v>
      </c>
      <c r="D244" s="136" t="s">
        <v>5402</v>
      </c>
      <c r="E244" s="136">
        <v>2025.0</v>
      </c>
      <c r="F244" s="136" t="s">
        <v>3514</v>
      </c>
      <c r="G244" s="136" t="s">
        <v>5646</v>
      </c>
      <c r="H244" s="136" t="s">
        <v>6155</v>
      </c>
      <c r="I244" s="136" t="s">
        <v>4043</v>
      </c>
      <c r="J244" s="136" t="s">
        <v>6156</v>
      </c>
      <c r="K244" s="136">
        <v>73.0</v>
      </c>
      <c r="L244" s="136">
        <v>73.0</v>
      </c>
      <c r="M244" s="136">
        <v>47.33333</v>
      </c>
      <c r="N244" s="136">
        <v>0.0</v>
      </c>
      <c r="O244" s="136">
        <v>47.33333</v>
      </c>
      <c r="P244" s="136">
        <v>100.0</v>
      </c>
      <c r="Q244" s="136">
        <v>47.33333</v>
      </c>
      <c r="R244" s="136" t="s">
        <v>4045</v>
      </c>
      <c r="S244" s="136">
        <v>54.66667</v>
      </c>
      <c r="T244" s="136">
        <v>2.0</v>
      </c>
      <c r="U244" s="138">
        <v>45747.7031712963</v>
      </c>
      <c r="V244" s="139"/>
      <c r="W244" s="141"/>
      <c r="X244" s="141"/>
      <c r="Y244" s="141"/>
      <c r="Z244" s="141"/>
    </row>
    <row r="245">
      <c r="A245" s="135" t="s">
        <v>5405</v>
      </c>
      <c r="B245" s="136" t="s">
        <v>5406</v>
      </c>
      <c r="C245" s="136" t="s">
        <v>5407</v>
      </c>
      <c r="D245" s="136" t="s">
        <v>5408</v>
      </c>
      <c r="E245" s="136">
        <v>2025.0</v>
      </c>
      <c r="F245" s="136" t="s">
        <v>3514</v>
      </c>
      <c r="G245" s="136" t="s">
        <v>5646</v>
      </c>
      <c r="H245" s="136" t="s">
        <v>6157</v>
      </c>
      <c r="I245" s="136" t="s">
        <v>4043</v>
      </c>
      <c r="J245" s="136" t="s">
        <v>6158</v>
      </c>
      <c r="K245" s="136">
        <v>73.0</v>
      </c>
      <c r="L245" s="136">
        <v>69.0</v>
      </c>
      <c r="M245" s="136">
        <v>40.76667</v>
      </c>
      <c r="N245" s="136">
        <v>0.0</v>
      </c>
      <c r="O245" s="136">
        <v>40.76667</v>
      </c>
      <c r="P245" s="136">
        <v>100.0</v>
      </c>
      <c r="Q245" s="136">
        <v>40.76667</v>
      </c>
      <c r="R245" s="136" t="s">
        <v>4045</v>
      </c>
      <c r="S245" s="136">
        <v>51.47059</v>
      </c>
      <c r="T245" s="136">
        <v>3.0</v>
      </c>
      <c r="U245" s="138">
        <v>45748.88737268518</v>
      </c>
      <c r="V245" s="139"/>
      <c r="W245" s="141"/>
      <c r="X245" s="141"/>
      <c r="Y245" s="141"/>
      <c r="Z245" s="141"/>
    </row>
    <row r="246">
      <c r="A246" s="135" t="s">
        <v>5411</v>
      </c>
      <c r="B246" s="136" t="s">
        <v>5412</v>
      </c>
      <c r="C246" s="136" t="s">
        <v>5413</v>
      </c>
      <c r="D246" s="136" t="s">
        <v>5414</v>
      </c>
      <c r="E246" s="136">
        <v>2025.0</v>
      </c>
      <c r="F246" s="136" t="s">
        <v>3514</v>
      </c>
      <c r="G246" s="136" t="s">
        <v>5646</v>
      </c>
      <c r="H246" s="136" t="s">
        <v>6159</v>
      </c>
      <c r="I246" s="136" t="s">
        <v>4043</v>
      </c>
      <c r="J246" s="136" t="s">
        <v>6160</v>
      </c>
      <c r="K246" s="136">
        <v>73.0</v>
      </c>
      <c r="L246" s="136">
        <v>71.0</v>
      </c>
      <c r="M246" s="136">
        <v>59.5</v>
      </c>
      <c r="N246" s="136">
        <v>0.0</v>
      </c>
      <c r="O246" s="136">
        <v>59.5</v>
      </c>
      <c r="P246" s="136">
        <v>100.0</v>
      </c>
      <c r="Q246" s="136">
        <v>59.5</v>
      </c>
      <c r="R246" s="136" t="s">
        <v>4045</v>
      </c>
      <c r="S246" s="136">
        <v>77.14286</v>
      </c>
      <c r="T246" s="136">
        <v>1.0</v>
      </c>
      <c r="U246" s="138">
        <v>45747.45983796296</v>
      </c>
      <c r="V246" s="139"/>
      <c r="W246" s="141"/>
      <c r="X246" s="141"/>
      <c r="Y246" s="141"/>
      <c r="Z246" s="141"/>
    </row>
    <row r="247">
      <c r="A247" s="135" t="s">
        <v>5417</v>
      </c>
      <c r="B247" s="136" t="s">
        <v>5418</v>
      </c>
      <c r="C247" s="136" t="s">
        <v>5419</v>
      </c>
      <c r="D247" s="136" t="s">
        <v>5420</v>
      </c>
      <c r="E247" s="136">
        <v>2025.0</v>
      </c>
      <c r="F247" s="136" t="s">
        <v>3514</v>
      </c>
      <c r="G247" s="136" t="s">
        <v>5646</v>
      </c>
      <c r="H247" s="136" t="s">
        <v>6161</v>
      </c>
      <c r="I247" s="136" t="s">
        <v>4043</v>
      </c>
      <c r="J247" s="136" t="s">
        <v>6162</v>
      </c>
      <c r="K247" s="136">
        <v>73.0</v>
      </c>
      <c r="L247" s="136">
        <v>72.0</v>
      </c>
      <c r="M247" s="136">
        <v>65.26667</v>
      </c>
      <c r="N247" s="136">
        <v>0.0</v>
      </c>
      <c r="O247" s="136">
        <v>65.26667</v>
      </c>
      <c r="P247" s="136">
        <v>100.0</v>
      </c>
      <c r="Q247" s="136">
        <v>65.26667</v>
      </c>
      <c r="R247" s="136" t="s">
        <v>4200</v>
      </c>
      <c r="S247" s="136">
        <v>72.22222</v>
      </c>
      <c r="T247" s="136">
        <v>3.0</v>
      </c>
      <c r="U247" s="138">
        <v>45747.70542824074</v>
      </c>
      <c r="V247" s="139"/>
      <c r="W247" s="141"/>
      <c r="X247" s="141"/>
      <c r="Y247" s="141"/>
      <c r="Z247" s="141"/>
    </row>
    <row r="248">
      <c r="A248" s="135" t="s">
        <v>5423</v>
      </c>
      <c r="B248" s="136" t="s">
        <v>5424</v>
      </c>
      <c r="C248" s="136" t="s">
        <v>5425</v>
      </c>
      <c r="D248" s="136" t="s">
        <v>5426</v>
      </c>
      <c r="E248" s="136">
        <v>2025.0</v>
      </c>
      <c r="F248" s="136" t="s">
        <v>3514</v>
      </c>
      <c r="G248" s="136" t="s">
        <v>5646</v>
      </c>
      <c r="H248" s="136" t="s">
        <v>6163</v>
      </c>
      <c r="I248" s="136" t="s">
        <v>4043</v>
      </c>
      <c r="J248" s="136" t="s">
        <v>6164</v>
      </c>
      <c r="K248" s="136">
        <v>73.0</v>
      </c>
      <c r="L248" s="136">
        <v>71.0</v>
      </c>
      <c r="M248" s="136">
        <v>52.56667</v>
      </c>
      <c r="N248" s="136">
        <v>0.0</v>
      </c>
      <c r="O248" s="136">
        <v>52.56667</v>
      </c>
      <c r="P248" s="136">
        <v>100.0</v>
      </c>
      <c r="Q248" s="136">
        <v>52.56667</v>
      </c>
      <c r="R248" s="136" t="s">
        <v>4045</v>
      </c>
      <c r="S248" s="136">
        <v>67.14286</v>
      </c>
      <c r="T248" s="136">
        <v>2.0</v>
      </c>
      <c r="U248" s="138">
        <v>45748.03534722222</v>
      </c>
      <c r="V248" s="139"/>
      <c r="W248" s="141"/>
      <c r="X248" s="141"/>
      <c r="Y248" s="141"/>
      <c r="Z248" s="141"/>
    </row>
    <row r="249">
      <c r="A249" s="135" t="s">
        <v>5429</v>
      </c>
      <c r="B249" s="136" t="s">
        <v>3547</v>
      </c>
      <c r="C249" s="136" t="s">
        <v>3548</v>
      </c>
      <c r="D249" s="136" t="s">
        <v>3544</v>
      </c>
      <c r="E249" s="136">
        <v>2025.0</v>
      </c>
      <c r="F249" s="136" t="s">
        <v>3514</v>
      </c>
      <c r="G249" s="136" t="s">
        <v>5646</v>
      </c>
      <c r="H249" s="136" t="s">
        <v>6165</v>
      </c>
      <c r="I249" s="136" t="s">
        <v>4043</v>
      </c>
      <c r="J249" s="136" t="s">
        <v>6166</v>
      </c>
      <c r="K249" s="136">
        <v>73.0</v>
      </c>
      <c r="L249" s="136">
        <v>73.0</v>
      </c>
      <c r="M249" s="136">
        <v>63.6</v>
      </c>
      <c r="N249" s="136">
        <v>0.0</v>
      </c>
      <c r="O249" s="136">
        <v>63.6</v>
      </c>
      <c r="P249" s="136">
        <v>100.0</v>
      </c>
      <c r="Q249" s="136">
        <v>63.6</v>
      </c>
      <c r="R249" s="136" t="s">
        <v>4200</v>
      </c>
      <c r="S249" s="136">
        <v>66.66667</v>
      </c>
      <c r="T249" s="136">
        <v>3.0</v>
      </c>
      <c r="U249" s="138">
        <v>45747.51967592593</v>
      </c>
      <c r="V249" s="139"/>
      <c r="W249" s="141"/>
      <c r="X249" s="141"/>
      <c r="Y249" s="141"/>
      <c r="Z249" s="141"/>
    </row>
    <row r="250">
      <c r="A250" s="135" t="s">
        <v>5437</v>
      </c>
      <c r="B250" s="136" t="s">
        <v>5438</v>
      </c>
      <c r="C250" s="136" t="s">
        <v>5439</v>
      </c>
      <c r="D250" s="136" t="s">
        <v>5440</v>
      </c>
      <c r="E250" s="136">
        <v>2025.0</v>
      </c>
      <c r="F250" s="136" t="s">
        <v>3514</v>
      </c>
      <c r="G250" s="136" t="s">
        <v>5646</v>
      </c>
      <c r="H250" s="136" t="s">
        <v>6167</v>
      </c>
      <c r="I250" s="136" t="s">
        <v>4043</v>
      </c>
      <c r="J250" s="136" t="s">
        <v>6168</v>
      </c>
      <c r="K250" s="136">
        <v>73.0</v>
      </c>
      <c r="L250" s="136">
        <v>67.0</v>
      </c>
      <c r="M250" s="136">
        <v>55.43333</v>
      </c>
      <c r="N250" s="136">
        <v>0.0</v>
      </c>
      <c r="O250" s="136">
        <v>55.43333</v>
      </c>
      <c r="P250" s="136">
        <v>100.0</v>
      </c>
      <c r="Q250" s="136">
        <v>55.43333</v>
      </c>
      <c r="R250" s="136" t="s">
        <v>4045</v>
      </c>
      <c r="S250" s="136">
        <v>74.24242</v>
      </c>
      <c r="T250" s="136">
        <v>1.0</v>
      </c>
      <c r="U250" s="138">
        <v>45748.497025462966</v>
      </c>
      <c r="V250" s="139"/>
      <c r="W250" s="141"/>
      <c r="X250" s="141"/>
      <c r="Y250" s="141"/>
      <c r="Z250" s="141"/>
    </row>
    <row r="251">
      <c r="A251" s="135" t="s">
        <v>5442</v>
      </c>
      <c r="B251" s="136" t="s">
        <v>5443</v>
      </c>
      <c r="C251" s="136" t="s">
        <v>5444</v>
      </c>
      <c r="D251" s="136" t="s">
        <v>5445</v>
      </c>
      <c r="E251" s="136">
        <v>2025.0</v>
      </c>
      <c r="F251" s="136" t="s">
        <v>3514</v>
      </c>
      <c r="G251" s="136" t="s">
        <v>5646</v>
      </c>
      <c r="H251" s="136" t="s">
        <v>6169</v>
      </c>
      <c r="I251" s="136" t="s">
        <v>4043</v>
      </c>
      <c r="J251" s="136" t="s">
        <v>6170</v>
      </c>
      <c r="K251" s="136">
        <v>73.0</v>
      </c>
      <c r="L251" s="136">
        <v>73.0</v>
      </c>
      <c r="M251" s="136">
        <v>59.03333</v>
      </c>
      <c r="N251" s="136">
        <v>0.0</v>
      </c>
      <c r="O251" s="136">
        <v>59.03333</v>
      </c>
      <c r="P251" s="136">
        <v>100.0</v>
      </c>
      <c r="Q251" s="136">
        <v>59.03333</v>
      </c>
      <c r="R251" s="136" t="s">
        <v>4045</v>
      </c>
      <c r="S251" s="136">
        <v>72.0</v>
      </c>
      <c r="T251" s="136">
        <v>2.0</v>
      </c>
      <c r="U251" s="138">
        <v>45748.49149305555</v>
      </c>
      <c r="V251" s="139"/>
      <c r="W251" s="141"/>
      <c r="X251" s="141"/>
      <c r="Y251" s="141"/>
      <c r="Z251" s="141"/>
    </row>
    <row r="252">
      <c r="A252" s="135" t="s">
        <v>5448</v>
      </c>
      <c r="B252" s="136" t="s">
        <v>5449</v>
      </c>
      <c r="C252" s="136" t="s">
        <v>5450</v>
      </c>
      <c r="D252" s="136" t="s">
        <v>5451</v>
      </c>
      <c r="E252" s="136">
        <v>2025.0</v>
      </c>
      <c r="F252" s="136" t="s">
        <v>3514</v>
      </c>
      <c r="G252" s="136" t="s">
        <v>5646</v>
      </c>
      <c r="H252" s="136" t="s">
        <v>6171</v>
      </c>
      <c r="I252" s="136" t="s">
        <v>4043</v>
      </c>
      <c r="J252" s="136" t="s">
        <v>6172</v>
      </c>
      <c r="K252" s="136">
        <v>73.0</v>
      </c>
      <c r="L252" s="136">
        <v>71.0</v>
      </c>
      <c r="M252" s="136">
        <v>55.66667</v>
      </c>
      <c r="N252" s="136">
        <v>0.0</v>
      </c>
      <c r="O252" s="136">
        <v>55.66667</v>
      </c>
      <c r="P252" s="136">
        <v>100.0</v>
      </c>
      <c r="Q252" s="136">
        <v>55.66667</v>
      </c>
      <c r="R252" s="136" t="s">
        <v>4045</v>
      </c>
      <c r="S252" s="136">
        <v>72.85714</v>
      </c>
      <c r="T252" s="136">
        <v>1.0</v>
      </c>
      <c r="U252" s="138">
        <v>45747.95903935185</v>
      </c>
      <c r="V252" s="139"/>
      <c r="W252" s="141"/>
      <c r="X252" s="141"/>
      <c r="Y252" s="141"/>
      <c r="Z252" s="141"/>
    </row>
    <row r="253">
      <c r="A253" s="135" t="s">
        <v>5454</v>
      </c>
      <c r="B253" s="136" t="s">
        <v>3560</v>
      </c>
      <c r="C253" s="136" t="s">
        <v>3563</v>
      </c>
      <c r="D253" s="136" t="s">
        <v>5455</v>
      </c>
      <c r="E253" s="136">
        <v>2025.0</v>
      </c>
      <c r="F253" s="136" t="s">
        <v>3514</v>
      </c>
      <c r="G253" s="136" t="s">
        <v>5646</v>
      </c>
      <c r="H253" s="136" t="s">
        <v>6173</v>
      </c>
      <c r="I253" s="136" t="s">
        <v>4043</v>
      </c>
      <c r="J253" s="136" t="s">
        <v>6174</v>
      </c>
      <c r="K253" s="136">
        <v>73.0</v>
      </c>
      <c r="L253" s="136">
        <v>72.0</v>
      </c>
      <c r="M253" s="136">
        <v>61.93333</v>
      </c>
      <c r="N253" s="136">
        <v>0.0</v>
      </c>
      <c r="O253" s="136">
        <v>61.93333</v>
      </c>
      <c r="P253" s="136">
        <v>100.0</v>
      </c>
      <c r="Q253" s="136">
        <v>61.93333</v>
      </c>
      <c r="R253" s="136" t="s">
        <v>4200</v>
      </c>
      <c r="S253" s="136">
        <v>66.66667</v>
      </c>
      <c r="T253" s="136">
        <v>2.0</v>
      </c>
      <c r="U253" s="138">
        <v>45747.97761574074</v>
      </c>
      <c r="V253" s="139"/>
      <c r="W253" s="141"/>
      <c r="X253" s="141"/>
      <c r="Y253" s="141"/>
      <c r="Z253" s="141"/>
    </row>
    <row r="254">
      <c r="A254" s="135" t="s">
        <v>5464</v>
      </c>
      <c r="B254" s="136" t="s">
        <v>5465</v>
      </c>
      <c r="C254" s="136" t="s">
        <v>5466</v>
      </c>
      <c r="D254" s="136" t="s">
        <v>5467</v>
      </c>
      <c r="E254" s="136">
        <v>2025.0</v>
      </c>
      <c r="F254" s="136" t="s">
        <v>3514</v>
      </c>
      <c r="G254" s="136" t="s">
        <v>5646</v>
      </c>
      <c r="H254" s="136" t="s">
        <v>6175</v>
      </c>
      <c r="I254" s="136" t="s">
        <v>4043</v>
      </c>
      <c r="J254" s="136" t="s">
        <v>5428</v>
      </c>
      <c r="K254" s="136">
        <v>73.0</v>
      </c>
      <c r="L254" s="136">
        <v>73.0</v>
      </c>
      <c r="M254" s="136">
        <v>61.66667</v>
      </c>
      <c r="N254" s="136">
        <v>0.0</v>
      </c>
      <c r="O254" s="136">
        <v>61.66667</v>
      </c>
      <c r="P254" s="136">
        <v>100.0</v>
      </c>
      <c r="Q254" s="136">
        <v>61.66667</v>
      </c>
      <c r="R254" s="136" t="s">
        <v>4200</v>
      </c>
      <c r="S254" s="136">
        <v>68.0</v>
      </c>
      <c r="T254" s="136">
        <v>1.0</v>
      </c>
      <c r="U254" s="138">
        <v>45748.38476851852</v>
      </c>
      <c r="V254" s="139"/>
      <c r="W254" s="141"/>
      <c r="X254" s="141"/>
      <c r="Y254" s="141"/>
      <c r="Z254" s="141"/>
    </row>
    <row r="255">
      <c r="A255" s="135" t="s">
        <v>5470</v>
      </c>
      <c r="B255" s="136" t="s">
        <v>3568</v>
      </c>
      <c r="C255" s="136" t="s">
        <v>3570</v>
      </c>
      <c r="D255" s="136" t="s">
        <v>3565</v>
      </c>
      <c r="E255" s="136">
        <v>2025.0</v>
      </c>
      <c r="F255" s="136" t="s">
        <v>3514</v>
      </c>
      <c r="G255" s="136" t="s">
        <v>5646</v>
      </c>
      <c r="H255" s="136" t="s">
        <v>6176</v>
      </c>
      <c r="I255" s="136" t="s">
        <v>4043</v>
      </c>
      <c r="J255" s="136" t="s">
        <v>6177</v>
      </c>
      <c r="K255" s="136">
        <v>73.0</v>
      </c>
      <c r="L255" s="136">
        <v>71.0</v>
      </c>
      <c r="M255" s="136">
        <v>54.3</v>
      </c>
      <c r="N255" s="136">
        <v>0.0</v>
      </c>
      <c r="O255" s="136">
        <v>54.3</v>
      </c>
      <c r="P255" s="136">
        <v>100.0</v>
      </c>
      <c r="Q255" s="136">
        <v>54.3</v>
      </c>
      <c r="R255" s="136" t="s">
        <v>4045</v>
      </c>
      <c r="S255" s="136">
        <v>68.57143</v>
      </c>
      <c r="T255" s="136">
        <v>1.0</v>
      </c>
      <c r="U255" s="138">
        <v>45747.743472222224</v>
      </c>
      <c r="V255" s="139"/>
      <c r="W255" s="141"/>
      <c r="X255" s="141"/>
      <c r="Y255" s="141"/>
      <c r="Z255" s="141"/>
    </row>
    <row r="256">
      <c r="A256" s="135" t="s">
        <v>5573</v>
      </c>
      <c r="B256" s="136" t="s">
        <v>3920</v>
      </c>
      <c r="C256" s="136" t="s">
        <v>5574</v>
      </c>
      <c r="D256" s="136" t="s">
        <v>3917</v>
      </c>
      <c r="E256" s="136">
        <v>2025.0</v>
      </c>
      <c r="F256" s="136" t="s">
        <v>3514</v>
      </c>
      <c r="G256" s="136" t="s">
        <v>5646</v>
      </c>
      <c r="H256" s="136" t="s">
        <v>6178</v>
      </c>
      <c r="I256" s="136" t="s">
        <v>4043</v>
      </c>
      <c r="J256" s="136" t="s">
        <v>5286</v>
      </c>
      <c r="K256" s="136">
        <v>73.0</v>
      </c>
      <c r="L256" s="136">
        <v>42.0</v>
      </c>
      <c r="M256" s="136">
        <v>11.0</v>
      </c>
      <c r="N256" s="136">
        <v>0.0</v>
      </c>
      <c r="O256" s="136">
        <v>11.0</v>
      </c>
      <c r="P256" s="136">
        <v>100.0</v>
      </c>
      <c r="Q256" s="136">
        <v>11.0</v>
      </c>
      <c r="R256" s="136" t="s">
        <v>4045</v>
      </c>
      <c r="S256" s="136">
        <v>26.19048</v>
      </c>
      <c r="T256" s="136">
        <v>3.0</v>
      </c>
      <c r="U256" s="138">
        <v>45747.77119212963</v>
      </c>
      <c r="V256" s="139"/>
      <c r="W256" s="141"/>
      <c r="X256" s="141"/>
      <c r="Y256" s="141"/>
      <c r="Z256" s="141"/>
    </row>
    <row r="257">
      <c r="A257" s="135" t="s">
        <v>6179</v>
      </c>
      <c r="B257" s="136" t="s">
        <v>6180</v>
      </c>
      <c r="C257" s="136" t="s">
        <v>6181</v>
      </c>
      <c r="D257" s="136" t="s">
        <v>6182</v>
      </c>
      <c r="E257" s="136">
        <v>2025.0</v>
      </c>
      <c r="F257" s="136" t="s">
        <v>3514</v>
      </c>
      <c r="G257" s="136" t="s">
        <v>5646</v>
      </c>
      <c r="H257" s="136" t="s">
        <v>6183</v>
      </c>
      <c r="I257" s="136" t="s">
        <v>4043</v>
      </c>
      <c r="J257" s="136" t="s">
        <v>5871</v>
      </c>
      <c r="K257" s="136">
        <v>73.0</v>
      </c>
      <c r="L257" s="136">
        <v>70.0</v>
      </c>
      <c r="M257" s="136">
        <v>20.0</v>
      </c>
      <c r="N257" s="136">
        <v>0.0</v>
      </c>
      <c r="O257" s="136">
        <v>20.0</v>
      </c>
      <c r="P257" s="136">
        <v>100.0</v>
      </c>
      <c r="Q257" s="136">
        <v>20.0</v>
      </c>
      <c r="R257" s="136" t="s">
        <v>4045</v>
      </c>
      <c r="S257" s="136">
        <v>28.57143</v>
      </c>
      <c r="T257" s="136">
        <v>2.0</v>
      </c>
      <c r="U257" s="138">
        <v>45748.71875</v>
      </c>
      <c r="V257" s="139"/>
      <c r="W257" s="141"/>
      <c r="X257" s="141"/>
      <c r="Y257" s="141"/>
      <c r="Z257" s="141"/>
    </row>
    <row r="258">
      <c r="A258" s="135" t="s">
        <v>5479</v>
      </c>
      <c r="B258" s="136" t="s">
        <v>5480</v>
      </c>
      <c r="C258" s="136" t="s">
        <v>5481</v>
      </c>
      <c r="D258" s="136" t="s">
        <v>5482</v>
      </c>
      <c r="E258" s="136">
        <v>2025.0</v>
      </c>
      <c r="F258" s="136" t="s">
        <v>3514</v>
      </c>
      <c r="G258" s="136" t="s">
        <v>5646</v>
      </c>
      <c r="H258" s="136" t="s">
        <v>6184</v>
      </c>
      <c r="I258" s="136" t="s">
        <v>4043</v>
      </c>
      <c r="J258" s="136" t="s">
        <v>4421</v>
      </c>
      <c r="K258" s="136">
        <v>73.0</v>
      </c>
      <c r="L258" s="136">
        <v>61.0</v>
      </c>
      <c r="M258" s="136">
        <v>45.0</v>
      </c>
      <c r="N258" s="136">
        <v>0.0</v>
      </c>
      <c r="O258" s="136">
        <v>45.0</v>
      </c>
      <c r="P258" s="136">
        <v>100.0</v>
      </c>
      <c r="Q258" s="136">
        <v>45.0</v>
      </c>
      <c r="R258" s="136" t="s">
        <v>4045</v>
      </c>
      <c r="S258" s="136">
        <v>73.77049</v>
      </c>
      <c r="T258" s="136">
        <v>4.0</v>
      </c>
      <c r="U258" s="138">
        <v>45748.59391203704</v>
      </c>
      <c r="V258" s="139"/>
      <c r="W258" s="141"/>
      <c r="X258" s="141"/>
      <c r="Y258" s="141"/>
      <c r="Z258" s="141"/>
    </row>
    <row r="259">
      <c r="A259" s="135" t="s">
        <v>5487</v>
      </c>
      <c r="B259" s="136" t="s">
        <v>5488</v>
      </c>
      <c r="C259" s="136" t="s">
        <v>5489</v>
      </c>
      <c r="D259" s="136" t="s">
        <v>5490</v>
      </c>
      <c r="E259" s="136">
        <v>2025.0</v>
      </c>
      <c r="F259" s="136" t="s">
        <v>3514</v>
      </c>
      <c r="G259" s="136" t="s">
        <v>5646</v>
      </c>
      <c r="H259" s="136" t="s">
        <v>6185</v>
      </c>
      <c r="I259" s="136" t="s">
        <v>4043</v>
      </c>
      <c r="J259" s="136" t="s">
        <v>6186</v>
      </c>
      <c r="K259" s="136">
        <v>73.0</v>
      </c>
      <c r="L259" s="136">
        <v>72.0</v>
      </c>
      <c r="M259" s="136">
        <v>34.06667</v>
      </c>
      <c r="N259" s="136">
        <v>0.0</v>
      </c>
      <c r="O259" s="136">
        <v>34.06667</v>
      </c>
      <c r="P259" s="136">
        <v>100.0</v>
      </c>
      <c r="Q259" s="136">
        <v>34.06667</v>
      </c>
      <c r="R259" s="136" t="s">
        <v>4045</v>
      </c>
      <c r="S259" s="136">
        <v>38.35616</v>
      </c>
      <c r="T259" s="136">
        <v>1.0</v>
      </c>
      <c r="U259" s="138">
        <v>45748.45533564815</v>
      </c>
      <c r="V259" s="139"/>
      <c r="W259" s="141"/>
      <c r="X259" s="141"/>
      <c r="Y259" s="141"/>
      <c r="Z259" s="141"/>
    </row>
    <row r="260">
      <c r="A260" s="135" t="s">
        <v>5493</v>
      </c>
      <c r="B260" s="136" t="s">
        <v>5494</v>
      </c>
      <c r="C260" s="136" t="s">
        <v>3597</v>
      </c>
      <c r="D260" s="136" t="s">
        <v>3594</v>
      </c>
      <c r="E260" s="136">
        <v>2025.0</v>
      </c>
      <c r="F260" s="136" t="s">
        <v>3514</v>
      </c>
      <c r="G260" s="136" t="s">
        <v>5646</v>
      </c>
      <c r="H260" s="136" t="s">
        <v>6187</v>
      </c>
      <c r="I260" s="136" t="s">
        <v>4043</v>
      </c>
      <c r="J260" s="136" t="s">
        <v>6188</v>
      </c>
      <c r="K260" s="136">
        <v>73.0</v>
      </c>
      <c r="L260" s="136">
        <v>71.0</v>
      </c>
      <c r="M260" s="136">
        <v>44.7</v>
      </c>
      <c r="N260" s="136">
        <v>0.0</v>
      </c>
      <c r="O260" s="136">
        <v>44.7</v>
      </c>
      <c r="P260" s="136">
        <v>100.0</v>
      </c>
      <c r="Q260" s="136">
        <v>44.7</v>
      </c>
      <c r="R260" s="136" t="s">
        <v>4045</v>
      </c>
      <c r="S260" s="136">
        <v>57.14286</v>
      </c>
      <c r="T260" s="136">
        <v>1.0</v>
      </c>
      <c r="U260" s="138">
        <v>45747.94625</v>
      </c>
      <c r="V260" s="139"/>
      <c r="W260" s="141"/>
      <c r="X260" s="141"/>
      <c r="Y260" s="141"/>
      <c r="Z260" s="141"/>
    </row>
    <row r="261">
      <c r="A261" s="135" t="s">
        <v>5497</v>
      </c>
      <c r="B261" s="136" t="s">
        <v>5498</v>
      </c>
      <c r="C261" s="136" t="s">
        <v>5499</v>
      </c>
      <c r="D261" s="136" t="s">
        <v>5500</v>
      </c>
      <c r="E261" s="136">
        <v>2025.0</v>
      </c>
      <c r="F261" s="136" t="s">
        <v>3514</v>
      </c>
      <c r="G261" s="136" t="s">
        <v>5646</v>
      </c>
      <c r="H261" s="136" t="s">
        <v>6189</v>
      </c>
      <c r="I261" s="136" t="s">
        <v>4043</v>
      </c>
      <c r="J261" s="136" t="s">
        <v>5645</v>
      </c>
      <c r="K261" s="136">
        <v>73.0</v>
      </c>
      <c r="L261" s="136">
        <v>70.0</v>
      </c>
      <c r="M261" s="136">
        <v>33.0</v>
      </c>
      <c r="N261" s="136">
        <v>0.0</v>
      </c>
      <c r="O261" s="136">
        <v>33.0</v>
      </c>
      <c r="P261" s="136">
        <v>100.0</v>
      </c>
      <c r="Q261" s="136">
        <v>33.0</v>
      </c>
      <c r="R261" s="136" t="s">
        <v>4045</v>
      </c>
      <c r="S261" s="136">
        <v>47.14286</v>
      </c>
      <c r="T261" s="136">
        <v>1.0</v>
      </c>
      <c r="U261" s="138">
        <v>45748.41836805556</v>
      </c>
      <c r="V261" s="139"/>
      <c r="W261" s="141"/>
      <c r="X261" s="141"/>
      <c r="Y261" s="141"/>
      <c r="Z261" s="141"/>
    </row>
    <row r="262">
      <c r="A262" s="135" t="s">
        <v>6190</v>
      </c>
      <c r="B262" s="136" t="s">
        <v>6191</v>
      </c>
      <c r="C262" s="136" t="s">
        <v>6192</v>
      </c>
      <c r="D262" s="136" t="s">
        <v>6193</v>
      </c>
      <c r="E262" s="136">
        <v>2025.0</v>
      </c>
      <c r="F262" s="136" t="s">
        <v>3514</v>
      </c>
      <c r="G262" s="136" t="s">
        <v>5646</v>
      </c>
      <c r="H262" s="136" t="s">
        <v>6194</v>
      </c>
      <c r="I262" s="136" t="s">
        <v>4043</v>
      </c>
      <c r="J262" s="136" t="s">
        <v>6195</v>
      </c>
      <c r="K262" s="136">
        <v>73.0</v>
      </c>
      <c r="L262" s="136">
        <v>72.0</v>
      </c>
      <c r="M262" s="136">
        <v>25.63333</v>
      </c>
      <c r="N262" s="136">
        <v>0.0</v>
      </c>
      <c r="O262" s="136">
        <v>25.63333</v>
      </c>
      <c r="P262" s="136">
        <v>100.0</v>
      </c>
      <c r="Q262" s="136">
        <v>25.63333</v>
      </c>
      <c r="R262" s="136" t="s">
        <v>4045</v>
      </c>
      <c r="S262" s="136">
        <v>26.38889</v>
      </c>
      <c r="T262" s="136">
        <v>2.0</v>
      </c>
      <c r="U262" s="138">
        <v>45747.37836805556</v>
      </c>
      <c r="V262" s="139"/>
      <c r="W262" s="141"/>
      <c r="X262" s="141"/>
      <c r="Y262" s="141"/>
      <c r="Z262" s="141"/>
    </row>
    <row r="263">
      <c r="A263" s="135" t="s">
        <v>5509</v>
      </c>
      <c r="B263" s="136" t="s">
        <v>5510</v>
      </c>
      <c r="C263" s="136" t="s">
        <v>5511</v>
      </c>
      <c r="D263" s="136" t="s">
        <v>5512</v>
      </c>
      <c r="E263" s="136">
        <v>2025.0</v>
      </c>
      <c r="F263" s="136" t="s">
        <v>3514</v>
      </c>
      <c r="G263" s="136" t="s">
        <v>5646</v>
      </c>
      <c r="H263" s="136" t="s">
        <v>6196</v>
      </c>
      <c r="I263" s="136" t="s">
        <v>4043</v>
      </c>
      <c r="J263" s="136" t="s">
        <v>6197</v>
      </c>
      <c r="K263" s="136">
        <v>73.0</v>
      </c>
      <c r="L263" s="136">
        <v>72.0</v>
      </c>
      <c r="M263" s="136">
        <v>75.93333</v>
      </c>
      <c r="N263" s="136">
        <v>0.0</v>
      </c>
      <c r="O263" s="136">
        <v>75.93333</v>
      </c>
      <c r="P263" s="136">
        <v>100.0</v>
      </c>
      <c r="Q263" s="136">
        <v>75.93333</v>
      </c>
      <c r="R263" s="136" t="s">
        <v>4200</v>
      </c>
      <c r="S263" s="136">
        <v>74.32432</v>
      </c>
      <c r="T263" s="136">
        <v>1.0</v>
      </c>
      <c r="U263" s="138">
        <v>45747.66446759259</v>
      </c>
      <c r="V263" s="139"/>
      <c r="W263" s="141"/>
      <c r="X263" s="141"/>
      <c r="Y263" s="141"/>
      <c r="Z263" s="141"/>
    </row>
    <row r="264">
      <c r="A264" s="135" t="s">
        <v>5520</v>
      </c>
      <c r="B264" s="136" t="s">
        <v>3602</v>
      </c>
      <c r="C264" s="136" t="s">
        <v>3604</v>
      </c>
      <c r="D264" s="136" t="s">
        <v>3600</v>
      </c>
      <c r="E264" s="136">
        <v>2025.0</v>
      </c>
      <c r="F264" s="136" t="s">
        <v>3514</v>
      </c>
      <c r="G264" s="136" t="s">
        <v>5646</v>
      </c>
      <c r="H264" s="136" t="s">
        <v>6198</v>
      </c>
      <c r="I264" s="136" t="s">
        <v>4043</v>
      </c>
      <c r="J264" s="136" t="s">
        <v>4917</v>
      </c>
      <c r="K264" s="136">
        <v>73.0</v>
      </c>
      <c r="L264" s="136">
        <v>71.0</v>
      </c>
      <c r="M264" s="136">
        <v>53.9</v>
      </c>
      <c r="N264" s="136">
        <v>0.0</v>
      </c>
      <c r="O264" s="136">
        <v>53.9</v>
      </c>
      <c r="P264" s="136">
        <v>100.0</v>
      </c>
      <c r="Q264" s="136">
        <v>53.9</v>
      </c>
      <c r="R264" s="136" t="s">
        <v>4045</v>
      </c>
      <c r="S264" s="136">
        <v>68.57143</v>
      </c>
      <c r="T264" s="136">
        <v>2.0</v>
      </c>
      <c r="U264" s="138">
        <v>45748.68271990741</v>
      </c>
      <c r="V264" s="139"/>
      <c r="W264" s="141"/>
      <c r="X264" s="141"/>
      <c r="Y264" s="141"/>
      <c r="Z264" s="141"/>
    </row>
    <row r="265">
      <c r="A265" s="135" t="s">
        <v>5522</v>
      </c>
      <c r="B265" s="136" t="s">
        <v>5523</v>
      </c>
      <c r="C265" s="136" t="s">
        <v>5524</v>
      </c>
      <c r="D265" s="136" t="s">
        <v>5525</v>
      </c>
      <c r="E265" s="136">
        <v>2025.0</v>
      </c>
      <c r="F265" s="136" t="s">
        <v>3514</v>
      </c>
      <c r="G265" s="136" t="s">
        <v>5646</v>
      </c>
      <c r="H265" s="136" t="s">
        <v>6199</v>
      </c>
      <c r="I265" s="136" t="s">
        <v>4043</v>
      </c>
      <c r="J265" s="136" t="s">
        <v>6200</v>
      </c>
      <c r="K265" s="136">
        <v>73.0</v>
      </c>
      <c r="L265" s="136">
        <v>70.0</v>
      </c>
      <c r="M265" s="136">
        <v>28.0</v>
      </c>
      <c r="N265" s="136">
        <v>0.0</v>
      </c>
      <c r="O265" s="136">
        <v>28.0</v>
      </c>
      <c r="P265" s="136">
        <v>100.0</v>
      </c>
      <c r="Q265" s="136">
        <v>28.0</v>
      </c>
      <c r="R265" s="136" t="s">
        <v>4045</v>
      </c>
      <c r="S265" s="136">
        <v>40.0</v>
      </c>
      <c r="T265" s="136">
        <v>1.0</v>
      </c>
      <c r="U265" s="138">
        <v>45747.967685185184</v>
      </c>
      <c r="V265" s="139"/>
      <c r="W265" s="141"/>
      <c r="X265" s="141"/>
      <c r="Y265" s="141"/>
      <c r="Z265" s="141"/>
    </row>
    <row r="266">
      <c r="A266" s="135" t="s">
        <v>5527</v>
      </c>
      <c r="B266" s="136" t="s">
        <v>5528</v>
      </c>
      <c r="C266" s="136" t="s">
        <v>5529</v>
      </c>
      <c r="D266" s="136" t="s">
        <v>5530</v>
      </c>
      <c r="E266" s="136">
        <v>2025.0</v>
      </c>
      <c r="F266" s="136" t="s">
        <v>3514</v>
      </c>
      <c r="G266" s="136" t="s">
        <v>5646</v>
      </c>
      <c r="H266" s="136" t="s">
        <v>6201</v>
      </c>
      <c r="I266" s="136" t="s">
        <v>4043</v>
      </c>
      <c r="J266" s="136" t="s">
        <v>4674</v>
      </c>
      <c r="K266" s="136">
        <v>73.0</v>
      </c>
      <c r="L266" s="136">
        <v>71.0</v>
      </c>
      <c r="M266" s="136">
        <v>43.1</v>
      </c>
      <c r="N266" s="136">
        <v>0.0</v>
      </c>
      <c r="O266" s="136">
        <v>43.1</v>
      </c>
      <c r="P266" s="136">
        <v>100.0</v>
      </c>
      <c r="Q266" s="136">
        <v>43.1</v>
      </c>
      <c r="R266" s="136" t="s">
        <v>4045</v>
      </c>
      <c r="S266" s="136">
        <v>52.85714</v>
      </c>
      <c r="T266" s="136">
        <v>1.0</v>
      </c>
      <c r="U266" s="138">
        <v>45748.83324074074</v>
      </c>
      <c r="V266" s="139"/>
      <c r="W266" s="141"/>
      <c r="X266" s="141"/>
      <c r="Y266" s="141"/>
      <c r="Z266" s="141"/>
    </row>
    <row r="267">
      <c r="A267" s="135" t="s">
        <v>5533</v>
      </c>
      <c r="B267" s="136" t="s">
        <v>5534</v>
      </c>
      <c r="C267" s="136" t="s">
        <v>5535</v>
      </c>
      <c r="D267" s="136" t="s">
        <v>5536</v>
      </c>
      <c r="E267" s="136">
        <v>2025.0</v>
      </c>
      <c r="F267" s="136" t="s">
        <v>3514</v>
      </c>
      <c r="G267" s="136" t="s">
        <v>5646</v>
      </c>
      <c r="H267" s="136" t="s">
        <v>6202</v>
      </c>
      <c r="I267" s="136" t="s">
        <v>4043</v>
      </c>
      <c r="J267" s="136" t="s">
        <v>5763</v>
      </c>
      <c r="K267" s="136">
        <v>73.0</v>
      </c>
      <c r="L267" s="136">
        <v>72.0</v>
      </c>
      <c r="M267" s="136">
        <v>59.96667</v>
      </c>
      <c r="N267" s="136">
        <v>0.0</v>
      </c>
      <c r="O267" s="136">
        <v>59.96667</v>
      </c>
      <c r="P267" s="136">
        <v>100.0</v>
      </c>
      <c r="Q267" s="136">
        <v>59.96667</v>
      </c>
      <c r="R267" s="136" t="s">
        <v>4045</v>
      </c>
      <c r="S267" s="136">
        <v>76.38889</v>
      </c>
      <c r="T267" s="136">
        <v>1.0</v>
      </c>
      <c r="U267" s="138">
        <v>45747.96737268518</v>
      </c>
      <c r="V267" s="139"/>
      <c r="W267" s="141"/>
      <c r="X267" s="141"/>
      <c r="Y267" s="141"/>
      <c r="Z267" s="141"/>
    </row>
    <row r="268">
      <c r="A268" s="135" t="s">
        <v>5538</v>
      </c>
      <c r="B268" s="136" t="s">
        <v>5539</v>
      </c>
      <c r="C268" s="136" t="s">
        <v>5540</v>
      </c>
      <c r="D268" s="136" t="s">
        <v>5541</v>
      </c>
      <c r="E268" s="136">
        <v>2025.0</v>
      </c>
      <c r="F268" s="136" t="s">
        <v>3514</v>
      </c>
      <c r="G268" s="136" t="s">
        <v>5646</v>
      </c>
      <c r="H268" s="136" t="s">
        <v>6203</v>
      </c>
      <c r="I268" s="136" t="s">
        <v>4043</v>
      </c>
      <c r="J268" s="136" t="s">
        <v>6204</v>
      </c>
      <c r="K268" s="136">
        <v>73.0</v>
      </c>
      <c r="L268" s="136">
        <v>44.0</v>
      </c>
      <c r="M268" s="136">
        <v>25.0</v>
      </c>
      <c r="N268" s="136">
        <v>0.0</v>
      </c>
      <c r="O268" s="136">
        <v>25.0</v>
      </c>
      <c r="P268" s="136">
        <v>100.0</v>
      </c>
      <c r="Q268" s="136">
        <v>25.0</v>
      </c>
      <c r="R268" s="136" t="s">
        <v>4045</v>
      </c>
      <c r="S268" s="136">
        <v>56.81818</v>
      </c>
      <c r="T268" s="136">
        <v>1.0</v>
      </c>
      <c r="U268" s="138">
        <v>45747.674849537034</v>
      </c>
      <c r="V268" s="139"/>
      <c r="W268" s="141"/>
      <c r="X268" s="141"/>
      <c r="Y268" s="141"/>
      <c r="Z268" s="141"/>
    </row>
    <row r="269">
      <c r="A269" s="135" t="s">
        <v>5544</v>
      </c>
      <c r="B269" s="136" t="s">
        <v>5545</v>
      </c>
      <c r="C269" s="136" t="s">
        <v>5546</v>
      </c>
      <c r="D269" s="136" t="s">
        <v>5547</v>
      </c>
      <c r="E269" s="136">
        <v>2025.0</v>
      </c>
      <c r="F269" s="136" t="s">
        <v>3514</v>
      </c>
      <c r="G269" s="136" t="s">
        <v>5646</v>
      </c>
      <c r="H269" s="136" t="s">
        <v>6205</v>
      </c>
      <c r="I269" s="136" t="s">
        <v>4043</v>
      </c>
      <c r="J269" s="136" t="s">
        <v>6206</v>
      </c>
      <c r="K269" s="136">
        <v>73.0</v>
      </c>
      <c r="L269" s="136">
        <v>42.0</v>
      </c>
      <c r="M269" s="136">
        <v>20.33333</v>
      </c>
      <c r="N269" s="136">
        <v>0.0</v>
      </c>
      <c r="O269" s="136">
        <v>20.33333</v>
      </c>
      <c r="P269" s="136">
        <v>100.0</v>
      </c>
      <c r="Q269" s="136">
        <v>20.33333</v>
      </c>
      <c r="R269" s="136" t="s">
        <v>4045</v>
      </c>
      <c r="S269" s="136">
        <v>36.58537</v>
      </c>
      <c r="T269" s="136">
        <v>0.0</v>
      </c>
      <c r="U269" s="138">
        <v>45747.629895833335</v>
      </c>
      <c r="V269" s="139"/>
      <c r="W269" s="141"/>
      <c r="X269" s="141"/>
      <c r="Y269" s="141"/>
      <c r="Z269" s="141"/>
    </row>
    <row r="270">
      <c r="A270" s="135" t="s">
        <v>5556</v>
      </c>
      <c r="B270" s="136" t="s">
        <v>5557</v>
      </c>
      <c r="C270" s="136" t="s">
        <v>5558</v>
      </c>
      <c r="D270" s="136" t="s">
        <v>5559</v>
      </c>
      <c r="E270" s="136">
        <v>2025.0</v>
      </c>
      <c r="F270" s="136" t="s">
        <v>3514</v>
      </c>
      <c r="G270" s="136" t="s">
        <v>5646</v>
      </c>
      <c r="H270" s="136" t="s">
        <v>6207</v>
      </c>
      <c r="I270" s="136" t="s">
        <v>4043</v>
      </c>
      <c r="J270" s="136" t="s">
        <v>4303</v>
      </c>
      <c r="K270" s="136">
        <v>73.0</v>
      </c>
      <c r="L270" s="136">
        <v>68.0</v>
      </c>
      <c r="M270" s="136">
        <v>62.16667</v>
      </c>
      <c r="N270" s="136">
        <v>0.0</v>
      </c>
      <c r="O270" s="136">
        <v>62.16667</v>
      </c>
      <c r="P270" s="136">
        <v>100.0</v>
      </c>
      <c r="Q270" s="136">
        <v>62.16667</v>
      </c>
      <c r="R270" s="136" t="s">
        <v>4200</v>
      </c>
      <c r="S270" s="136">
        <v>86.56716</v>
      </c>
      <c r="T270" s="136">
        <v>2.0</v>
      </c>
      <c r="U270" s="138">
        <v>45748.41905092593</v>
      </c>
      <c r="V270" s="139"/>
      <c r="W270" s="141"/>
      <c r="X270" s="141"/>
      <c r="Y270" s="141"/>
      <c r="Z270" s="141"/>
    </row>
    <row r="271">
      <c r="A271" s="135" t="s">
        <v>5562</v>
      </c>
      <c r="B271" s="136" t="s">
        <v>3637</v>
      </c>
      <c r="C271" s="136" t="s">
        <v>5563</v>
      </c>
      <c r="D271" s="136" t="s">
        <v>5564</v>
      </c>
      <c r="E271" s="136">
        <v>2025.0</v>
      </c>
      <c r="F271" s="136" t="s">
        <v>3514</v>
      </c>
      <c r="G271" s="136" t="s">
        <v>5646</v>
      </c>
      <c r="H271" s="136" t="s">
        <v>6208</v>
      </c>
      <c r="I271" s="136" t="s">
        <v>4043</v>
      </c>
      <c r="J271" s="136" t="s">
        <v>6209</v>
      </c>
      <c r="K271" s="136">
        <v>73.0</v>
      </c>
      <c r="L271" s="136">
        <v>72.0</v>
      </c>
      <c r="M271" s="136">
        <v>43.63333</v>
      </c>
      <c r="N271" s="136">
        <v>0.0</v>
      </c>
      <c r="O271" s="136">
        <v>43.63333</v>
      </c>
      <c r="P271" s="136">
        <v>100.0</v>
      </c>
      <c r="Q271" s="136">
        <v>43.63333</v>
      </c>
      <c r="R271" s="136" t="s">
        <v>4045</v>
      </c>
      <c r="S271" s="136">
        <v>50.68493</v>
      </c>
      <c r="T271" s="136">
        <v>2.0</v>
      </c>
      <c r="U271" s="138">
        <v>45747.81769675926</v>
      </c>
      <c r="V271" s="139"/>
      <c r="W271" s="141"/>
      <c r="X271" s="141"/>
      <c r="Y271" s="141"/>
      <c r="Z271" s="141"/>
    </row>
    <row r="272">
      <c r="A272" s="135" t="s">
        <v>6210</v>
      </c>
      <c r="B272" s="136" t="s">
        <v>6211</v>
      </c>
      <c r="C272" s="136" t="s">
        <v>3647</v>
      </c>
      <c r="D272" s="136" t="s">
        <v>3643</v>
      </c>
      <c r="E272" s="136">
        <v>2025.0</v>
      </c>
      <c r="F272" s="136" t="s">
        <v>3514</v>
      </c>
      <c r="G272" s="136" t="s">
        <v>5646</v>
      </c>
      <c r="H272" s="136" t="s">
        <v>6212</v>
      </c>
      <c r="I272" s="136" t="s">
        <v>4043</v>
      </c>
      <c r="J272" s="136" t="s">
        <v>5817</v>
      </c>
      <c r="K272" s="136">
        <v>73.0</v>
      </c>
      <c r="L272" s="136">
        <v>72.0</v>
      </c>
      <c r="M272" s="136">
        <v>54.53333</v>
      </c>
      <c r="N272" s="136">
        <v>0.0</v>
      </c>
      <c r="O272" s="136">
        <v>54.53333</v>
      </c>
      <c r="P272" s="136">
        <v>100.0</v>
      </c>
      <c r="Q272" s="136">
        <v>54.53333</v>
      </c>
      <c r="R272" s="136" t="s">
        <v>4045</v>
      </c>
      <c r="S272" s="136">
        <v>67.12329</v>
      </c>
      <c r="T272" s="136">
        <v>2.0</v>
      </c>
      <c r="U272" s="138">
        <v>45747.77978009259</v>
      </c>
      <c r="V272" s="139"/>
      <c r="W272" s="141"/>
      <c r="X272" s="141"/>
      <c r="Y272" s="141"/>
      <c r="Z272" s="141"/>
    </row>
    <row r="273">
      <c r="A273" s="135" t="s">
        <v>5577</v>
      </c>
      <c r="B273" s="136" t="s">
        <v>5578</v>
      </c>
      <c r="C273" s="136" t="s">
        <v>3931</v>
      </c>
      <c r="D273" s="136" t="s">
        <v>3926</v>
      </c>
      <c r="E273" s="136">
        <v>2025.0</v>
      </c>
      <c r="F273" s="136" t="s">
        <v>3514</v>
      </c>
      <c r="G273" s="136" t="s">
        <v>5646</v>
      </c>
      <c r="H273" s="136" t="s">
        <v>6213</v>
      </c>
      <c r="I273" s="136" t="s">
        <v>4043</v>
      </c>
      <c r="J273" s="136" t="s">
        <v>6214</v>
      </c>
      <c r="K273" s="136">
        <v>73.0</v>
      </c>
      <c r="L273" s="136">
        <v>70.0</v>
      </c>
      <c r="M273" s="136">
        <v>25.0</v>
      </c>
      <c r="N273" s="136">
        <v>0.0</v>
      </c>
      <c r="O273" s="136">
        <v>25.0</v>
      </c>
      <c r="P273" s="136">
        <v>100.0</v>
      </c>
      <c r="Q273" s="136">
        <v>25.0</v>
      </c>
      <c r="R273" s="136" t="s">
        <v>4045</v>
      </c>
      <c r="S273" s="136">
        <v>35.71429</v>
      </c>
      <c r="T273" s="136">
        <v>1.0</v>
      </c>
      <c r="U273" s="138">
        <v>45747.76565972222</v>
      </c>
      <c r="V273" s="139"/>
      <c r="W273" s="141"/>
      <c r="X273" s="141"/>
      <c r="Y273" s="141"/>
      <c r="Z273" s="141"/>
    </row>
    <row r="274">
      <c r="A274" s="135" t="s">
        <v>5581</v>
      </c>
      <c r="B274" s="136" t="s">
        <v>5582</v>
      </c>
      <c r="C274" s="136" t="s">
        <v>5583</v>
      </c>
      <c r="D274" s="136" t="s">
        <v>5584</v>
      </c>
      <c r="E274" s="136">
        <v>2025.0</v>
      </c>
      <c r="F274" s="136" t="s">
        <v>3514</v>
      </c>
      <c r="G274" s="136" t="s">
        <v>5646</v>
      </c>
      <c r="H274" s="136" t="s">
        <v>6215</v>
      </c>
      <c r="I274" s="136" t="s">
        <v>4043</v>
      </c>
      <c r="J274" s="136" t="s">
        <v>6216</v>
      </c>
      <c r="K274" s="136">
        <v>73.0</v>
      </c>
      <c r="L274" s="136">
        <v>70.0</v>
      </c>
      <c r="M274" s="136">
        <v>21.0</v>
      </c>
      <c r="N274" s="136">
        <v>0.0</v>
      </c>
      <c r="O274" s="136">
        <v>21.0</v>
      </c>
      <c r="P274" s="136">
        <v>100.0</v>
      </c>
      <c r="Q274" s="136">
        <v>21.0</v>
      </c>
      <c r="R274" s="136" t="s">
        <v>4045</v>
      </c>
      <c r="S274" s="136">
        <v>30.0</v>
      </c>
      <c r="T274" s="136">
        <v>1.0</v>
      </c>
      <c r="U274" s="138">
        <v>45748.958125</v>
      </c>
      <c r="V274" s="139"/>
      <c r="W274" s="141"/>
      <c r="X274" s="141"/>
      <c r="Y274" s="141"/>
      <c r="Z274" s="141"/>
    </row>
    <row r="275">
      <c r="A275" s="135" t="s">
        <v>5586</v>
      </c>
      <c r="B275" s="136" t="s">
        <v>3946</v>
      </c>
      <c r="C275" s="136" t="s">
        <v>3949</v>
      </c>
      <c r="D275" s="136" t="s">
        <v>3943</v>
      </c>
      <c r="E275" s="136">
        <v>2025.0</v>
      </c>
      <c r="F275" s="136" t="s">
        <v>3514</v>
      </c>
      <c r="G275" s="136" t="s">
        <v>5646</v>
      </c>
      <c r="H275" s="136" t="s">
        <v>6217</v>
      </c>
      <c r="I275" s="136" t="s">
        <v>4043</v>
      </c>
      <c r="J275" s="136" t="s">
        <v>6218</v>
      </c>
      <c r="K275" s="136">
        <v>73.0</v>
      </c>
      <c r="L275" s="136">
        <v>73.0</v>
      </c>
      <c r="M275" s="136">
        <v>48.33333</v>
      </c>
      <c r="N275" s="136">
        <v>0.0</v>
      </c>
      <c r="O275" s="136">
        <v>48.33333</v>
      </c>
      <c r="P275" s="136">
        <v>100.0</v>
      </c>
      <c r="Q275" s="136">
        <v>48.33333</v>
      </c>
      <c r="R275" s="136" t="s">
        <v>4045</v>
      </c>
      <c r="S275" s="136">
        <v>54.66667</v>
      </c>
      <c r="T275" s="136">
        <v>0.0</v>
      </c>
      <c r="U275" s="138">
        <v>45747.876875</v>
      </c>
      <c r="V275" s="139"/>
      <c r="W275" s="141"/>
      <c r="X275" s="141"/>
      <c r="Y275" s="141"/>
      <c r="Z275" s="141"/>
    </row>
    <row r="276">
      <c r="A276" s="135" t="s">
        <v>5588</v>
      </c>
      <c r="B276" s="136" t="s">
        <v>5589</v>
      </c>
      <c r="C276" s="136" t="s">
        <v>5590</v>
      </c>
      <c r="D276" s="136" t="s">
        <v>5591</v>
      </c>
      <c r="E276" s="136">
        <v>2025.0</v>
      </c>
      <c r="F276" s="136" t="s">
        <v>3514</v>
      </c>
      <c r="G276" s="136" t="s">
        <v>5646</v>
      </c>
      <c r="H276" s="136" t="s">
        <v>6219</v>
      </c>
      <c r="I276" s="136" t="s">
        <v>4043</v>
      </c>
      <c r="J276" s="136" t="s">
        <v>6220</v>
      </c>
      <c r="K276" s="136">
        <v>73.0</v>
      </c>
      <c r="L276" s="136">
        <v>71.0</v>
      </c>
      <c r="M276" s="136">
        <v>41.16667</v>
      </c>
      <c r="N276" s="136">
        <v>0.0</v>
      </c>
      <c r="O276" s="136">
        <v>41.16667</v>
      </c>
      <c r="P276" s="136">
        <v>100.0</v>
      </c>
      <c r="Q276" s="136">
        <v>41.16667</v>
      </c>
      <c r="R276" s="136" t="s">
        <v>4045</v>
      </c>
      <c r="S276" s="136">
        <v>50.0</v>
      </c>
      <c r="T276" s="136">
        <v>1.0</v>
      </c>
      <c r="U276" s="138">
        <v>45747.77130787037</v>
      </c>
      <c r="V276" s="139"/>
      <c r="W276" s="141"/>
      <c r="X276" s="141"/>
      <c r="Y276" s="141"/>
      <c r="Z276" s="141"/>
    </row>
    <row r="277">
      <c r="A277" s="135" t="s">
        <v>5601</v>
      </c>
      <c r="B277" s="136" t="s">
        <v>5602</v>
      </c>
      <c r="C277" s="136" t="s">
        <v>5603</v>
      </c>
      <c r="D277" s="136" t="s">
        <v>5604</v>
      </c>
      <c r="E277" s="136">
        <v>2025.0</v>
      </c>
      <c r="F277" s="136" t="s">
        <v>5598</v>
      </c>
      <c r="G277" s="136" t="s">
        <v>5646</v>
      </c>
      <c r="H277" s="136" t="s">
        <v>6221</v>
      </c>
      <c r="I277" s="136" t="s">
        <v>4043</v>
      </c>
      <c r="J277" s="136" t="s">
        <v>4965</v>
      </c>
      <c r="K277" s="136">
        <v>73.0</v>
      </c>
      <c r="L277" s="136">
        <v>70.0</v>
      </c>
      <c r="M277" s="136">
        <v>49.63333</v>
      </c>
      <c r="N277" s="136">
        <v>0.0</v>
      </c>
      <c r="O277" s="136">
        <v>49.63333</v>
      </c>
      <c r="P277" s="136">
        <v>100.0</v>
      </c>
      <c r="Q277" s="136">
        <v>49.63333</v>
      </c>
      <c r="R277" s="136" t="s">
        <v>4045</v>
      </c>
      <c r="S277" s="136">
        <v>63.76812</v>
      </c>
      <c r="T277" s="136">
        <v>1.0</v>
      </c>
      <c r="U277" s="138">
        <v>45747.80862268519</v>
      </c>
      <c r="V277" s="139"/>
      <c r="W277" s="141"/>
      <c r="X277" s="141"/>
      <c r="Y277" s="141"/>
      <c r="Z277" s="141"/>
    </row>
    <row r="278">
      <c r="A278" s="135" t="s">
        <v>5607</v>
      </c>
      <c r="B278" s="136" t="s">
        <v>5608</v>
      </c>
      <c r="C278" s="136" t="s">
        <v>5609</v>
      </c>
      <c r="D278" s="136" t="s">
        <v>5610</v>
      </c>
      <c r="E278" s="136">
        <v>2025.0</v>
      </c>
      <c r="F278" s="136" t="s">
        <v>5598</v>
      </c>
      <c r="G278" s="136" t="s">
        <v>5646</v>
      </c>
      <c r="H278" s="136" t="s">
        <v>6222</v>
      </c>
      <c r="I278" s="136" t="s">
        <v>4043</v>
      </c>
      <c r="J278" s="136" t="s">
        <v>6223</v>
      </c>
      <c r="K278" s="136">
        <v>73.0</v>
      </c>
      <c r="L278" s="136">
        <v>70.0</v>
      </c>
      <c r="M278" s="136">
        <v>38.66667</v>
      </c>
      <c r="N278" s="136">
        <v>0.0</v>
      </c>
      <c r="O278" s="136">
        <v>38.66667</v>
      </c>
      <c r="P278" s="136">
        <v>100.0</v>
      </c>
      <c r="Q278" s="136">
        <v>38.66667</v>
      </c>
      <c r="R278" s="136" t="s">
        <v>4045</v>
      </c>
      <c r="S278" s="136">
        <v>46.37681</v>
      </c>
      <c r="T278" s="136">
        <v>1.0</v>
      </c>
      <c r="U278" s="138">
        <v>45747.75366898148</v>
      </c>
      <c r="V278" s="139"/>
      <c r="W278" s="141"/>
      <c r="X278" s="141"/>
      <c r="Y278" s="141"/>
      <c r="Z278" s="141"/>
    </row>
    <row r="279">
      <c r="A279" s="135" t="s">
        <v>5612</v>
      </c>
      <c r="B279" s="136" t="s">
        <v>5613</v>
      </c>
      <c r="C279" s="136" t="s">
        <v>5614</v>
      </c>
      <c r="D279" s="136" t="s">
        <v>5615</v>
      </c>
      <c r="E279" s="136">
        <v>2025.0</v>
      </c>
      <c r="F279" s="136" t="s">
        <v>5598</v>
      </c>
      <c r="G279" s="136" t="s">
        <v>5646</v>
      </c>
      <c r="H279" s="136" t="s">
        <v>6224</v>
      </c>
      <c r="I279" s="136" t="s">
        <v>4043</v>
      </c>
      <c r="J279" s="136" t="s">
        <v>6225</v>
      </c>
      <c r="K279" s="136">
        <v>73.0</v>
      </c>
      <c r="L279" s="136">
        <v>65.0</v>
      </c>
      <c r="M279" s="136">
        <v>15.0</v>
      </c>
      <c r="N279" s="136">
        <v>0.0</v>
      </c>
      <c r="O279" s="136">
        <v>15.0</v>
      </c>
      <c r="P279" s="136">
        <v>100.0</v>
      </c>
      <c r="Q279" s="136">
        <v>15.0</v>
      </c>
      <c r="R279" s="136" t="s">
        <v>4045</v>
      </c>
      <c r="S279" s="136">
        <v>23.07692</v>
      </c>
      <c r="T279" s="136">
        <v>1.0</v>
      </c>
      <c r="U279" s="138">
        <v>45748.63214120371</v>
      </c>
      <c r="V279" s="139"/>
      <c r="W279" s="141"/>
      <c r="X279" s="141"/>
      <c r="Y279" s="141"/>
      <c r="Z279" s="141"/>
    </row>
    <row r="280">
      <c r="A280" s="135" t="s">
        <v>5618</v>
      </c>
      <c r="B280" s="136" t="s">
        <v>5619</v>
      </c>
      <c r="C280" s="136" t="s">
        <v>5620</v>
      </c>
      <c r="D280" s="136" t="s">
        <v>5621</v>
      </c>
      <c r="E280" s="136">
        <v>2025.0</v>
      </c>
      <c r="F280" s="136" t="s">
        <v>5598</v>
      </c>
      <c r="G280" s="136" t="s">
        <v>5646</v>
      </c>
      <c r="H280" s="136" t="s">
        <v>6226</v>
      </c>
      <c r="I280" s="136" t="s">
        <v>4043</v>
      </c>
      <c r="J280" s="136" t="s">
        <v>5469</v>
      </c>
      <c r="K280" s="136">
        <v>73.0</v>
      </c>
      <c r="L280" s="136">
        <v>70.0</v>
      </c>
      <c r="M280" s="136">
        <v>21.0</v>
      </c>
      <c r="N280" s="136">
        <v>0.0</v>
      </c>
      <c r="O280" s="136">
        <v>21.0</v>
      </c>
      <c r="P280" s="136">
        <v>100.0</v>
      </c>
      <c r="Q280" s="136">
        <v>21.0</v>
      </c>
      <c r="R280" s="136" t="s">
        <v>4045</v>
      </c>
      <c r="S280" s="136">
        <v>30.0</v>
      </c>
      <c r="T280" s="136">
        <v>1.0</v>
      </c>
      <c r="U280" s="138">
        <v>45747.37479166667</v>
      </c>
      <c r="V280" s="139"/>
      <c r="W280" s="141"/>
      <c r="X280" s="141"/>
      <c r="Y280" s="141"/>
      <c r="Z280" s="141"/>
    </row>
    <row r="281">
      <c r="A281" s="135" t="s">
        <v>5594</v>
      </c>
      <c r="B281" s="136" t="s">
        <v>5595</v>
      </c>
      <c r="C281" s="136" t="s">
        <v>5596</v>
      </c>
      <c r="D281" s="136" t="s">
        <v>5597</v>
      </c>
      <c r="E281" s="136">
        <v>2025.0</v>
      </c>
      <c r="F281" s="136" t="s">
        <v>5598</v>
      </c>
      <c r="G281" s="136" t="s">
        <v>5646</v>
      </c>
      <c r="H281" s="136" t="s">
        <v>6227</v>
      </c>
      <c r="I281" s="136" t="s">
        <v>4043</v>
      </c>
      <c r="J281" s="136" t="s">
        <v>4965</v>
      </c>
      <c r="K281" s="136">
        <v>73.0</v>
      </c>
      <c r="L281" s="136">
        <v>69.0</v>
      </c>
      <c r="M281" s="136">
        <v>31.0</v>
      </c>
      <c r="N281" s="136">
        <v>0.0</v>
      </c>
      <c r="O281" s="136">
        <v>31.0</v>
      </c>
      <c r="P281" s="136">
        <v>100.0</v>
      </c>
      <c r="Q281" s="136">
        <v>31.0</v>
      </c>
      <c r="R281" s="136" t="s">
        <v>4045</v>
      </c>
      <c r="S281" s="136">
        <v>38.23529</v>
      </c>
      <c r="T281" s="136">
        <v>2.0</v>
      </c>
      <c r="U281" s="138">
        <v>45748.62630787037</v>
      </c>
      <c r="V281" s="141"/>
      <c r="W281" s="141"/>
      <c r="X281" s="141"/>
      <c r="Y281" s="141"/>
      <c r="Z281" s="141"/>
    </row>
    <row r="282">
      <c r="A282" s="135" t="s">
        <v>5624</v>
      </c>
      <c r="B282" s="136" t="s">
        <v>5625</v>
      </c>
      <c r="C282" s="136" t="s">
        <v>5626</v>
      </c>
      <c r="D282" s="136" t="s">
        <v>5627</v>
      </c>
      <c r="E282" s="136">
        <v>2025.0</v>
      </c>
      <c r="F282" s="136" t="s">
        <v>5598</v>
      </c>
      <c r="G282" s="136" t="s">
        <v>5646</v>
      </c>
      <c r="H282" s="136" t="s">
        <v>6228</v>
      </c>
      <c r="I282" s="136" t="s">
        <v>4043</v>
      </c>
      <c r="J282" s="136" t="s">
        <v>6229</v>
      </c>
      <c r="K282" s="136">
        <v>73.0</v>
      </c>
      <c r="L282" s="136">
        <v>72.0</v>
      </c>
      <c r="M282" s="136">
        <v>20.53333</v>
      </c>
      <c r="N282" s="136">
        <v>0.0</v>
      </c>
      <c r="O282" s="136">
        <v>20.53333</v>
      </c>
      <c r="P282" s="136">
        <v>100.0</v>
      </c>
      <c r="Q282" s="136">
        <v>20.53333</v>
      </c>
      <c r="R282" s="136" t="s">
        <v>4045</v>
      </c>
      <c r="S282" s="136">
        <v>19.44444</v>
      </c>
      <c r="T282" s="136">
        <v>3.0</v>
      </c>
      <c r="U282" s="138">
        <v>45748.7608912037</v>
      </c>
      <c r="V282" s="141"/>
      <c r="W282" s="141"/>
      <c r="X282" s="141"/>
      <c r="Y282" s="141"/>
      <c r="Z282" s="141"/>
    </row>
    <row r="283">
      <c r="A283" s="135" t="s">
        <v>5630</v>
      </c>
      <c r="B283" s="136" t="s">
        <v>5631</v>
      </c>
      <c r="C283" s="136" t="s">
        <v>5632</v>
      </c>
      <c r="D283" s="136" t="s">
        <v>5633</v>
      </c>
      <c r="E283" s="136">
        <v>2025.0</v>
      </c>
      <c r="F283" s="136" t="s">
        <v>5598</v>
      </c>
      <c r="G283" s="136" t="s">
        <v>5646</v>
      </c>
      <c r="H283" s="136" t="s">
        <v>6230</v>
      </c>
      <c r="I283" s="136" t="s">
        <v>4043</v>
      </c>
      <c r="J283" s="136" t="s">
        <v>4153</v>
      </c>
      <c r="K283" s="136">
        <v>73.0</v>
      </c>
      <c r="L283" s="136">
        <v>0.0</v>
      </c>
      <c r="M283" s="136">
        <v>0.0</v>
      </c>
      <c r="N283" s="136">
        <v>0.0</v>
      </c>
      <c r="O283" s="136">
        <v>0.0</v>
      </c>
      <c r="P283" s="136">
        <v>100.0</v>
      </c>
      <c r="Q283" s="136">
        <v>0.0</v>
      </c>
      <c r="R283" s="136" t="s">
        <v>4045</v>
      </c>
      <c r="S283" s="136">
        <v>0.0</v>
      </c>
      <c r="T283" s="136">
        <v>1.0</v>
      </c>
      <c r="U283" s="138">
        <v>45747.730775462966</v>
      </c>
      <c r="V283" s="141"/>
      <c r="W283" s="141"/>
      <c r="X283" s="141"/>
      <c r="Y283" s="141"/>
      <c r="Z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86"/>
    <col customWidth="1" min="3" max="3" width="36.71"/>
    <col customWidth="1" min="12" max="12" width="17.57"/>
    <col customWidth="1" min="18" max="18" width="15.29"/>
  </cols>
  <sheetData>
    <row r="1" ht="141.0" customHeight="1">
      <c r="A1" s="142"/>
      <c r="B1" s="143" t="s">
        <v>6231</v>
      </c>
      <c r="C1" s="143" t="s">
        <v>6232</v>
      </c>
      <c r="D1" s="143" t="s">
        <v>6233</v>
      </c>
      <c r="E1" s="143" t="s">
        <v>30</v>
      </c>
      <c r="F1" s="143" t="s">
        <v>31</v>
      </c>
      <c r="G1" s="143" t="s">
        <v>6234</v>
      </c>
      <c r="H1" s="143" t="s">
        <v>6235</v>
      </c>
      <c r="I1" s="143" t="s">
        <v>6236</v>
      </c>
      <c r="J1" s="143" t="s">
        <v>6237</v>
      </c>
      <c r="K1" s="143" t="s">
        <v>6238</v>
      </c>
      <c r="L1" s="143" t="s">
        <v>6239</v>
      </c>
      <c r="M1" s="143" t="s">
        <v>6240</v>
      </c>
      <c r="N1" s="143" t="s">
        <v>6241</v>
      </c>
      <c r="O1" s="143" t="s">
        <v>6242</v>
      </c>
      <c r="P1" s="143" t="s">
        <v>6243</v>
      </c>
      <c r="Q1" s="143" t="s">
        <v>6244</v>
      </c>
      <c r="R1" s="143" t="s">
        <v>6245</v>
      </c>
      <c r="S1" s="143" t="s">
        <v>6246</v>
      </c>
      <c r="T1" s="143" t="s">
        <v>6247</v>
      </c>
      <c r="U1" s="143" t="s">
        <v>6248</v>
      </c>
      <c r="V1" s="143" t="s">
        <v>6249</v>
      </c>
      <c r="W1" s="143" t="s">
        <v>6250</v>
      </c>
      <c r="X1" s="144"/>
      <c r="Y1" s="144"/>
      <c r="Z1" s="144"/>
      <c r="AA1" s="144"/>
      <c r="AB1" s="144"/>
      <c r="AC1" s="144"/>
      <c r="AD1" s="144"/>
      <c r="AE1" s="144"/>
      <c r="AF1" s="144"/>
    </row>
    <row r="2">
      <c r="A2" s="143" t="s">
        <v>14</v>
      </c>
      <c r="B2" s="142">
        <f>COUNTIF('Cagemini data'!$F$2:$F$115,A2)</f>
        <v>29</v>
      </c>
      <c r="C2" s="142">
        <f t="shared" ref="C2:C6" si="1">B2-D2</f>
        <v>2</v>
      </c>
      <c r="D2" s="142">
        <f>COUNTIFS('Cagemini data'!F:F,A2,'Cagemini data'!N:N,"-")</f>
        <v>27</v>
      </c>
      <c r="E2" s="142">
        <f>COUNTIFS('Cagemini data'!F:F,A2,'Cagemini data'!AJ:AJ,"&lt;&gt;0")</f>
        <v>17</v>
      </c>
      <c r="F2" s="142">
        <f t="shared" ref="F2:F7" si="2">B2-E2</f>
        <v>12</v>
      </c>
      <c r="G2" s="142">
        <f>COUNTIFS('Cagemini data'!F:F,A2,'Cagemini data'!AB:AB,"0")</f>
        <v>22</v>
      </c>
      <c r="H2" s="142">
        <f>COUNTIFS('Cagemini data'!F:F,A2,'Cagemini data'!AB:AB,"1")</f>
        <v>5</v>
      </c>
      <c r="I2" s="142">
        <f>COUNTIFS('Cagemini data'!F:F,A2,'Cagemini data'!AB:AB,"&gt;=2")</f>
        <v>2</v>
      </c>
      <c r="J2" s="142">
        <f>COUNTIFS('Cagemini data'!F:F,A2,'Cagemini data'!G:G,$K$12)</f>
        <v>10</v>
      </c>
      <c r="K2" s="142">
        <f>COUNTIFS('Cagemini data'!F:F,A2,'Cagemini data'!G:G,$K$12,'Cagemini data'!AJ:AJ,"&lt;&gt;0")</f>
        <v>5</v>
      </c>
      <c r="L2" s="142">
        <f>COUNTIFS('Cagemini data'!F:F,A2,'Cagemini data'!G:G,$K$12,'Cagemini data'!AJ:AJ,"0")</f>
        <v>0</v>
      </c>
      <c r="M2" s="142">
        <f>COUNTIFS('Cagemini data'!F:F,A2,'Cagemini data'!G:G,$K$12,'Cagemini data'!K:K,"&gt;=9")</f>
        <v>0</v>
      </c>
      <c r="N2" s="142">
        <f>COUNTIFS('Cagemini data'!F:F,A2,'Cagemini data'!G:G,$K$12,'Cagemini data'!K:K,"&gt;=8",'Cagemini data'!K:K,"&lt;=8.9")</f>
        <v>2</v>
      </c>
      <c r="O2" s="142">
        <f>COUNTIFS('Cagemini data'!F:F,A2,'Cagemini data'!G:G,$K$12,'Cagemini data'!K:K,"&gt;=7",'Cagemini data'!K:K,"&lt;=7.9")</f>
        <v>4</v>
      </c>
      <c r="P2" s="142">
        <f>COUNTIFS('Cagemini data'!F:F,A2,'Cagemini data'!AB:AB,"&lt;&gt;0",'Cagemini data'!G:G,$K$12)</f>
        <v>4</v>
      </c>
      <c r="Q2" s="142">
        <f>COUNTIFS('Cagemini data'!F:F,A2,'Cagemini data'!G:G,$K$13)</f>
        <v>19</v>
      </c>
      <c r="R2" s="142">
        <f t="shared" ref="R2:R7" si="3">Q2-S2</f>
        <v>19</v>
      </c>
      <c r="S2" s="142">
        <f>COUNTIFS('Cagemini data'!F:F,A2,'Cagemini data'!G:G,$K$13,'Cagemini data'!AJ:AJ,"0")</f>
        <v>0</v>
      </c>
      <c r="T2" s="142">
        <f>COUNTIFS('Cagemini data'!F:F,A2,'Cagemini data'!G:G,$K$13,'Cagemini data'!K:K,"&gt;=9")</f>
        <v>1</v>
      </c>
      <c r="U2" s="142">
        <f>COUNTIFS('Cagemini data'!F:F,A2,'Cagemini data'!G:G,$K$13,'Cagemini data'!K:K,"&gt;=8",'Cagemini data'!K:K,"&lt;=8.9")</f>
        <v>8</v>
      </c>
      <c r="V2" s="142">
        <f>COUNTIFS('Cagemini data'!F:F,A2,'Cagemini data'!G:G,$K$13,'Cagemini data'!K:K,"&gt;=7",'Cagemini data'!K:K,"&lt;=7.9")</f>
        <v>6</v>
      </c>
      <c r="W2" s="142">
        <f>COUNTIFS('Cagemini data'!F:F,A2,'Cagemini data'!AB:AB,"&lt;&gt;0",'Cagemini data'!G:G,$K$13)</f>
        <v>3</v>
      </c>
      <c r="X2" s="144"/>
      <c r="Y2" s="144"/>
      <c r="Z2" s="144"/>
      <c r="AA2" s="144"/>
      <c r="AB2" s="144"/>
      <c r="AC2" s="144"/>
      <c r="AD2" s="144"/>
      <c r="AE2" s="144"/>
      <c r="AF2" s="144"/>
    </row>
    <row r="3">
      <c r="A3" s="143" t="s">
        <v>15</v>
      </c>
      <c r="B3" s="142">
        <f>COUNTIF('Cagemini data'!$F$2:$F$115,A3)</f>
        <v>21</v>
      </c>
      <c r="C3" s="142">
        <f t="shared" si="1"/>
        <v>0</v>
      </c>
      <c r="D3" s="142">
        <f>COUNTIFS('Cagemini data'!F:F,A3,'Cagemini data'!N:N,"-")</f>
        <v>21</v>
      </c>
      <c r="E3" s="142">
        <f>COUNTIFS('Cagemini data'!F:F,A3,'Cagemini data'!AJ:AJ,"&lt;&gt;0")</f>
        <v>12</v>
      </c>
      <c r="F3" s="142">
        <f t="shared" si="2"/>
        <v>9</v>
      </c>
      <c r="G3" s="142">
        <f>COUNTIFS('Cagemini data'!F:F,A3,'Cagemini data'!AB:AB,"0")</f>
        <v>19</v>
      </c>
      <c r="H3" s="142">
        <f>COUNTIFS('Cagemini data'!F:F,A3,'Cagemini data'!AB:AB,"1")</f>
        <v>2</v>
      </c>
      <c r="I3" s="142">
        <f>COUNTIFS('Cagemini data'!F:F,A3,'Cagemini data'!AB:AB,"&gt;=2")</f>
        <v>0</v>
      </c>
      <c r="J3" s="142">
        <f>COUNTIFS('Cagemini data'!F:F,A3,'Cagemini data'!G:G,$K$12)</f>
        <v>6</v>
      </c>
      <c r="K3" s="142">
        <f>COUNTIFS('Cagemini data'!F:F,A3,'Cagemini data'!G:G,$K$12,'Cagemini data'!AJ:AJ,"&lt;&gt;0")</f>
        <v>3</v>
      </c>
      <c r="L3" s="142">
        <f>COUNTIFS('Cagemini data'!F:F,A3,'Cagemini data'!G:G,$K$12,'Cagemini data'!AJ:AJ,"0")</f>
        <v>0</v>
      </c>
      <c r="M3" s="142">
        <f>COUNTIFS('Cagemini data'!F:F,A3,'Cagemini data'!G:G,$K$12,'Cagemini data'!K:K,"&gt;=9")</f>
        <v>0</v>
      </c>
      <c r="N3" s="142">
        <f>COUNTIFS('Cagemini data'!F:F,A3,'Cagemini data'!G:G,$K$12,'Cagemini data'!K:K,"&gt;=8",'Cagemini data'!K:K,"&lt;=8.9")</f>
        <v>1</v>
      </c>
      <c r="O3" s="142">
        <f>COUNTIFS('Cagemini data'!F:F,A3,'Cagemini data'!G:G,$K$12,'Cagemini data'!K:K,"&gt;=7",'Cagemini data'!K:K,"&lt;=7.9")</f>
        <v>4</v>
      </c>
      <c r="P3" s="142">
        <f>COUNTIFS('Cagemini data'!F:F,A3,'Cagemini data'!AB:AB,"&lt;&gt;0",'Cagemini data'!G:G,$K$12)</f>
        <v>0</v>
      </c>
      <c r="Q3" s="142">
        <f>COUNTIFS('Cagemini data'!F:F,A3,'Cagemini data'!G:G,$K$13)</f>
        <v>15</v>
      </c>
      <c r="R3" s="142">
        <f t="shared" si="3"/>
        <v>15</v>
      </c>
      <c r="S3" s="142">
        <f>COUNTIFS('Cagemini data'!F:F,A3,'Cagemini data'!G:G,$K$13,'Cagemini data'!AJ:AJ,"0")</f>
        <v>0</v>
      </c>
      <c r="T3" s="142">
        <f>COUNTIFS('Cagemini data'!F:F,A3,'Cagemini data'!G:G,$K$13,'Cagemini data'!K:K,"&gt;=9")</f>
        <v>1</v>
      </c>
      <c r="U3" s="142">
        <f>COUNTIFS('Cagemini data'!F:F,A3,'Cagemini data'!G:G,$K$13,'Cagemini data'!K:K,"&gt;=8",'Cagemini data'!K:K,"&lt;=8.9")</f>
        <v>5</v>
      </c>
      <c r="V3" s="142">
        <f>COUNTIFS('Cagemini data'!F:F,A3,'Cagemini data'!G:G,$K$13,'Cagemini data'!K:K,"&gt;=7",'Cagemini data'!K:K,"&lt;=7.9")</f>
        <v>3</v>
      </c>
      <c r="W3" s="142">
        <f>COUNTIFS('Cagemini data'!F:F,A3,'Cagemini data'!AB:AB,"&lt;&gt;0",'Cagemini data'!G:G,$K$13)</f>
        <v>2</v>
      </c>
      <c r="X3" s="144"/>
      <c r="Y3" s="144"/>
      <c r="Z3" s="144"/>
      <c r="AA3" s="144"/>
      <c r="AB3" s="144"/>
      <c r="AC3" s="144"/>
      <c r="AD3" s="144"/>
      <c r="AE3" s="144"/>
      <c r="AF3" s="144"/>
    </row>
    <row r="4">
      <c r="A4" s="143" t="s">
        <v>16</v>
      </c>
      <c r="B4" s="142">
        <f>COUNTIF('Cagemini data'!$F$2:$F$115,A4)</f>
        <v>17</v>
      </c>
      <c r="C4" s="142">
        <f t="shared" si="1"/>
        <v>0</v>
      </c>
      <c r="D4" s="142">
        <f>COUNTIFS('Cagemini data'!F:F,A4,'Cagemini data'!N:N,"-")</f>
        <v>17</v>
      </c>
      <c r="E4" s="142">
        <f>COUNTIFS('Cagemini data'!F:F,A4,'Cagemini data'!AJ:AJ,"&lt;&gt;0")</f>
        <v>9</v>
      </c>
      <c r="F4" s="142">
        <f t="shared" si="2"/>
        <v>8</v>
      </c>
      <c r="G4" s="142">
        <f>COUNTIFS('Cagemini data'!F:F,A4,'Cagemini data'!AB:AB,"0")</f>
        <v>11</v>
      </c>
      <c r="H4" s="142">
        <f>COUNTIFS('Cagemini data'!F:F,A4,'Cagemini data'!AB:AB,"1")</f>
        <v>5</v>
      </c>
      <c r="I4" s="142">
        <f>COUNTIFS('Cagemini data'!F:F,A4,'Cagemini data'!AB:AB,"&gt;=2")</f>
        <v>1</v>
      </c>
      <c r="J4" s="142">
        <f>COUNTIFS('Cagemini data'!F:F,A4,'Cagemini data'!G:G,$K$12)</f>
        <v>6</v>
      </c>
      <c r="K4" s="142">
        <f>COUNTIFS('Cagemini data'!F:F,A4,'Cagemini data'!G:G,$K$12,'Cagemini data'!AJ:AJ,"&lt;&gt;0")</f>
        <v>2</v>
      </c>
      <c r="L4" s="142">
        <f>COUNTIFS('Cagemini data'!F:F,A4,'Cagemini data'!G:G,$K$12,'Cagemini data'!AJ:AJ,"0")</f>
        <v>0</v>
      </c>
      <c r="M4" s="142">
        <f>COUNTIFS('Cagemini data'!F:F,A4,'Cagemini data'!G:G,$K$12,'Cagemini data'!K:K,"&gt;=9")</f>
        <v>0</v>
      </c>
      <c r="N4" s="142">
        <f>COUNTIFS('Cagemini data'!F:F,A4,'Cagemini data'!G:G,$K$12,'Cagemini data'!K:K,"&gt;=8",'Cagemini data'!K:K,"&lt;=8.9")</f>
        <v>0</v>
      </c>
      <c r="O4" s="142">
        <f>COUNTIFS('Cagemini data'!F:F,A4,'Cagemini data'!G:G,$K$12,'Cagemini data'!K:K,"&gt;=7",'Cagemini data'!K:K,"&lt;=7.9")</f>
        <v>4</v>
      </c>
      <c r="P4" s="142">
        <f>COUNTIFS('Cagemini data'!F:F,A4,'Cagemini data'!AB:AB,"&lt;&gt;0",'Cagemini data'!G:G,$K$12)</f>
        <v>2</v>
      </c>
      <c r="Q4" s="142">
        <f>COUNTIFS('Cagemini data'!F:F,A4,'Cagemini data'!G:G,$K$13)</f>
        <v>11</v>
      </c>
      <c r="R4" s="142">
        <f t="shared" si="3"/>
        <v>11</v>
      </c>
      <c r="S4" s="142">
        <f>COUNTIFS('Cagemini data'!F:F,A4,'Cagemini data'!G:G,$K$13,'Cagemini data'!AJ:AJ,"0")</f>
        <v>0</v>
      </c>
      <c r="T4" s="142">
        <f>COUNTIFS('Cagemini data'!F:F,A4,'Cagemini data'!G:G,$K$13,'Cagemini data'!K:K,"&gt;=9")</f>
        <v>1</v>
      </c>
      <c r="U4" s="142">
        <f>COUNTIFS('Cagemini data'!F:F,A4,'Cagemini data'!G:G,$K$13,'Cagemini data'!K:K,"&gt;=8",'Cagemini data'!K:K,"&lt;=8.9")</f>
        <v>4</v>
      </c>
      <c r="V4" s="142">
        <f>COUNTIFS('Cagemini data'!F:F,A4,'Cagemini data'!G:G,$K$13,'Cagemini data'!K:K,"&gt;=7",'Cagemini data'!K:K,"&lt;=7.9")</f>
        <v>2</v>
      </c>
      <c r="W4" s="142">
        <f>COUNTIFS('Cagemini data'!F:F,A4,'Cagemini data'!AB:AB,"&lt;&gt;0",'Cagemini data'!G:G,$K$13)</f>
        <v>4</v>
      </c>
      <c r="X4" s="144"/>
      <c r="Y4" s="144"/>
      <c r="Z4" s="144"/>
      <c r="AA4" s="144"/>
      <c r="AB4" s="144"/>
      <c r="AC4" s="144"/>
      <c r="AD4" s="144"/>
      <c r="AE4" s="144"/>
      <c r="AF4" s="144"/>
    </row>
    <row r="5">
      <c r="A5" s="143" t="s">
        <v>17</v>
      </c>
      <c r="B5" s="142">
        <f>COUNTIF('Cagemini data'!$F$2:$F$115,A5)</f>
        <v>26</v>
      </c>
      <c r="C5" s="142">
        <f t="shared" si="1"/>
        <v>1</v>
      </c>
      <c r="D5" s="142">
        <f>COUNTIFS('Cagemini data'!F:F,A5,'Cagemini data'!N:N,"-")</f>
        <v>25</v>
      </c>
      <c r="E5" s="142">
        <f>COUNTIFS('Cagemini data'!F:F,A5,'Cagemini data'!AJ:AJ,"&lt;&gt;0")</f>
        <v>13</v>
      </c>
      <c r="F5" s="142">
        <f t="shared" si="2"/>
        <v>13</v>
      </c>
      <c r="G5" s="142">
        <f>COUNTIFS('Cagemini data'!F:F,A5,'Cagemini data'!AB:AB,"0")</f>
        <v>21</v>
      </c>
      <c r="H5" s="142">
        <f>COUNTIFS('Cagemini data'!F:F,A5,'Cagemini data'!AB:AB,"1")</f>
        <v>4</v>
      </c>
      <c r="I5" s="142">
        <f>COUNTIFS('Cagemini data'!F:F,A5,'Cagemini data'!AB:AB,"&gt;=2")</f>
        <v>1</v>
      </c>
      <c r="J5" s="142">
        <f>COUNTIFS('Cagemini data'!F:F,A5,'Cagemini data'!G:G,$K$12)</f>
        <v>8</v>
      </c>
      <c r="K5" s="142">
        <f>COUNTIFS('Cagemini data'!F:F,A5,'Cagemini data'!G:G,$K$12,'Cagemini data'!AJ:AJ,"&lt;&gt;0")</f>
        <v>4</v>
      </c>
      <c r="L5" s="142">
        <f>COUNTIFS('Cagemini data'!F:F,A5,'Cagemini data'!G:G,$K$12,'Cagemini data'!AJ:AJ,"0")</f>
        <v>0</v>
      </c>
      <c r="M5" s="142">
        <f>COUNTIFS('Cagemini data'!F:F,A5,'Cagemini data'!G:G,$K$12,'Cagemini data'!K:K,"&gt;=9")</f>
        <v>0</v>
      </c>
      <c r="N5" s="142">
        <f>COUNTIFS('Cagemini data'!F:F,A5,'Cagemini data'!G:G,$K$12,'Cagemini data'!K:K,"&gt;=8",'Cagemini data'!K:K,"&lt;=8.9")</f>
        <v>3</v>
      </c>
      <c r="O5" s="142">
        <f>COUNTIFS('Cagemini data'!F:F,A5,'Cagemini data'!G:G,$K$12,'Cagemini data'!K:K,"&gt;=7",'Cagemini data'!K:K,"&lt;=7.9")</f>
        <v>4</v>
      </c>
      <c r="P5" s="142">
        <f>COUNTIFS('Cagemini data'!F:F,A5,'Cagemini data'!AB:AB,"&lt;&gt;0",'Cagemini data'!G:G,$K$12)</f>
        <v>1</v>
      </c>
      <c r="Q5" s="142">
        <f>COUNTIFS('Cagemini data'!F:F,A5,'Cagemini data'!G:G,$K$13)</f>
        <v>18</v>
      </c>
      <c r="R5" s="142">
        <f t="shared" si="3"/>
        <v>18</v>
      </c>
      <c r="S5" s="142">
        <f>COUNTIFS('Cagemini data'!F:F,A5,'Cagemini data'!G:G,$K$13,'Cagemini data'!AJ:AJ,"0")</f>
        <v>0</v>
      </c>
      <c r="T5" s="142">
        <f>COUNTIFS('Cagemini data'!F:F,A5,'Cagemini data'!G:G,$K$13,'Cagemini data'!K:K,"&gt;=9")</f>
        <v>0</v>
      </c>
      <c r="U5" s="142">
        <f>COUNTIFS('Cagemini data'!F:F,A5,'Cagemini data'!G:G,$K$13,'Cagemini data'!K:K,"&gt;=8",'Cagemini data'!K:K,"&lt;=8.9")</f>
        <v>5</v>
      </c>
      <c r="V5" s="142">
        <f>COUNTIFS('Cagemini data'!F:F,A5,'Cagemini data'!G:G,$K$13,'Cagemini data'!K:K,"&gt;=7",'Cagemini data'!K:K,"&lt;=7.9")</f>
        <v>7</v>
      </c>
      <c r="W5" s="142">
        <f>COUNTIFS('Cagemini data'!F:F,A5,'Cagemini data'!AB:AB,"&lt;&gt;0",'Cagemini data'!G:G,$K$13)</f>
        <v>4</v>
      </c>
      <c r="X5" s="144"/>
      <c r="Y5" s="144"/>
      <c r="Z5" s="144"/>
      <c r="AA5" s="144"/>
      <c r="AB5" s="144"/>
      <c r="AC5" s="144"/>
      <c r="AD5" s="144"/>
      <c r="AE5" s="144"/>
      <c r="AF5" s="144"/>
    </row>
    <row r="6">
      <c r="A6" s="143" t="s">
        <v>18</v>
      </c>
      <c r="B6" s="142">
        <f>COUNTIF('Cagemini data'!$F$2:$F$115,A6)</f>
        <v>20</v>
      </c>
      <c r="C6" s="142">
        <f t="shared" si="1"/>
        <v>0</v>
      </c>
      <c r="D6" s="142">
        <f>COUNTIFS('Cagemini data'!F:F,A6,'Cagemini data'!N:N,"-")</f>
        <v>20</v>
      </c>
      <c r="E6" s="142">
        <f>COUNTIFS('Cagemini data'!F:F,A6,'Cagemini data'!AJ:AJ,"&lt;&gt;0")</f>
        <v>11</v>
      </c>
      <c r="F6" s="142">
        <f t="shared" si="2"/>
        <v>9</v>
      </c>
      <c r="G6" s="142">
        <f>COUNTIFS('Cagemini data'!F:F,A6,'Cagemini data'!AB:AB,"0")</f>
        <v>18</v>
      </c>
      <c r="H6" s="142">
        <f>COUNTIFS('Cagemini data'!F:F,A6,'Cagemini data'!AB:AB,"1")</f>
        <v>2</v>
      </c>
      <c r="I6" s="142">
        <f>COUNTIFS('Cagemini data'!F:F,A6,'Cagemini data'!AB:AB,"&gt;=2")</f>
        <v>0</v>
      </c>
      <c r="J6" s="142">
        <f>COUNTIFS('Cagemini data'!F:F,A6,'Cagemini data'!G:G,$K$12)</f>
        <v>6</v>
      </c>
      <c r="K6" s="142">
        <f>COUNTIFS('Cagemini data'!F:F,A6,'Cagemini data'!G:G,$K$12,'Cagemini data'!AJ:AJ,"&lt;&gt;0")</f>
        <v>4</v>
      </c>
      <c r="L6" s="142">
        <f>COUNTIFS('Cagemini data'!F:F,A6,'Cagemini data'!G:G,$K$12,'Cagemini data'!AJ:AJ,"0")</f>
        <v>0</v>
      </c>
      <c r="M6" s="142">
        <f>COUNTIFS('Cagemini data'!F:F,A6,'Cagemini data'!G:G,$K$12,'Cagemini data'!K:K,"&gt;=9")</f>
        <v>0</v>
      </c>
      <c r="N6" s="142">
        <f>COUNTIFS('Cagemini data'!F:F,A6,'Cagemini data'!G:G,$K$12,'Cagemini data'!K:K,"&gt;=8",'Cagemini data'!K:K,"&lt;=8.9")</f>
        <v>1</v>
      </c>
      <c r="O6" s="142">
        <f>COUNTIFS('Cagemini data'!F:F,A6,'Cagemini data'!G:G,$K$12,'Cagemini data'!K:K,"&gt;=7",'Cagemini data'!K:K,"&lt;=7.9")</f>
        <v>3</v>
      </c>
      <c r="P6" s="142">
        <f>COUNTIFS('Cagemini data'!F:F,A6,'Cagemini data'!AB:AB,"&lt;&gt;0",'Cagemini data'!G:G,$K$12)</f>
        <v>1</v>
      </c>
      <c r="Q6" s="142">
        <f>COUNTIFS('Cagemini data'!F:F,A6,'Cagemini data'!G:G,$K$13)</f>
        <v>14</v>
      </c>
      <c r="R6" s="142">
        <f t="shared" si="3"/>
        <v>14</v>
      </c>
      <c r="S6" s="142">
        <f>COUNTIFS('Cagemini data'!F:F,A6,'Cagemini data'!G:G,$K$13,'Cagemini data'!AJ:AJ,"0")</f>
        <v>0</v>
      </c>
      <c r="T6" s="142">
        <f>COUNTIFS('Cagemini data'!F:F,A6,'Cagemini data'!G:G,$K$13,'Cagemini data'!K:K,"&gt;=9")</f>
        <v>0</v>
      </c>
      <c r="U6" s="142">
        <f>COUNTIFS('Cagemini data'!F:F,A6,'Cagemini data'!G:G,$K$13,'Cagemini data'!K:K,"&gt;=8",'Cagemini data'!K:K,"&lt;=8.9")</f>
        <v>6</v>
      </c>
      <c r="V6" s="142">
        <f>COUNTIFS('Cagemini data'!F:F,A6,'Cagemini data'!G:G,$K$13,'Cagemini data'!K:K,"&gt;=7",'Cagemini data'!K:K,"&lt;=7.9")</f>
        <v>5</v>
      </c>
      <c r="W6" s="142">
        <f>COUNTIFS('Cagemini data'!F:F,A6,'Cagemini data'!AB:AB,"&lt;&gt;0",'Cagemini data'!G:G,$K$13)</f>
        <v>1</v>
      </c>
      <c r="X6" s="144"/>
      <c r="Y6" s="144"/>
      <c r="Z6" s="144"/>
      <c r="AA6" s="144"/>
      <c r="AB6" s="144"/>
      <c r="AC6" s="144"/>
      <c r="AD6" s="144"/>
      <c r="AE6" s="144"/>
      <c r="AF6" s="144"/>
    </row>
    <row r="7">
      <c r="A7" s="143" t="s">
        <v>4029</v>
      </c>
      <c r="B7" s="142">
        <f t="shared" ref="B7:E7" si="4">SUM(B2:B6)</f>
        <v>113</v>
      </c>
      <c r="C7" s="142">
        <f t="shared" si="4"/>
        <v>3</v>
      </c>
      <c r="D7" s="142">
        <f t="shared" si="4"/>
        <v>110</v>
      </c>
      <c r="E7" s="142">
        <f t="shared" si="4"/>
        <v>62</v>
      </c>
      <c r="F7" s="142">
        <f t="shared" si="2"/>
        <v>51</v>
      </c>
      <c r="G7" s="142">
        <f t="shared" ref="G7:Q7" si="5">SUM(G2:G6)</f>
        <v>91</v>
      </c>
      <c r="H7" s="142">
        <f t="shared" si="5"/>
        <v>18</v>
      </c>
      <c r="I7" s="142">
        <f t="shared" si="5"/>
        <v>4</v>
      </c>
      <c r="J7" s="142">
        <f t="shared" si="5"/>
        <v>36</v>
      </c>
      <c r="K7" s="142">
        <f t="shared" si="5"/>
        <v>18</v>
      </c>
      <c r="L7" s="142">
        <f t="shared" si="5"/>
        <v>0</v>
      </c>
      <c r="M7" s="142">
        <f t="shared" si="5"/>
        <v>0</v>
      </c>
      <c r="N7" s="142">
        <f t="shared" si="5"/>
        <v>7</v>
      </c>
      <c r="O7" s="142">
        <f t="shared" si="5"/>
        <v>19</v>
      </c>
      <c r="P7" s="142">
        <f t="shared" si="5"/>
        <v>8</v>
      </c>
      <c r="Q7" s="142">
        <f t="shared" si="5"/>
        <v>77</v>
      </c>
      <c r="R7" s="142">
        <f t="shared" si="3"/>
        <v>77</v>
      </c>
      <c r="S7" s="142">
        <f t="shared" ref="S7:W7" si="6">SUM(S2:S6)</f>
        <v>0</v>
      </c>
      <c r="T7" s="142">
        <f t="shared" si="6"/>
        <v>3</v>
      </c>
      <c r="U7" s="142">
        <f t="shared" si="6"/>
        <v>28</v>
      </c>
      <c r="V7" s="142">
        <f t="shared" si="6"/>
        <v>23</v>
      </c>
      <c r="W7" s="142">
        <f t="shared" si="6"/>
        <v>14</v>
      </c>
      <c r="X7" s="144"/>
      <c r="Y7" s="144"/>
      <c r="Z7" s="144"/>
      <c r="AA7" s="144"/>
      <c r="AB7" s="144"/>
      <c r="AC7" s="144"/>
      <c r="AD7" s="144"/>
      <c r="AE7" s="144"/>
      <c r="AF7" s="144"/>
    </row>
    <row r="8">
      <c r="A8" s="145"/>
      <c r="B8" s="143"/>
      <c r="C8" s="143"/>
      <c r="D8" s="143"/>
      <c r="E8" s="143"/>
      <c r="F8" s="143"/>
      <c r="G8" s="143"/>
      <c r="H8" s="143"/>
      <c r="I8" s="143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</row>
    <row r="9" hidden="1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</row>
    <row r="10" ht="23.25" hidden="1" customHeight="1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</row>
    <row r="11" ht="23.25" hidden="1" customHeight="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</row>
    <row r="12" ht="23.25" customHeight="1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6" t="s">
        <v>28</v>
      </c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6" t="s">
        <v>27</v>
      </c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</row>
    <row r="14">
      <c r="A14" s="147"/>
      <c r="B14" s="147"/>
      <c r="C14" s="147"/>
      <c r="D14" s="147"/>
      <c r="E14" s="145"/>
      <c r="F14" s="145"/>
      <c r="G14" s="145"/>
      <c r="H14" s="145"/>
      <c r="I14" s="145"/>
      <c r="J14" s="145" t="s">
        <v>6251</v>
      </c>
      <c r="Y14" s="147"/>
      <c r="Z14" s="147"/>
      <c r="AA14" s="147"/>
      <c r="AB14" s="147"/>
      <c r="AC14" s="147"/>
      <c r="AD14" s="147"/>
      <c r="AE14" s="147"/>
      <c r="AF14" s="147"/>
    </row>
    <row r="15">
      <c r="A15" s="147"/>
      <c r="B15" s="147"/>
      <c r="C15" s="147"/>
      <c r="D15" s="147"/>
      <c r="E15" s="145" t="s">
        <v>6252</v>
      </c>
      <c r="J15" s="143" t="s">
        <v>6253</v>
      </c>
      <c r="K15" s="143" t="s">
        <v>6254</v>
      </c>
      <c r="L15" s="143" t="s">
        <v>6255</v>
      </c>
      <c r="M15" s="143" t="s">
        <v>6256</v>
      </c>
      <c r="N15" s="143" t="s">
        <v>6257</v>
      </c>
      <c r="O15" s="143" t="s">
        <v>6258</v>
      </c>
      <c r="P15" s="143" t="s">
        <v>6259</v>
      </c>
      <c r="Q15" s="143" t="s">
        <v>6260</v>
      </c>
      <c r="R15" s="143" t="s">
        <v>6261</v>
      </c>
      <c r="S15" s="143" t="s">
        <v>6262</v>
      </c>
      <c r="T15" s="143" t="s">
        <v>6263</v>
      </c>
      <c r="U15" s="143" t="s">
        <v>6264</v>
      </c>
      <c r="V15" s="143" t="s">
        <v>6265</v>
      </c>
      <c r="W15" s="143" t="s">
        <v>6266</v>
      </c>
      <c r="X15" s="143" t="s">
        <v>6267</v>
      </c>
      <c r="Y15" s="147"/>
      <c r="Z15" s="147"/>
      <c r="AA15" s="147"/>
      <c r="AB15" s="147"/>
      <c r="AC15" s="147"/>
      <c r="AD15" s="147"/>
      <c r="AE15" s="147"/>
      <c r="AF15" s="147"/>
    </row>
    <row r="16">
      <c r="A16" s="145" t="s">
        <v>32</v>
      </c>
      <c r="B16" s="143" t="s">
        <v>3466</v>
      </c>
      <c r="C16" s="143" t="s">
        <v>6268</v>
      </c>
      <c r="D16" s="143" t="s">
        <v>6269</v>
      </c>
      <c r="E16" s="143" t="s">
        <v>14</v>
      </c>
      <c r="F16" s="143" t="s">
        <v>15</v>
      </c>
      <c r="G16" s="143" t="s">
        <v>16</v>
      </c>
      <c r="H16" s="143" t="s">
        <v>17</v>
      </c>
      <c r="I16" s="143" t="s">
        <v>18</v>
      </c>
      <c r="J16" s="143" t="s">
        <v>3470</v>
      </c>
      <c r="K16" s="143" t="s">
        <v>3473</v>
      </c>
      <c r="L16" s="143" t="s">
        <v>3477</v>
      </c>
      <c r="M16" s="143" t="s">
        <v>3481</v>
      </c>
      <c r="N16" s="143" t="s">
        <v>3482</v>
      </c>
      <c r="O16" s="143" t="s">
        <v>3483</v>
      </c>
      <c r="P16" s="143" t="s">
        <v>3484</v>
      </c>
      <c r="Q16" s="143" t="s">
        <v>3485</v>
      </c>
      <c r="R16" s="143" t="s">
        <v>3486</v>
      </c>
      <c r="S16" s="143" t="s">
        <v>3488</v>
      </c>
      <c r="T16" s="143" t="s">
        <v>3490</v>
      </c>
      <c r="U16" s="143" t="s">
        <v>3487</v>
      </c>
      <c r="V16" s="143" t="s">
        <v>3491</v>
      </c>
      <c r="W16" s="143" t="s">
        <v>3491</v>
      </c>
      <c r="X16" s="143" t="s">
        <v>3492</v>
      </c>
      <c r="Y16" s="144"/>
      <c r="Z16" s="144"/>
      <c r="AA16" s="144"/>
      <c r="AB16" s="144"/>
      <c r="AC16" s="144"/>
      <c r="AD16" s="144"/>
      <c r="AE16" s="144"/>
      <c r="AF16" s="144"/>
    </row>
    <row r="17" ht="23.25" customHeight="1">
      <c r="A17" s="143">
        <v>1.0</v>
      </c>
      <c r="B17" s="148" t="s">
        <v>6270</v>
      </c>
      <c r="C17" s="149" t="s">
        <v>3474</v>
      </c>
      <c r="D17" s="142">
        <f>COUNTIF('Cagemini data'!H:H,C17)</f>
        <v>10</v>
      </c>
      <c r="E17" s="142">
        <f>COUNTIFS('Cagemini data'!$H:$H,$C$17,'Cagemini data'!$F:$F,E16)</f>
        <v>3</v>
      </c>
      <c r="F17" s="142">
        <f>COUNTIFS('Cagemini data'!$H:$H,$C$17,'Cagemini data'!$F:$F,F16)</f>
        <v>2</v>
      </c>
      <c r="G17" s="142">
        <f>COUNTIFS('Cagemini data'!$H:$H,$C$17,'Cagemini data'!$F:$F,G16)</f>
        <v>2</v>
      </c>
      <c r="H17" s="142">
        <f>COUNTIFS('Cagemini data'!$H:$H,$C$17,'Cagemini data'!$F:$F,H16)</f>
        <v>2</v>
      </c>
      <c r="I17" s="142">
        <f>COUNTIFS('Cagemini data'!$H:$H,$C$17,'Cagemini data'!$F:$F,I16)</f>
        <v>1</v>
      </c>
      <c r="J17" s="142">
        <f>COUNTIFS('Cagemini data'!I:I,J16,'Cagemini data'!$H:$H,$C$17)</f>
        <v>0</v>
      </c>
      <c r="K17" s="142">
        <f>COUNTIFS('Cagemini data'!I:I,K16,'Cagemini data'!$H:$H,$C$17)</f>
        <v>2</v>
      </c>
      <c r="L17" s="142">
        <f>COUNTIFS('Cagemini data'!I:I,L16,'Cagemini data'!$H:$H,$C$17)</f>
        <v>1</v>
      </c>
      <c r="M17" s="142">
        <f>COUNTIFS('Cagemini data'!I:I,M16,'Cagemini data'!$H:$H,$C$17)</f>
        <v>0</v>
      </c>
      <c r="N17" s="142">
        <f>COUNTIFS('Cagemini data'!I:I,N16,'Cagemini data'!$H:$H,$C$17)</f>
        <v>0</v>
      </c>
      <c r="O17" s="142">
        <f>COUNTIFS('Cagemini data'!I:I,O16,'Cagemini data'!$H:$H,$C$17)</f>
        <v>2</v>
      </c>
      <c r="P17" s="142">
        <f>COUNTIFS('Cagemini data'!I:I,P16,'Cagemini data'!$H:$H,$C$17)</f>
        <v>1</v>
      </c>
      <c r="Q17" s="142">
        <f>COUNTIFS('Cagemini data'!I:I,Q16,'Cagemini data'!$H:$H,$C$17)</f>
        <v>0</v>
      </c>
      <c r="R17" s="142">
        <f>COUNTIFS('Cagemini data'!I:I,R16,'Cagemini data'!$H:$H,$C$17)</f>
        <v>1</v>
      </c>
      <c r="S17" s="142">
        <f>COUNTIFS('Cagemini data'!I:I,S16,'Cagemini data'!$H:$H,$C$17)</f>
        <v>1</v>
      </c>
      <c r="T17" s="142">
        <f>COUNTIFS('Cagemini data'!I:I,T16,'Cagemini data'!$H:$H,$C$17)</f>
        <v>1</v>
      </c>
      <c r="U17" s="142">
        <f>COUNTIFS('Cagemini data'!I:I,U16,'Cagemini data'!$H:$H,$C$17)</f>
        <v>0</v>
      </c>
      <c r="V17" s="142">
        <f>COUNTIFS('Cagemini data'!I:I,V16,'Cagemini data'!$H:$H,$C$17)</f>
        <v>1</v>
      </c>
      <c r="W17" s="142">
        <f>COUNTIFS('Cagemini data'!I:I,V16,'Cagemini data'!$H:$H,$C$17)</f>
        <v>1</v>
      </c>
      <c r="X17" s="142">
        <f>COUNTIFS('Cagemini data'!I:I,X16,'Cagemini data'!$H:$H,$C$17)</f>
        <v>0</v>
      </c>
      <c r="Y17" s="144"/>
      <c r="Z17" s="144"/>
      <c r="AA17" s="144"/>
      <c r="AB17" s="144"/>
      <c r="AC17" s="144"/>
      <c r="AD17" s="144"/>
      <c r="AE17" s="144"/>
      <c r="AF17" s="144"/>
    </row>
    <row r="18" ht="23.25" customHeight="1">
      <c r="A18" s="143">
        <v>2.0</v>
      </c>
      <c r="B18" s="148" t="s">
        <v>6271</v>
      </c>
      <c r="C18" s="150" t="s">
        <v>3471</v>
      </c>
      <c r="D18" s="142">
        <f>COUNTIF('Cagemini data'!H:H,C18)</f>
        <v>10</v>
      </c>
      <c r="E18" s="142">
        <f>COUNTIFS('Cagemini data'!$H:$H,C18,'Cagemini data'!$F:$F,E16)</f>
        <v>2</v>
      </c>
      <c r="F18" s="142">
        <f>COUNTIFS('Cagemini data'!$H:$H,C18,'Cagemini data'!$F:$F,F16)</f>
        <v>2</v>
      </c>
      <c r="G18" s="142">
        <f>COUNTIFS('Cagemini data'!$H:$H,C18,'Cagemini data'!$F:$F,G16)</f>
        <v>1</v>
      </c>
      <c r="H18" s="142">
        <f>COUNTIFS('Cagemini data'!$H:$H,C18,'Cagemini data'!$F:$F,H16)</f>
        <v>3</v>
      </c>
      <c r="I18" s="142">
        <f>COUNTIFS('Cagemini data'!$H:$H,C18,'Cagemini data'!$F:$F,I16)</f>
        <v>2</v>
      </c>
      <c r="J18" s="142">
        <f>COUNTIFS('Cagemini data'!I:I,J16,'Cagemini data'!$H:$H,$C$18)</f>
        <v>1</v>
      </c>
      <c r="K18" s="142">
        <f>COUNTIFS('Cagemini data'!I:I,K16,'Cagemini data'!$H:$H,$C$18)</f>
        <v>0</v>
      </c>
      <c r="L18" s="142">
        <f>COUNTIFS('Cagemini data'!I:I,L16,'Cagemini data'!$H:$H,$C$18)</f>
        <v>1</v>
      </c>
      <c r="M18" s="142">
        <f>COUNTIFS('Cagemini data'!I:I,M16,'Cagemini data'!$H:$H,$C$18)</f>
        <v>0</v>
      </c>
      <c r="N18" s="142">
        <f>COUNTIFS('Cagemini data'!I:I,N16,'Cagemini data'!$H:$H,$C$18)</f>
        <v>2</v>
      </c>
      <c r="O18" s="142">
        <f>COUNTIFS('Cagemini data'!I:I,O16,'Cagemini data'!$H:$H,$C$18)</f>
        <v>0</v>
      </c>
      <c r="P18" s="142">
        <f>COUNTIFS('Cagemini data'!I:I,P16,'Cagemini data'!$H:$H,$C$18)</f>
        <v>0</v>
      </c>
      <c r="Q18" s="142">
        <f>COUNTIFS('Cagemini data'!I:I,Q16,'Cagemini data'!$H:$H,$C$18)</f>
        <v>1</v>
      </c>
      <c r="R18" s="142">
        <f>COUNTIFS('Cagemini data'!I:I,R16,'Cagemini data'!$H:$H,$C$18)</f>
        <v>0</v>
      </c>
      <c r="S18" s="142">
        <f>COUNTIFS('Cagemini data'!I:I,S16,'Cagemini data'!$H:$H,$C$18)</f>
        <v>1</v>
      </c>
      <c r="T18" s="142">
        <f>COUNTIFS('Cagemini data'!I:I,T16,'Cagemini data'!$H:$H,$C$18)</f>
        <v>1</v>
      </c>
      <c r="U18" s="142">
        <f>COUNTIFS('Cagemini data'!I:I,U16,'Cagemini data'!$H:$H,$C$18)</f>
        <v>1</v>
      </c>
      <c r="V18" s="142">
        <f>COUNTIFS('Cagemini data'!I:I,V16,'Cagemini data'!$H:$H,$C$18)</f>
        <v>1</v>
      </c>
      <c r="W18" s="142">
        <f>COUNTIFS('Cagemini data'!I:I,V16,'Cagemini data'!$H:$H,$C$18)</f>
        <v>1</v>
      </c>
      <c r="X18" s="142">
        <f>COUNTIFS('Cagemini data'!I:I,X16,'Cagemini data'!$H:$H,$C$18)</f>
        <v>1</v>
      </c>
      <c r="Y18" s="144"/>
      <c r="Z18" s="144"/>
      <c r="AA18" s="144"/>
      <c r="AB18" s="144"/>
      <c r="AC18" s="144"/>
      <c r="AD18" s="144"/>
      <c r="AE18" s="144"/>
      <c r="AF18" s="144"/>
    </row>
    <row r="19">
      <c r="A19" s="143">
        <v>3.0</v>
      </c>
      <c r="B19" s="148" t="s">
        <v>6272</v>
      </c>
      <c r="C19" s="149" t="s">
        <v>3476</v>
      </c>
      <c r="D19" s="142">
        <f>COUNTIF('Cagemini data'!H:H,C19)</f>
        <v>10</v>
      </c>
      <c r="E19" s="142">
        <f>COUNTIFS('Cagemini data'!$H:$H,C19,'Cagemini data'!$F:$F,E16)</f>
        <v>3</v>
      </c>
      <c r="F19" s="142">
        <f>COUNTIFS('Cagemini data'!$H:$H,C19,'Cagemini data'!$F:$F,F16)</f>
        <v>1</v>
      </c>
      <c r="G19" s="142">
        <f>COUNTIFS('Cagemini data'!$H:$H,C19,'Cagemini data'!$F:$F,G16)</f>
        <v>1</v>
      </c>
      <c r="H19" s="142">
        <f>COUNTIFS('Cagemini data'!$H:$H,C19,'Cagemini data'!$F:$F,H16)</f>
        <v>3</v>
      </c>
      <c r="I19" s="142">
        <f>COUNTIFS('Cagemini data'!$H:$H,C19,'Cagemini data'!$F:$F,I16)</f>
        <v>2</v>
      </c>
      <c r="J19" s="142">
        <f>COUNTIFS('Cagemini data'!I:I,J16,'Cagemini data'!$H:$H,$C$19)</f>
        <v>0</v>
      </c>
      <c r="K19" s="142">
        <f>COUNTIFS('Cagemini data'!I:I,K16,'Cagemini data'!$H:$H,$C$19)</f>
        <v>1</v>
      </c>
      <c r="L19" s="142">
        <f>COUNTIFS('Cagemini data'!I:I,L16,'Cagemini data'!$H:$H,$C$19)</f>
        <v>2</v>
      </c>
      <c r="M19" s="142">
        <f>COUNTIFS('Cagemini data'!I:I,M16,'Cagemini data'!$H:$H,$C$19)</f>
        <v>1</v>
      </c>
      <c r="N19" s="142">
        <f>COUNTIFS('Cagemini data'!I:I,N16,'Cagemini data'!$H:$H,$C$19)</f>
        <v>0</v>
      </c>
      <c r="O19" s="142">
        <f>COUNTIFS('Cagemini data'!I:I,O16,'Cagemini data'!$H:$H,$C$19)</f>
        <v>0</v>
      </c>
      <c r="P19" s="142">
        <f>COUNTIFS('Cagemini data'!I:I,P16,'Cagemini data'!$H:$H,$C$19)</f>
        <v>0</v>
      </c>
      <c r="Q19" s="142">
        <f>COUNTIFS('Cagemini data'!I:I,Q16,'Cagemini data'!$H:$H,$C$19)</f>
        <v>0</v>
      </c>
      <c r="R19" s="142">
        <f>COUNTIFS('Cagemini data'!I:I,R16,'Cagemini data'!$H:$H,$C$19)</f>
        <v>1</v>
      </c>
      <c r="S19" s="142">
        <f>COUNTIFS('Cagemini data'!I:I,S16,'Cagemini data'!$H:$H,$C$19)</f>
        <v>3</v>
      </c>
      <c r="T19" s="142">
        <f>COUNTIFS('Cagemini data'!I:I,T16,'Cagemini data'!$H:$H,$C$19)</f>
        <v>0</v>
      </c>
      <c r="U19" s="142">
        <f>COUNTIFS('Cagemini data'!I:I,U16,'Cagemini data'!$H:$H,$C$19)</f>
        <v>0</v>
      </c>
      <c r="V19" s="142">
        <f>COUNTIFS('Cagemini data'!I:I,V16,'Cagemini data'!$H:$H,$C$19)</f>
        <v>1</v>
      </c>
      <c r="W19" s="142">
        <f>COUNTIFS('Cagemini data'!I:I,V16,'Cagemini data'!$H:$H,$C$19)</f>
        <v>1</v>
      </c>
      <c r="X19" s="142">
        <f>COUNTIFS('Cagemini data'!I:I,X16,'Cagemini data'!$H:$H,$C$19)</f>
        <v>1</v>
      </c>
      <c r="Y19" s="144"/>
      <c r="Z19" s="144"/>
      <c r="AA19" s="144"/>
      <c r="AB19" s="144"/>
      <c r="AC19" s="144"/>
      <c r="AD19" s="144"/>
      <c r="AE19" s="144"/>
      <c r="AF19" s="144"/>
    </row>
    <row r="20">
      <c r="A20" s="143">
        <v>4.0</v>
      </c>
      <c r="B20" s="148" t="s">
        <v>6253</v>
      </c>
      <c r="C20" s="149" t="s">
        <v>3470</v>
      </c>
      <c r="D20" s="142">
        <f>COUNTIF('Cagemini data'!H:H,C20)</f>
        <v>21</v>
      </c>
      <c r="E20" s="142">
        <f>COUNTIFS('Cagemini data'!$H:$H,C20,'Cagemini data'!$F:$F,E16)</f>
        <v>21</v>
      </c>
      <c r="F20" s="142">
        <f>COUNTIFS('Cagemini data'!$H:$H,C20,'Cagemini data'!$F:$F,F16)</f>
        <v>0</v>
      </c>
      <c r="G20" s="142">
        <f>COUNTIFS('Cagemini data'!$H:$H,C20,'Cagemini data'!$F:$F,G16)</f>
        <v>0</v>
      </c>
      <c r="H20" s="142">
        <f>COUNTIFS('Cagemini data'!$H:$H,C20,'Cagemini data'!$F:$F,H16)</f>
        <v>0</v>
      </c>
      <c r="I20" s="142">
        <f>COUNTIFS('Cagemini data'!$H:$H,C20,'Cagemini data'!$F:$F,I16)</f>
        <v>0</v>
      </c>
      <c r="J20" s="142">
        <f>COUNTIFS('Cagemini data'!I:I,J16,'Cagemini data'!$H:$H,$C$20)</f>
        <v>7</v>
      </c>
      <c r="K20" s="142">
        <f>COUNTIFS('Cagemini data'!I:I,K16,'Cagemini data'!$H:$H,$C$20)</f>
        <v>7</v>
      </c>
      <c r="L20" s="142">
        <f>COUNTIFS('Cagemini data'!I:I,L16,'Cagemini data'!$H:$H,$C$20)</f>
        <v>7</v>
      </c>
      <c r="M20" s="142">
        <f>COUNTIFS('Cagemini data'!I:I,M16,'Cagemini data'!$H:$H,$C$20)</f>
        <v>0</v>
      </c>
      <c r="N20" s="142">
        <f>COUNTIFS('Cagemini data'!I:I,N16,'Cagemini data'!$H:$H,$C$20)</f>
        <v>0</v>
      </c>
      <c r="O20" s="142">
        <f>COUNTIFS('Cagemini data'!I:I,O16,'Cagemini data'!$H:$H,$C$20)</f>
        <v>0</v>
      </c>
      <c r="P20" s="142">
        <f>COUNTIFS('Cagemini data'!I:I,P16,'Cagemini data'!$H:$H,$C$20)</f>
        <v>0</v>
      </c>
      <c r="Q20" s="142">
        <f>COUNTIFS('Cagemini data'!I:I,Q16,'Cagemini data'!$H:$H,$C$20)</f>
        <v>0</v>
      </c>
      <c r="R20" s="142">
        <f>COUNTIFS('Cagemini data'!I:I,R16,'Cagemini data'!$H:$H,$C$20)</f>
        <v>0</v>
      </c>
      <c r="S20" s="142">
        <f>COUNTIFS('Cagemini data'!I:I,S16,'Cagemini data'!$H:$H,$C$20)</f>
        <v>0</v>
      </c>
      <c r="T20" s="142">
        <f>COUNTIFS('Cagemini data'!I:I,T16,'Cagemini data'!$H:$H,$C$20)</f>
        <v>0</v>
      </c>
      <c r="U20" s="142">
        <f>COUNTIFS('Cagemini data'!I:I,U16,'Cagemini data'!$H:$H,$C$20)</f>
        <v>0</v>
      </c>
      <c r="V20" s="142">
        <f>COUNTIFS('Cagemini data'!I:I,V16,'Cagemini data'!$H:$H,$C$20)</f>
        <v>0</v>
      </c>
      <c r="W20" s="142">
        <f>COUNTIFS('Cagemini data'!I:I,V16,'Cagemini data'!$H:$H,$C$20)</f>
        <v>0</v>
      </c>
      <c r="X20" s="142">
        <f>COUNTIFS('Cagemini data'!I:I,X16,'Cagemini data'!$H:$H,$C$20)</f>
        <v>0</v>
      </c>
      <c r="Y20" s="144"/>
      <c r="Z20" s="144"/>
      <c r="AA20" s="144"/>
      <c r="AB20" s="144"/>
      <c r="AC20" s="144"/>
      <c r="AD20" s="144"/>
      <c r="AE20" s="144"/>
      <c r="AF20" s="144"/>
    </row>
    <row r="21">
      <c r="A21" s="143">
        <v>5.0</v>
      </c>
      <c r="B21" s="148" t="s">
        <v>6273</v>
      </c>
      <c r="C21" s="149" t="s">
        <v>3480</v>
      </c>
      <c r="D21" s="142">
        <f>COUNTIF('Cagemini data'!H:H,C21)</f>
        <v>16</v>
      </c>
      <c r="E21" s="142">
        <f>COUNTIFS('Cagemini data'!$H:$H,C21,'Cagemini data'!$F:$F,E16)</f>
        <v>0</v>
      </c>
      <c r="F21" s="142">
        <f>COUNTIFS('Cagemini data'!$H:$H,C21,'Cagemini data'!$F:$F,F16)</f>
        <v>16</v>
      </c>
      <c r="G21" s="142">
        <f>COUNTIFS('Cagemini data'!$H:$H,C21,'Cagemini data'!$F:$F,G16)</f>
        <v>0</v>
      </c>
      <c r="H21" s="142">
        <f>COUNTIFS('Cagemini data'!$H:$H,C21,'Cagemini data'!$F:$F,H16)</f>
        <v>0</v>
      </c>
      <c r="I21" s="142">
        <f>COUNTIFS('Cagemini data'!$H:$H,C21,'Cagemini data'!$F:$F,I16)</f>
        <v>0</v>
      </c>
      <c r="J21" s="142">
        <f>COUNTIFS('Cagemini data'!I:I,J16,'Cagemini data'!$H:$H,$C$21)</f>
        <v>0</v>
      </c>
      <c r="K21" s="142">
        <f>COUNTIFS('Cagemini data'!I:I,K16,'Cagemini data'!$H:$H,$C$21)</f>
        <v>0</v>
      </c>
      <c r="L21" s="142">
        <f>COUNTIFS('Cagemini data'!I:I,L16,'Cagemini data'!$H:$H,$C$21)</f>
        <v>0</v>
      </c>
      <c r="M21" s="142">
        <f>COUNTIFS('Cagemini data'!I:I,M16,'Cagemini data'!$H:$H,$C$21)</f>
        <v>4</v>
      </c>
      <c r="N21" s="142">
        <f>COUNTIFS('Cagemini data'!I:I,N16,'Cagemini data'!$H:$H,$C$21)</f>
        <v>4</v>
      </c>
      <c r="O21" s="142">
        <f>COUNTIFS('Cagemini data'!I:I,O16,'Cagemini data'!$H:$H,$C$21)</f>
        <v>8</v>
      </c>
      <c r="P21" s="142">
        <f>COUNTIFS('Cagemini data'!I:I,P16,'Cagemini data'!$H:$H,$C$21)</f>
        <v>0</v>
      </c>
      <c r="Q21" s="142">
        <f>COUNTIFS('Cagemini data'!I:I,Q16,'Cagemini data'!$H:$H,$C$21)</f>
        <v>0</v>
      </c>
      <c r="R21" s="142">
        <f>COUNTIFS('Cagemini data'!I:I,R16,'Cagemini data'!$H:$H,$C$21)</f>
        <v>0</v>
      </c>
      <c r="S21" s="142">
        <f>COUNTIFS('Cagemini data'!I:I,S16,'Cagemini data'!$H:$H,$C$21)</f>
        <v>0</v>
      </c>
      <c r="T21" s="142">
        <f>COUNTIFS('Cagemini data'!I:I,T16,'Cagemini data'!$H:$H,$C$21)</f>
        <v>0</v>
      </c>
      <c r="U21" s="142">
        <f>COUNTIFS('Cagemini data'!I:I,U16,'Cagemini data'!$H:$H,$C$21)</f>
        <v>0</v>
      </c>
      <c r="V21" s="142">
        <f>COUNTIFS('Cagemini data'!I:I,V16,'Cagemini data'!$H:$H,$C$21)</f>
        <v>0</v>
      </c>
      <c r="W21" s="142">
        <f>COUNTIFS('Cagemini data'!I:I,V16,'Cagemini data'!$H:$H,$C$21)</f>
        <v>0</v>
      </c>
      <c r="X21" s="142">
        <f>COUNTIFS('Cagemini data'!I:I,X16,'Cagemini data'!$H:$H,$C$21)</f>
        <v>0</v>
      </c>
      <c r="Y21" s="144"/>
      <c r="Z21" s="144"/>
      <c r="AA21" s="144"/>
      <c r="AB21" s="144"/>
      <c r="AC21" s="144"/>
      <c r="AD21" s="144"/>
      <c r="AE21" s="144"/>
      <c r="AF21" s="144"/>
    </row>
    <row r="22">
      <c r="A22" s="143">
        <v>6.0</v>
      </c>
      <c r="B22" s="148" t="s">
        <v>6259</v>
      </c>
      <c r="C22" s="149" t="s">
        <v>3484</v>
      </c>
      <c r="D22" s="142">
        <f>COUNTIF('Cagemini data'!H:H,C22)</f>
        <v>13</v>
      </c>
      <c r="E22" s="142">
        <f>COUNTIFS('Cagemini data'!$H:$H,C22,'Cagemini data'!$F:$F,E16)</f>
        <v>0</v>
      </c>
      <c r="F22" s="142">
        <f>COUNTIFS('Cagemini data'!$H:$H,C22,'Cagemini data'!$F:$F,F16)</f>
        <v>0</v>
      </c>
      <c r="G22" s="142">
        <f>COUNTIFS('Cagemini data'!$H:$H,C22,'Cagemini data'!$F:$F,G16)</f>
        <v>13</v>
      </c>
      <c r="H22" s="142">
        <f>COUNTIFS('Cagemini data'!$H:$H,C22,'Cagemini data'!$F:$F,H16)</f>
        <v>0</v>
      </c>
      <c r="I22" s="142">
        <f>COUNTIFS('Cagemini data'!$H:$H,C22,'Cagemini data'!$F:$F,I16)</f>
        <v>0</v>
      </c>
      <c r="J22" s="142">
        <f>COUNTIFS('Cagemini data'!I:I,J16,'Cagemini data'!$H:$H,$C$22)</f>
        <v>0</v>
      </c>
      <c r="K22" s="142">
        <f>COUNTIFS('Cagemini data'!I:I,K16,'Cagemini data'!$H:$H,$C$22)</f>
        <v>0</v>
      </c>
      <c r="L22" s="142">
        <f>COUNTIFS('Cagemini data'!I:I,L16,'Cagemini data'!$H:$H,$C$22)</f>
        <v>0</v>
      </c>
      <c r="M22" s="142">
        <f>COUNTIFS('Cagemini data'!I:I,M16,'Cagemini data'!$H:$H,$C$22)</f>
        <v>0</v>
      </c>
      <c r="N22" s="142">
        <f>COUNTIFS('Cagemini data'!I:I,N16,'Cagemini data'!$H:$H,$C$22)</f>
        <v>0</v>
      </c>
      <c r="O22" s="142">
        <f>COUNTIFS('Cagemini data'!I:I,O16,'Cagemini data'!$H:$H,$C$22)</f>
        <v>0</v>
      </c>
      <c r="P22" s="142">
        <f>COUNTIFS('Cagemini data'!I:I,P16,'Cagemini data'!$H:$H,$C$22)</f>
        <v>4</v>
      </c>
      <c r="Q22" s="142">
        <f>COUNTIFS('Cagemini data'!I:I,Q16,'Cagemini data'!$H:$H,$C$22)</f>
        <v>6</v>
      </c>
      <c r="R22" s="142">
        <f>COUNTIFS('Cagemini data'!I:I,R16,'Cagemini data'!$H:$H,$C$22)</f>
        <v>3</v>
      </c>
      <c r="S22" s="142">
        <f>COUNTIFS('Cagemini data'!I:I,S16,'Cagemini data'!$H:$H,$C$22)</f>
        <v>0</v>
      </c>
      <c r="T22" s="142">
        <f>COUNTIFS('Cagemini data'!I:I,T16,'Cagemini data'!$H:$H,$C$22)</f>
        <v>0</v>
      </c>
      <c r="U22" s="142">
        <f>COUNTIFS('Cagemini data'!I:I,U16,'Cagemini data'!$H:$H,$C$22)</f>
        <v>0</v>
      </c>
      <c r="V22" s="142">
        <f>COUNTIFS('Cagemini data'!I:I,V16,'Cagemini data'!$H:$H,$C$22)</f>
        <v>0</v>
      </c>
      <c r="W22" s="142">
        <f>COUNTIFS('Cagemini data'!I:I,V16,'Cagemini data'!$H:$H,$C$22)</f>
        <v>0</v>
      </c>
      <c r="X22" s="142">
        <f>COUNTIFS('Cagemini data'!I:I,X16,'Cagemini data'!$H:$H,$C$22)</f>
        <v>0</v>
      </c>
      <c r="Y22" s="144"/>
      <c r="Z22" s="144"/>
      <c r="AA22" s="144"/>
      <c r="AB22" s="144"/>
      <c r="AC22" s="144"/>
      <c r="AD22" s="144"/>
      <c r="AE22" s="144"/>
      <c r="AF22" s="144"/>
    </row>
    <row r="23">
      <c r="A23" s="143">
        <v>7.0</v>
      </c>
      <c r="B23" s="148" t="s">
        <v>6264</v>
      </c>
      <c r="C23" s="149" t="s">
        <v>3487</v>
      </c>
      <c r="D23" s="142">
        <f>COUNTIF('Cagemini data'!H:H,C23)</f>
        <v>18</v>
      </c>
      <c r="E23" s="142">
        <f>COUNTIFS('Cagemini data'!$H:$H,C23,'Cagemini data'!$F:$F,E16)</f>
        <v>0</v>
      </c>
      <c r="F23" s="142">
        <f>COUNTIFS('Cagemini data'!$H:$H,C23,'Cagemini data'!$F:$F,F16)</f>
        <v>0</v>
      </c>
      <c r="G23" s="142">
        <f>COUNTIFS('Cagemini data'!$H:$H,C23,'Cagemini data'!$F:$F,G16)</f>
        <v>0</v>
      </c>
      <c r="H23" s="142">
        <f>COUNTIFS('Cagemini data'!$H:$H,C23,'Cagemini data'!$F:$F,H16)</f>
        <v>18</v>
      </c>
      <c r="I23" s="142">
        <f>COUNTIFS('Cagemini data'!$H:$H,C23,'Cagemini data'!$F:$F,I16)</f>
        <v>0</v>
      </c>
      <c r="J23" s="142">
        <f>COUNTIFS('Cagemini data'!I:I,J16,'Cagemini data'!$H:$H,$C$23)</f>
        <v>0</v>
      </c>
      <c r="K23" s="142">
        <f>COUNTIFS('Cagemini data'!I:I,K16,'Cagemini data'!$H:$H,$C$23)</f>
        <v>0</v>
      </c>
      <c r="L23" s="142">
        <f>COUNTIFS('Cagemini data'!I:I,L16,'Cagemini data'!$H:$H,$C$23)</f>
        <v>0</v>
      </c>
      <c r="M23" s="142">
        <f>COUNTIFS('Cagemini data'!I:I,M16,'Cagemini data'!$H:$H,$C$23)</f>
        <v>0</v>
      </c>
      <c r="N23" s="142">
        <f>COUNTIFS('Cagemini data'!I:I,N16,'Cagemini data'!$H:$H,$C$23)</f>
        <v>0</v>
      </c>
      <c r="O23" s="142">
        <f>COUNTIFS('Cagemini data'!I:I,O16,'Cagemini data'!$H:$H,$C$23)</f>
        <v>0</v>
      </c>
      <c r="P23" s="142">
        <f>COUNTIFS('Cagemini data'!I:I,P16,'Cagemini data'!$H:$H,$C$23)</f>
        <v>0</v>
      </c>
      <c r="Q23" s="142">
        <f>COUNTIFS('Cagemini data'!I:I,Q16,'Cagemini data'!$H:$H,$C$23)</f>
        <v>0</v>
      </c>
      <c r="R23" s="142">
        <f>COUNTIFS('Cagemini data'!I:I,R16,'Cagemini data'!$H:$H,$C$23)</f>
        <v>0</v>
      </c>
      <c r="S23" s="142">
        <f>COUNTIFS('Cagemini data'!I:I,S16,'Cagemini data'!$H:$H,$C$23)</f>
        <v>9</v>
      </c>
      <c r="T23" s="142">
        <f>COUNTIFS('Cagemini data'!I:I,T16,'Cagemini data'!$H:$H,$C$23)</f>
        <v>6</v>
      </c>
      <c r="U23" s="142">
        <f>COUNTIFS('Cagemini data'!I:I,U16,'Cagemini data'!$H:$H,$C$23)</f>
        <v>3</v>
      </c>
      <c r="V23" s="142">
        <f>COUNTIFS('Cagemini data'!I:I,V16,'Cagemini data'!$H:$H,$C$23)</f>
        <v>0</v>
      </c>
      <c r="W23" s="142">
        <f>COUNTIFS('Cagemini data'!I:I,V16,'Cagemini data'!$H:$H,$C$23)</f>
        <v>0</v>
      </c>
      <c r="X23" s="142">
        <f>COUNTIFS('Cagemini data'!I:I,X16,'Cagemini data'!$H:$H,$C$23)</f>
        <v>0</v>
      </c>
      <c r="Y23" s="144"/>
      <c r="Z23" s="144"/>
      <c r="AA23" s="144"/>
      <c r="AB23" s="144"/>
      <c r="AC23" s="144"/>
      <c r="AD23" s="144"/>
      <c r="AE23" s="144"/>
      <c r="AF23" s="144"/>
    </row>
    <row r="24">
      <c r="A24" s="143">
        <v>8.0</v>
      </c>
      <c r="B24" s="148" t="s">
        <v>6274</v>
      </c>
      <c r="C24" s="149" t="s">
        <v>3491</v>
      </c>
      <c r="D24" s="142">
        <f>COUNTIF('Cagemini data'!H:H,C24)</f>
        <v>16</v>
      </c>
      <c r="E24" s="142">
        <f>COUNTIFS('Cagemini data'!$H:$H,C24,'Cagemini data'!$F:$F,E16)</f>
        <v>0</v>
      </c>
      <c r="F24" s="142">
        <f>COUNTIFS('Cagemini data'!$H:$H,C24,'Cagemini data'!$F:$F,F16)</f>
        <v>0</v>
      </c>
      <c r="G24" s="142">
        <f>COUNTIFS('Cagemini data'!$H:$H,C24,'Cagemini data'!$F:$F,G16)</f>
        <v>0</v>
      </c>
      <c r="H24" s="142">
        <f>COUNTIFS('Cagemini data'!$H:$H,C24,'Cagemini data'!$F:$F,H16)</f>
        <v>0</v>
      </c>
      <c r="I24" s="142">
        <f>COUNTIFS('Cagemini data'!$H:$H,C24,'Cagemini data'!$F:$F,I16)</f>
        <v>15</v>
      </c>
      <c r="J24" s="142">
        <f>COUNTIFS('Cagemini data'!I:I,J16,'Cagemini data'!$H:$H,$C$24)</f>
        <v>0</v>
      </c>
      <c r="K24" s="142">
        <f>COUNTIFS('Cagemini data'!I:I,K16,'Cagemini data'!$H:$H,$C$24)</f>
        <v>0</v>
      </c>
      <c r="L24" s="142">
        <f>COUNTIFS('Cagemini data'!I:I,L16,'Cagemini data'!$H:$H,$C$24)</f>
        <v>0</v>
      </c>
      <c r="M24" s="142">
        <f>COUNTIFS('Cagemini data'!I:I,M16,'Cagemini data'!$H:$H,$C$24)</f>
        <v>0</v>
      </c>
      <c r="N24" s="142">
        <f>COUNTIFS('Cagemini data'!I:I,N16,'Cagemini data'!$H:$H,$C$24)</f>
        <v>0</v>
      </c>
      <c r="O24" s="142">
        <f>COUNTIFS('Cagemini data'!I:I,O16,'Cagemini data'!$H:$H,$C$24)</f>
        <v>0</v>
      </c>
      <c r="P24" s="142">
        <f>COUNTIFS('Cagemini data'!I:I,P16,'Cagemini data'!$H:$H,$C$24)</f>
        <v>0</v>
      </c>
      <c r="Q24" s="142">
        <f>COUNTIFS('Cagemini data'!I:I,Q16,'Cagemini data'!$H:$H,$C$24)</f>
        <v>0</v>
      </c>
      <c r="R24" s="142">
        <f>COUNTIFS('Cagemini data'!I:I,R16,'Cagemini data'!$H:$H,$C$24)</f>
        <v>0</v>
      </c>
      <c r="S24" s="142">
        <f>COUNTIFS('Cagemini data'!I:I,S16,'Cagemini data'!$H:$H,$C$24)</f>
        <v>0</v>
      </c>
      <c r="T24" s="142">
        <f>COUNTIFS('Cagemini data'!I:I,T16,'Cagemini data'!$H:$H,$C$24)</f>
        <v>0</v>
      </c>
      <c r="U24" s="142">
        <f>COUNTIFS('Cagemini data'!I:I,U16,'Cagemini data'!$H:$H,$C$24)</f>
        <v>0</v>
      </c>
      <c r="V24" s="142">
        <f>COUNTIFS('Cagemini data'!I:I,V16,'Cagemini data'!$H:$H,$C$24)</f>
        <v>12</v>
      </c>
      <c r="W24" s="143">
        <v>0.0</v>
      </c>
      <c r="X24" s="142">
        <f>COUNTIFS('Cagemini data'!I:I,X16,'Cagemini data'!$H:$H,$C$24)</f>
        <v>4</v>
      </c>
      <c r="Y24" s="144"/>
      <c r="Z24" s="144"/>
      <c r="AA24" s="144"/>
      <c r="AB24" s="144"/>
      <c r="AC24" s="144"/>
      <c r="AD24" s="144"/>
      <c r="AE24" s="144"/>
      <c r="AF24" s="144"/>
    </row>
    <row r="25">
      <c r="A25" s="144"/>
      <c r="B25" s="144"/>
      <c r="C25" s="144"/>
      <c r="D25" s="144"/>
      <c r="E25" s="142">
        <f t="shared" ref="E25:V25" si="7">SUM(E17:E24)</f>
        <v>29</v>
      </c>
      <c r="F25" s="142">
        <f t="shared" si="7"/>
        <v>21</v>
      </c>
      <c r="G25" s="142">
        <f t="shared" si="7"/>
        <v>17</v>
      </c>
      <c r="H25" s="142">
        <f t="shared" si="7"/>
        <v>26</v>
      </c>
      <c r="I25" s="142">
        <f t="shared" si="7"/>
        <v>20</v>
      </c>
      <c r="J25" s="142">
        <f t="shared" si="7"/>
        <v>8</v>
      </c>
      <c r="K25" s="142">
        <f t="shared" si="7"/>
        <v>10</v>
      </c>
      <c r="L25" s="142">
        <f t="shared" si="7"/>
        <v>11</v>
      </c>
      <c r="M25" s="142">
        <f t="shared" si="7"/>
        <v>5</v>
      </c>
      <c r="N25" s="142">
        <f t="shared" si="7"/>
        <v>6</v>
      </c>
      <c r="O25" s="142">
        <f t="shared" si="7"/>
        <v>10</v>
      </c>
      <c r="P25" s="142">
        <f t="shared" si="7"/>
        <v>5</v>
      </c>
      <c r="Q25" s="142">
        <f t="shared" si="7"/>
        <v>7</v>
      </c>
      <c r="R25" s="142">
        <f t="shared" si="7"/>
        <v>5</v>
      </c>
      <c r="S25" s="142">
        <f t="shared" si="7"/>
        <v>14</v>
      </c>
      <c r="T25" s="142">
        <f t="shared" si="7"/>
        <v>8</v>
      </c>
      <c r="U25" s="142">
        <f t="shared" si="7"/>
        <v>4</v>
      </c>
      <c r="V25" s="142">
        <f t="shared" si="7"/>
        <v>15</v>
      </c>
      <c r="W25" s="143">
        <v>0.0</v>
      </c>
      <c r="X25" s="142">
        <f>SUM(X17:X24)</f>
        <v>6</v>
      </c>
      <c r="Y25" s="144"/>
      <c r="Z25" s="144"/>
      <c r="AA25" s="144"/>
      <c r="AB25" s="144"/>
      <c r="AC25" s="144"/>
      <c r="AD25" s="144"/>
      <c r="AE25" s="144"/>
      <c r="AF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</row>
    <row r="27">
      <c r="A27" s="144"/>
      <c r="B27" s="151" t="s">
        <v>1</v>
      </c>
      <c r="C27" s="151" t="s">
        <v>6275</v>
      </c>
      <c r="D27" s="151" t="s">
        <v>6276</v>
      </c>
      <c r="E27" s="151" t="s">
        <v>6277</v>
      </c>
      <c r="F27" s="152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</row>
    <row r="28">
      <c r="A28" s="144"/>
      <c r="B28" s="151" t="s">
        <v>14</v>
      </c>
      <c r="C28" s="151" t="s">
        <v>6253</v>
      </c>
      <c r="D28" s="151" t="s">
        <v>3470</v>
      </c>
      <c r="E28" s="152">
        <f>COUNTIF('Cagemini data'!I:I,D28)</f>
        <v>8</v>
      </c>
      <c r="F28" s="152">
        <f>SUM(E28:E30)</f>
        <v>29</v>
      </c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</row>
    <row r="29">
      <c r="A29" s="144"/>
      <c r="B29" s="152"/>
      <c r="C29" s="151" t="s">
        <v>6254</v>
      </c>
      <c r="D29" s="151" t="s">
        <v>3473</v>
      </c>
      <c r="E29" s="152">
        <f>COUNTIF('Cagemini data'!I:I,D29)</f>
        <v>10</v>
      </c>
      <c r="F29" s="152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</row>
    <row r="30">
      <c r="A30" s="144"/>
      <c r="B30" s="152"/>
      <c r="C30" s="151" t="s">
        <v>6255</v>
      </c>
      <c r="D30" s="151" t="s">
        <v>3477</v>
      </c>
      <c r="E30" s="152">
        <f>COUNTIF('Cagemini data'!I:I,D30)</f>
        <v>11</v>
      </c>
      <c r="F30" s="152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</row>
    <row r="31">
      <c r="A31" s="144"/>
      <c r="B31" s="151" t="s">
        <v>15</v>
      </c>
      <c r="C31" s="151" t="s">
        <v>6256</v>
      </c>
      <c r="D31" s="151" t="s">
        <v>3481</v>
      </c>
      <c r="E31" s="152">
        <f>COUNTIF('Cagemini data'!I:I,D31)</f>
        <v>5</v>
      </c>
      <c r="F31" s="152">
        <f>SUM(E31:E33)</f>
        <v>21</v>
      </c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</row>
    <row r="32">
      <c r="A32" s="144"/>
      <c r="B32" s="152"/>
      <c r="C32" s="151" t="s">
        <v>6257</v>
      </c>
      <c r="D32" s="151" t="s">
        <v>3482</v>
      </c>
      <c r="E32" s="152">
        <f>COUNTIF('Cagemini data'!I:I,D32)</f>
        <v>6</v>
      </c>
      <c r="F32" s="152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</row>
    <row r="33">
      <c r="A33" s="144"/>
      <c r="B33" s="152"/>
      <c r="C33" s="151" t="s">
        <v>6258</v>
      </c>
      <c r="D33" s="151" t="s">
        <v>3483</v>
      </c>
      <c r="E33" s="152">
        <f>COUNTIF('Cagemini data'!I:I,D33)</f>
        <v>10</v>
      </c>
      <c r="F33" s="152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</row>
    <row r="34">
      <c r="A34" s="144"/>
      <c r="B34" s="151" t="s">
        <v>16</v>
      </c>
      <c r="C34" s="151" t="s">
        <v>6259</v>
      </c>
      <c r="D34" s="151" t="s">
        <v>3484</v>
      </c>
      <c r="E34" s="152">
        <f>COUNTIF('Cagemini data'!I:I,D34)</f>
        <v>5</v>
      </c>
      <c r="F34" s="152">
        <f>SUM(E34:E36)</f>
        <v>17</v>
      </c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</row>
    <row r="35">
      <c r="A35" s="144"/>
      <c r="B35" s="152"/>
      <c r="C35" s="151" t="s">
        <v>6260</v>
      </c>
      <c r="D35" s="151" t="s">
        <v>3485</v>
      </c>
      <c r="E35" s="152">
        <f>COUNTIF('Cagemini data'!I:I,D35)</f>
        <v>7</v>
      </c>
      <c r="F35" s="152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</row>
    <row r="36">
      <c r="A36" s="144"/>
      <c r="B36" s="152"/>
      <c r="C36" s="151" t="s">
        <v>6261</v>
      </c>
      <c r="D36" s="151" t="s">
        <v>3486</v>
      </c>
      <c r="E36" s="152">
        <f>COUNTIF('Cagemini data'!I:I,D36)</f>
        <v>5</v>
      </c>
      <c r="F36" s="152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</row>
    <row r="37">
      <c r="A37" s="144"/>
      <c r="B37" s="151" t="s">
        <v>17</v>
      </c>
      <c r="C37" s="151" t="s">
        <v>6262</v>
      </c>
      <c r="D37" s="151" t="s">
        <v>3488</v>
      </c>
      <c r="E37" s="152">
        <f>COUNTIF('Cagemini data'!I:I,D37)</f>
        <v>14</v>
      </c>
      <c r="F37" s="152">
        <f>SUM(E37:E39)</f>
        <v>26</v>
      </c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</row>
    <row r="38">
      <c r="A38" s="144"/>
      <c r="B38" s="152"/>
      <c r="C38" s="151" t="s">
        <v>6263</v>
      </c>
      <c r="D38" s="151" t="s">
        <v>3490</v>
      </c>
      <c r="E38" s="152">
        <f>COUNTIF('Cagemini data'!I:I,D38)</f>
        <v>8</v>
      </c>
      <c r="F38" s="152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</row>
    <row r="39">
      <c r="A39" s="144"/>
      <c r="B39" s="152"/>
      <c r="C39" s="151" t="s">
        <v>6264</v>
      </c>
      <c r="D39" s="151" t="s">
        <v>3487</v>
      </c>
      <c r="E39" s="152">
        <f>COUNTIF('Cagemini data'!I:I,D39)</f>
        <v>4</v>
      </c>
      <c r="F39" s="152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</row>
    <row r="40">
      <c r="A40" s="144"/>
      <c r="B40" s="151" t="s">
        <v>18</v>
      </c>
      <c r="C40" s="151" t="s">
        <v>6265</v>
      </c>
      <c r="D40" s="151" t="s">
        <v>3491</v>
      </c>
      <c r="E40" s="152">
        <f>COUNTIF('Cagemini data'!I:I,D40)</f>
        <v>15</v>
      </c>
      <c r="F40" s="151">
        <v>21.0</v>
      </c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</row>
    <row r="41">
      <c r="A41" s="144"/>
      <c r="B41" s="152"/>
      <c r="C41" s="151" t="s">
        <v>6266</v>
      </c>
      <c r="D41" s="152"/>
      <c r="E41" s="152">
        <f>COUNTIF('Cagemini data'!I:I,D41)</f>
        <v>0</v>
      </c>
      <c r="F41" s="152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</row>
    <row r="42">
      <c r="A42" s="144"/>
      <c r="B42" s="152"/>
      <c r="C42" s="151" t="s">
        <v>6267</v>
      </c>
      <c r="D42" s="151" t="s">
        <v>3492</v>
      </c>
      <c r="E42" s="152">
        <f>COUNTIF('Cagemini data'!I:I,D42)</f>
        <v>6</v>
      </c>
      <c r="F42" s="152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</row>
    <row r="43">
      <c r="A43" s="144"/>
      <c r="B43" s="152"/>
      <c r="C43" s="152"/>
      <c r="D43" s="152"/>
      <c r="E43" s="152">
        <f>SUM(E28:E42)</f>
        <v>114</v>
      </c>
      <c r="F43" s="152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</row>
  </sheetData>
  <mergeCells count="2">
    <mergeCell ref="J14:X14"/>
    <mergeCell ref="E15:I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sheetData>
    <row r="1">
      <c r="A1" s="45" t="s">
        <v>961</v>
      </c>
      <c r="B1" s="45" t="s">
        <v>962</v>
      </c>
      <c r="C1" s="45" t="s">
        <v>963</v>
      </c>
      <c r="D1" s="45" t="s">
        <v>964</v>
      </c>
      <c r="E1" s="45" t="s">
        <v>35</v>
      </c>
      <c r="F1" s="45" t="s">
        <v>34</v>
      </c>
      <c r="G1" s="45" t="s">
        <v>40</v>
      </c>
      <c r="H1" s="123" t="s">
        <v>3466</v>
      </c>
      <c r="I1" s="123" t="s">
        <v>3467</v>
      </c>
      <c r="J1" s="153" t="s">
        <v>6278</v>
      </c>
      <c r="K1" s="153" t="s">
        <v>6279</v>
      </c>
      <c r="L1" s="153" t="s">
        <v>6280</v>
      </c>
      <c r="M1" s="153" t="s">
        <v>6279</v>
      </c>
      <c r="N1" s="45" t="s">
        <v>6278</v>
      </c>
      <c r="O1" s="45" t="s">
        <v>6281</v>
      </c>
      <c r="P1" s="45" t="s">
        <v>6280</v>
      </c>
      <c r="Q1" s="45" t="s">
        <v>6282</v>
      </c>
      <c r="R1" s="45" t="s">
        <v>965</v>
      </c>
      <c r="S1" s="45" t="s">
        <v>36</v>
      </c>
      <c r="T1" s="45" t="s">
        <v>967</v>
      </c>
      <c r="U1" s="45" t="s">
        <v>968</v>
      </c>
      <c r="V1" s="45" t="s">
        <v>969</v>
      </c>
      <c r="W1" s="45" t="s">
        <v>970</v>
      </c>
      <c r="X1" s="45" t="s">
        <v>971</v>
      </c>
      <c r="Y1" s="45" t="s">
        <v>972</v>
      </c>
      <c r="Z1" s="45" t="s">
        <v>973</v>
      </c>
      <c r="AA1" s="45" t="s">
        <v>39</v>
      </c>
      <c r="AB1" s="45" t="s">
        <v>974</v>
      </c>
      <c r="AC1" s="45" t="s">
        <v>975</v>
      </c>
      <c r="AD1" s="45" t="s">
        <v>976</v>
      </c>
      <c r="AE1" s="45" t="s">
        <v>977</v>
      </c>
      <c r="AF1" s="45" t="s">
        <v>978</v>
      </c>
      <c r="AG1" s="45" t="s">
        <v>36</v>
      </c>
      <c r="AH1" s="45" t="s">
        <v>979</v>
      </c>
      <c r="AI1" s="45" t="s">
        <v>980</v>
      </c>
      <c r="AJ1" s="45" t="s">
        <v>3468</v>
      </c>
      <c r="AK1" s="45" t="s">
        <v>982</v>
      </c>
      <c r="AL1" s="45" t="s">
        <v>983</v>
      </c>
      <c r="AM1" s="45" t="s">
        <v>984</v>
      </c>
      <c r="AN1" s="45" t="s">
        <v>985</v>
      </c>
      <c r="AO1" s="45" t="s">
        <v>986</v>
      </c>
      <c r="AP1" s="45" t="s">
        <v>987</v>
      </c>
      <c r="AQ1" s="45" t="s">
        <v>988</v>
      </c>
      <c r="AR1" s="45" t="s">
        <v>3469</v>
      </c>
      <c r="AS1" s="45" t="s">
        <v>989</v>
      </c>
      <c r="AT1" s="45" t="s">
        <v>990</v>
      </c>
      <c r="AU1" s="45" t="s">
        <v>991</v>
      </c>
      <c r="AV1" s="45" t="s">
        <v>992</v>
      </c>
      <c r="AW1" s="45" t="s">
        <v>993</v>
      </c>
      <c r="AX1" s="45" t="s">
        <v>994</v>
      </c>
      <c r="AY1" s="45" t="s">
        <v>995</v>
      </c>
      <c r="AZ1" s="45" t="s">
        <v>996</v>
      </c>
      <c r="BB1" s="45" t="s">
        <v>997</v>
      </c>
      <c r="BC1" s="45" t="s">
        <v>998</v>
      </c>
      <c r="BE1" s="45" t="s">
        <v>999</v>
      </c>
      <c r="BF1" s="45" t="s">
        <v>1000</v>
      </c>
      <c r="BG1" s="45" t="s">
        <v>1001</v>
      </c>
    </row>
    <row r="2" hidden="1">
      <c r="A2" s="45">
        <v>1.0</v>
      </c>
      <c r="B2" s="45" t="s">
        <v>55</v>
      </c>
      <c r="C2" s="45" t="s">
        <v>1029</v>
      </c>
      <c r="D2" s="45" t="s">
        <v>1030</v>
      </c>
      <c r="E2" s="45" t="s">
        <v>56</v>
      </c>
      <c r="F2" s="45" t="str">
        <f>VLOOKUP(B2,'Analysis data'!$B$2:$C$358,2,false)</f>
        <v>A</v>
      </c>
      <c r="G2" s="45" t="str">
        <f>VLOOKUP(B2, 'Analysis data'!$B$2:$I$358, 8, FALSE)</f>
        <v> Management</v>
      </c>
      <c r="H2" s="124" t="s">
        <v>3470</v>
      </c>
      <c r="I2" s="125" t="s">
        <v>3470</v>
      </c>
      <c r="J2" s="153" t="str">
        <f>iferror(VLOOKUP(B2,'Screening test-1'!D:O,12,false),"Not attempted")</f>
        <v>Not attempted</v>
      </c>
      <c r="K2" s="153" t="str">
        <f>IFERROR(VLOOKUP(B2,'Screening test-1'!D:R,15,false),"not qualified")</f>
        <v>not qualified</v>
      </c>
      <c r="L2" s="153" t="str">
        <f>IFERROR(VLOOKUP(B2,'Screening test-2'!D:R,12,false),"not qualified")</f>
        <v>not qualified</v>
      </c>
      <c r="M2" s="153" t="str">
        <f>IFERROR(VLOOKUP(B2,'Screening test-2'!D:R,15,false),"not qualified")</f>
        <v>not qualified</v>
      </c>
      <c r="N2" s="119" t="str">
        <f>iferror(VLOOKUP(B2,'Screening test-1'!D:O,9,false),"not qualified")</f>
        <v>not qualified</v>
      </c>
      <c r="O2" s="119" t="str">
        <f>IFERROR(VLOOKUP(B2,'Screening test-1'!D:R,15,false),"Not Qualified")</f>
        <v>Not Qualified</v>
      </c>
      <c r="P2" s="119" t="str">
        <f>iferror(VLOOKUP(B2,'Screening test-2'!D:Q,12,false),"Not Attempted")</f>
        <v>Not Attempted</v>
      </c>
      <c r="Q2" s="119" t="str">
        <f>IFERROR(VLOOKUP(B2,'Screening test-2'!D:R,15,false),"Not Qualified")</f>
        <v>Not Qualified</v>
      </c>
      <c r="R2" s="119">
        <v>4.71952E11</v>
      </c>
      <c r="S2" s="45" t="str">
        <f>VLOOKUP(B2,'Analysis data'!B:E,4,false)</f>
        <v/>
      </c>
      <c r="T2" s="45" t="s">
        <v>1003</v>
      </c>
      <c r="U2" s="45" t="s">
        <v>1003</v>
      </c>
      <c r="V2" s="45" t="s">
        <v>1003</v>
      </c>
      <c r="W2" s="45" t="s">
        <v>1031</v>
      </c>
      <c r="X2" s="45">
        <v>0.0</v>
      </c>
      <c r="Y2" s="45">
        <v>0.0</v>
      </c>
      <c r="Z2" s="45" t="s">
        <v>1032</v>
      </c>
      <c r="AA2" s="45" t="s">
        <v>46</v>
      </c>
      <c r="AB2" s="45" t="s">
        <v>1006</v>
      </c>
      <c r="AC2" s="45">
        <v>65.6</v>
      </c>
      <c r="AD2" s="45">
        <v>2019.0</v>
      </c>
      <c r="AE2" s="45">
        <v>94.0</v>
      </c>
      <c r="AF2" s="45">
        <v>2021.0</v>
      </c>
      <c r="AG2" s="45">
        <v>0.0</v>
      </c>
      <c r="AH2" s="45">
        <v>-5.0</v>
      </c>
      <c r="AI2" s="45">
        <v>2025.0</v>
      </c>
      <c r="AJ2" s="45">
        <f>VLOOKUP(B2,'Analysis data'!$B$1:$F$358,5,false)</f>
        <v>2</v>
      </c>
      <c r="AK2" s="45">
        <v>4.0</v>
      </c>
      <c r="AL2" s="45" t="s">
        <v>1033</v>
      </c>
      <c r="AM2" s="45" t="s">
        <v>1034</v>
      </c>
      <c r="AN2" s="45">
        <v>7.989638007E9</v>
      </c>
      <c r="AO2" s="45">
        <v>9.989484569E9</v>
      </c>
      <c r="AP2" s="45">
        <v>0.0</v>
      </c>
      <c r="AQ2" s="45">
        <v>0.0</v>
      </c>
      <c r="AR2" s="45" t="str">
        <f>VLOOKUP(B2,'Analysis data'!B:K,10,false)</f>
        <v/>
      </c>
      <c r="AS2" s="45" t="s">
        <v>1035</v>
      </c>
      <c r="AT2" s="45" t="s">
        <v>1036</v>
      </c>
      <c r="AU2" s="45">
        <v>0.0</v>
      </c>
      <c r="AV2" s="45">
        <v>0.0</v>
      </c>
      <c r="AW2" s="45">
        <v>0.0</v>
      </c>
      <c r="AX2" s="45">
        <v>0.0</v>
      </c>
      <c r="AY2" s="45">
        <v>5.92</v>
      </c>
      <c r="AZ2" s="45">
        <v>0.0</v>
      </c>
      <c r="BC2" s="45" t="s">
        <v>1011</v>
      </c>
      <c r="BF2" s="45" t="s">
        <v>1012</v>
      </c>
    </row>
    <row r="3" hidden="1">
      <c r="A3" s="45">
        <v>2.0</v>
      </c>
      <c r="B3" s="45" t="s">
        <v>88</v>
      </c>
      <c r="C3" s="45" t="s">
        <v>1097</v>
      </c>
      <c r="D3" s="45" t="s">
        <v>1098</v>
      </c>
      <c r="E3" s="45" t="s">
        <v>89</v>
      </c>
      <c r="F3" s="45" t="str">
        <f>VLOOKUP(B3,'Analysis data'!$B$2:$C$358,2,false)</f>
        <v>A</v>
      </c>
      <c r="G3" s="45" t="str">
        <f>VLOOKUP(B3, 'Analysis data'!$B$2:$I$358, 8, FALSE)</f>
        <v> Convener</v>
      </c>
      <c r="H3" s="124" t="s">
        <v>3470</v>
      </c>
      <c r="I3" s="125" t="s">
        <v>3470</v>
      </c>
      <c r="J3" s="153">
        <f>iferror(VLOOKUP(B3,'Screening test-1'!D:O,12,false),"Not attempted")</f>
        <v>34.53333</v>
      </c>
      <c r="K3" s="153" t="str">
        <f>IFERROR(VLOOKUP(B3,'Screening test-1'!D:R,15,false),"not qualified")</f>
        <v>NOT QUALIFIED</v>
      </c>
      <c r="L3" s="153">
        <f>IFERROR(VLOOKUP(B3,'Screening test-2'!D:R,12,false),"not qualified")</f>
        <v>37</v>
      </c>
      <c r="M3" s="153" t="str">
        <f>IFERROR(VLOOKUP(B3,'Screening test-2'!D:R,15,false),"not qualified")</f>
        <v>NOT QUALIFIED</v>
      </c>
      <c r="N3" s="119">
        <f>iferror(VLOOKUP(B3,'Screening test-1'!D:O,9,false),"not qualified")</f>
        <v>68</v>
      </c>
      <c r="O3" s="119" t="str">
        <f>IFERROR(VLOOKUP(B3,'Screening test-1'!D:R,15,false),"Not Qualified")</f>
        <v>NOT QUALIFIED</v>
      </c>
      <c r="P3" s="119">
        <f>iferror(VLOOKUP(B3,'Screening test-2'!D:Q,12,false),"Not Attempted")</f>
        <v>37</v>
      </c>
      <c r="Q3" s="119" t="str">
        <f>IFERROR(VLOOKUP(B3,'Screening test-2'!D:R,15,false),"Not Qualified")</f>
        <v>NOT QUALIFIED</v>
      </c>
      <c r="R3" s="119">
        <v>6.48387E11</v>
      </c>
      <c r="S3" s="45">
        <f>VLOOKUP(B3,'Analysis data'!B:E,4,false)</f>
        <v>7.78</v>
      </c>
      <c r="T3" s="45">
        <v>757.0</v>
      </c>
      <c r="U3" s="45" t="s">
        <v>1003</v>
      </c>
      <c r="V3" s="45" t="s">
        <v>1003</v>
      </c>
      <c r="W3" s="45" t="s">
        <v>1084</v>
      </c>
      <c r="X3" s="45">
        <v>26162.0</v>
      </c>
      <c r="Y3" s="45">
        <v>0.0</v>
      </c>
      <c r="Z3" s="45" t="s">
        <v>1099</v>
      </c>
      <c r="AA3" s="45" t="s">
        <v>60</v>
      </c>
      <c r="AB3" s="45" t="s">
        <v>1006</v>
      </c>
      <c r="AC3" s="45">
        <v>87.0</v>
      </c>
      <c r="AD3" s="45">
        <v>2019.0</v>
      </c>
      <c r="AE3" s="45">
        <v>90.0</v>
      </c>
      <c r="AF3" s="45">
        <v>2021.0</v>
      </c>
      <c r="AG3" s="45">
        <v>7.8</v>
      </c>
      <c r="AH3" s="45">
        <v>73.0</v>
      </c>
      <c r="AI3" s="45">
        <v>2025.0</v>
      </c>
      <c r="AJ3" s="45">
        <f>VLOOKUP(B3,'Analysis data'!$B$1:$F$358,5,false)</f>
        <v>0</v>
      </c>
      <c r="AK3" s="45">
        <v>0.0</v>
      </c>
      <c r="AL3" s="45" t="s">
        <v>1100</v>
      </c>
      <c r="AM3" s="45" t="s">
        <v>1101</v>
      </c>
      <c r="AN3" s="45">
        <v>6.302184161E9</v>
      </c>
      <c r="AO3" s="45">
        <v>9.652404797E9</v>
      </c>
      <c r="AP3" s="45" t="s">
        <v>90</v>
      </c>
      <c r="AQ3" s="45" t="s">
        <v>90</v>
      </c>
      <c r="AR3" s="45" t="str">
        <f>VLOOKUP(B3,'Analysis data'!B:K,10,false)</f>
        <v>SEOAK</v>
      </c>
      <c r="AS3" s="45" t="s">
        <v>1102</v>
      </c>
      <c r="AT3" s="45" t="s">
        <v>1103</v>
      </c>
      <c r="AU3" s="45">
        <v>7.54</v>
      </c>
      <c r="AV3" s="45">
        <v>7.83</v>
      </c>
      <c r="AW3" s="45">
        <v>7.68</v>
      </c>
      <c r="AX3" s="45">
        <v>0.0</v>
      </c>
      <c r="AY3" s="45">
        <v>7.7</v>
      </c>
      <c r="AZ3" s="45">
        <v>7.77</v>
      </c>
      <c r="BC3" s="45" t="s">
        <v>1011</v>
      </c>
      <c r="BF3" s="45" t="s">
        <v>1028</v>
      </c>
    </row>
    <row r="4" hidden="1">
      <c r="A4" s="45">
        <v>3.0</v>
      </c>
      <c r="B4" s="45" t="s">
        <v>92</v>
      </c>
      <c r="C4" s="45" t="s">
        <v>1104</v>
      </c>
      <c r="D4" s="45" t="s">
        <v>1105</v>
      </c>
      <c r="E4" s="45" t="s">
        <v>93</v>
      </c>
      <c r="F4" s="45" t="str">
        <f>VLOOKUP(B4,'Analysis data'!$B$2:$C$358,2,false)</f>
        <v>A</v>
      </c>
      <c r="G4" s="45" t="str">
        <f>VLOOKUP(B4, 'Analysis data'!$B$2:$I$358, 8, FALSE)</f>
        <v> Convener</v>
      </c>
      <c r="H4" s="124" t="s">
        <v>3470</v>
      </c>
      <c r="I4" s="125" t="s">
        <v>3470</v>
      </c>
      <c r="J4" s="153">
        <f>iferror(VLOOKUP(B4,'Screening test-1'!D:O,12,false),"Not attempted")</f>
        <v>63.63333</v>
      </c>
      <c r="K4" s="153" t="str">
        <f>IFERROR(VLOOKUP(B4,'Screening test-1'!D:R,15,false),"not qualified")</f>
        <v>QUALIFIED</v>
      </c>
      <c r="L4" s="153">
        <f>IFERROR(VLOOKUP(B4,'Screening test-2'!D:R,12,false),"not qualified")</f>
        <v>64.43333</v>
      </c>
      <c r="M4" s="153" t="str">
        <f>IFERROR(VLOOKUP(B4,'Screening test-2'!D:R,15,false),"not qualified")</f>
        <v>QUALIFIED</v>
      </c>
      <c r="N4" s="119">
        <f>iferror(VLOOKUP(B4,'Screening test-1'!D:O,9,false),"not qualified")</f>
        <v>71</v>
      </c>
      <c r="O4" s="119" t="str">
        <f>IFERROR(VLOOKUP(B4,'Screening test-1'!D:R,15,false),"Not Qualified")</f>
        <v>QUALIFIED</v>
      </c>
      <c r="P4" s="119">
        <f>iferror(VLOOKUP(B4,'Screening test-2'!D:Q,12,false),"Not Attempted")</f>
        <v>64.43333</v>
      </c>
      <c r="Q4" s="119" t="str">
        <f>IFERROR(VLOOKUP(B4,'Screening test-2'!D:R,15,false),"Not Qualified")</f>
        <v>QUALIFIED</v>
      </c>
      <c r="R4" s="119">
        <v>5.20069E11</v>
      </c>
      <c r="S4" s="45">
        <f>VLOOKUP(B4,'Analysis data'!B:E,4,false)</f>
        <v>8.04</v>
      </c>
      <c r="T4" s="45">
        <v>653.0</v>
      </c>
      <c r="U4" s="45" t="s">
        <v>1003</v>
      </c>
      <c r="V4" s="45" t="s">
        <v>1003</v>
      </c>
      <c r="W4" s="45" t="s">
        <v>1106</v>
      </c>
      <c r="X4" s="45">
        <v>20845.0</v>
      </c>
      <c r="Y4" s="45">
        <v>0.0</v>
      </c>
      <c r="Z4" s="45" t="s">
        <v>1032</v>
      </c>
      <c r="AA4" s="45" t="s">
        <v>60</v>
      </c>
      <c r="AB4" s="45" t="s">
        <v>1006</v>
      </c>
      <c r="AC4" s="45">
        <v>63.8</v>
      </c>
      <c r="AD4" s="45">
        <v>2019.0</v>
      </c>
      <c r="AE4" s="45">
        <v>93.2</v>
      </c>
      <c r="AF4" s="45">
        <v>2021.0</v>
      </c>
      <c r="AG4" s="45">
        <v>8.0</v>
      </c>
      <c r="AH4" s="45">
        <v>75.0</v>
      </c>
      <c r="AI4" s="45">
        <v>2025.0</v>
      </c>
      <c r="AJ4" s="45">
        <f>VLOOKUP(B4,'Analysis data'!$B$1:$F$358,5,false)</f>
        <v>0</v>
      </c>
      <c r="AK4" s="45">
        <v>0.0</v>
      </c>
      <c r="AL4" s="45" t="s">
        <v>1107</v>
      </c>
      <c r="AM4" s="45" t="s">
        <v>1108</v>
      </c>
      <c r="AN4" s="45">
        <v>7.6708473E9</v>
      </c>
      <c r="AO4" s="45">
        <v>9.010129232E9</v>
      </c>
      <c r="AP4" s="45" t="s">
        <v>90</v>
      </c>
      <c r="AQ4" s="45" t="s">
        <v>90</v>
      </c>
      <c r="AR4" s="45" t="str">
        <f>VLOOKUP(B4,'Analysis data'!B:K,10,false)</f>
        <v>SEOAK</v>
      </c>
      <c r="AS4" s="45" t="s">
        <v>1109</v>
      </c>
      <c r="AT4" s="45" t="s">
        <v>1110</v>
      </c>
      <c r="AU4" s="45">
        <v>8.22</v>
      </c>
      <c r="AV4" s="45">
        <v>7.68</v>
      </c>
      <c r="AW4" s="45">
        <v>7.95</v>
      </c>
      <c r="AX4" s="45">
        <v>0.0</v>
      </c>
      <c r="AY4" s="45">
        <v>7.89</v>
      </c>
      <c r="AZ4" s="45">
        <v>8.02</v>
      </c>
      <c r="BC4" s="45" t="s">
        <v>1011</v>
      </c>
      <c r="BF4" s="45" t="s">
        <v>1028</v>
      </c>
    </row>
    <row r="5" hidden="1">
      <c r="A5" s="45">
        <v>4.0</v>
      </c>
      <c r="B5" s="45" t="s">
        <v>107</v>
      </c>
      <c r="C5" s="45" t="s">
        <v>1138</v>
      </c>
      <c r="D5" s="45" t="s">
        <v>1139</v>
      </c>
      <c r="E5" s="45" t="s">
        <v>108</v>
      </c>
      <c r="F5" s="45" t="str">
        <f>VLOOKUP(B5,'Analysis data'!$B$2:$C$358,2,false)</f>
        <v>A</v>
      </c>
      <c r="G5" s="45" t="str">
        <f>VLOOKUP(B5, 'Analysis data'!$B$2:$I$358, 8, FALSE)</f>
        <v> Convener</v>
      </c>
      <c r="H5" s="124" t="s">
        <v>3470</v>
      </c>
      <c r="I5" s="125" t="s">
        <v>3470</v>
      </c>
      <c r="J5" s="153">
        <f>iferror(VLOOKUP(B5,'Screening test-1'!D:O,12,false),"Not attempted")</f>
        <v>27.03333</v>
      </c>
      <c r="K5" s="153" t="str">
        <f>IFERROR(VLOOKUP(B5,'Screening test-1'!D:R,15,false),"not qualified")</f>
        <v>NOT QUALIFIED</v>
      </c>
      <c r="L5" s="153">
        <f>IFERROR(VLOOKUP(B5,'Screening test-2'!D:R,12,false),"not qualified")</f>
        <v>23.26667</v>
      </c>
      <c r="M5" s="153" t="str">
        <f>IFERROR(VLOOKUP(B5,'Screening test-2'!D:R,15,false),"not qualified")</f>
        <v>NOT QUALIFIED</v>
      </c>
      <c r="N5" s="119">
        <f>iferror(VLOOKUP(B5,'Screening test-1'!D:O,9,false),"not qualified")</f>
        <v>71</v>
      </c>
      <c r="O5" s="119" t="str">
        <f>IFERROR(VLOOKUP(B5,'Screening test-1'!D:R,15,false),"Not Qualified")</f>
        <v>NOT QUALIFIED</v>
      </c>
      <c r="P5" s="119">
        <f>iferror(VLOOKUP(B5,'Screening test-2'!D:Q,12,false),"Not Attempted")</f>
        <v>23.26667</v>
      </c>
      <c r="Q5" s="119" t="str">
        <f>IFERROR(VLOOKUP(B5,'Screening test-2'!D:R,15,false),"Not Qualified")</f>
        <v>NOT QUALIFIED</v>
      </c>
      <c r="R5" s="119">
        <v>4.20957E11</v>
      </c>
      <c r="S5" s="45" t="str">
        <f>VLOOKUP(B5,'Analysis data'!B:E,4,false)</f>
        <v/>
      </c>
      <c r="T5" s="45" t="s">
        <v>1003</v>
      </c>
      <c r="U5" s="45" t="s">
        <v>1003</v>
      </c>
      <c r="V5" s="45" t="s">
        <v>1003</v>
      </c>
      <c r="W5" s="45" t="s">
        <v>1140</v>
      </c>
      <c r="X5" s="45">
        <v>3470.0</v>
      </c>
      <c r="Y5" s="45">
        <v>0.0</v>
      </c>
      <c r="Z5" s="45" t="s">
        <v>1141</v>
      </c>
      <c r="AA5" s="45" t="s">
        <v>46</v>
      </c>
      <c r="AB5" s="45" t="s">
        <v>1006</v>
      </c>
      <c r="AC5" s="45">
        <v>92.0</v>
      </c>
      <c r="AD5" s="45">
        <v>2019.0</v>
      </c>
      <c r="AE5" s="45">
        <v>88.1</v>
      </c>
      <c r="AF5" s="45">
        <v>2021.0</v>
      </c>
      <c r="AG5" s="45">
        <v>6.87</v>
      </c>
      <c r="AH5" s="45">
        <v>63.7</v>
      </c>
      <c r="AI5" s="45">
        <v>2025.0</v>
      </c>
      <c r="AJ5" s="45">
        <f>VLOOKUP(B5,'Analysis data'!$B$1:$F$358,5,false)</f>
        <v>1</v>
      </c>
      <c r="AK5" s="45">
        <v>0.0</v>
      </c>
      <c r="AL5" s="45" t="s">
        <v>1142</v>
      </c>
      <c r="AM5" s="45" t="s">
        <v>1143</v>
      </c>
      <c r="AN5" s="45">
        <v>7.671914536E9</v>
      </c>
      <c r="AO5" s="45">
        <v>9.701278727E9</v>
      </c>
      <c r="AP5" s="45">
        <v>0.0</v>
      </c>
      <c r="AQ5" s="45">
        <v>0.0</v>
      </c>
      <c r="AR5" s="45" t="str">
        <f>VLOOKUP(B5,'Analysis data'!B:K,10,false)</f>
        <v/>
      </c>
      <c r="AS5" s="45" t="s">
        <v>1144</v>
      </c>
      <c r="AT5" s="45" t="s">
        <v>1145</v>
      </c>
      <c r="AU5" s="45">
        <v>6.16</v>
      </c>
      <c r="AV5" s="45">
        <v>6.71</v>
      </c>
      <c r="AW5" s="45">
        <v>7.07</v>
      </c>
      <c r="AX5" s="45">
        <v>0.0</v>
      </c>
      <c r="AY5" s="45">
        <v>6.78</v>
      </c>
      <c r="AZ5" s="45">
        <v>6.76</v>
      </c>
      <c r="BC5" s="45" t="s">
        <v>1011</v>
      </c>
      <c r="BF5" s="45" t="s">
        <v>1012</v>
      </c>
    </row>
    <row r="6" hidden="1">
      <c r="A6" s="45">
        <v>5.0</v>
      </c>
      <c r="B6" s="45" t="s">
        <v>109</v>
      </c>
      <c r="C6" s="45" t="s">
        <v>1146</v>
      </c>
      <c r="D6" s="45" t="s">
        <v>1147</v>
      </c>
      <c r="E6" s="45" t="s">
        <v>110</v>
      </c>
      <c r="F6" s="45" t="str">
        <f>VLOOKUP(B6,'Analysis data'!$B$2:$C$358,2,false)</f>
        <v>A</v>
      </c>
      <c r="G6" s="45" t="str">
        <f>VLOOKUP(B6, 'Analysis data'!$B$2:$I$358, 8, FALSE)</f>
        <v> Management</v>
      </c>
      <c r="H6" s="124" t="s">
        <v>3470</v>
      </c>
      <c r="I6" s="125" t="s">
        <v>3470</v>
      </c>
      <c r="J6" s="153" t="str">
        <f>iferror(VLOOKUP(B6,'Screening test-1'!D:O,12,false),"Not attempted")</f>
        <v>Not attempted</v>
      </c>
      <c r="K6" s="153" t="str">
        <f>IFERROR(VLOOKUP(B6,'Screening test-1'!D:R,15,false),"not qualified")</f>
        <v>not qualified</v>
      </c>
      <c r="L6" s="153">
        <f>IFERROR(VLOOKUP(B6,'Screening test-2'!D:R,12,false),"not qualified")</f>
        <v>61.36667</v>
      </c>
      <c r="M6" s="153" t="str">
        <f>IFERROR(VLOOKUP(B6,'Screening test-2'!D:R,15,false),"not qualified")</f>
        <v>QUALIFIED</v>
      </c>
      <c r="N6" s="119" t="str">
        <f>iferror(VLOOKUP(B6,'Screening test-1'!D:Q,12,false),"Not attempted")</f>
        <v>Not attempted</v>
      </c>
      <c r="O6" s="119" t="str">
        <f>IFERROR(VLOOKUP(B6,'Screening test-1'!D:R,15,false),"Not Qualified")</f>
        <v>Not Qualified</v>
      </c>
      <c r="P6" s="119">
        <f>iferror(VLOOKUP(B6,'Screening test-2'!D:Q,12,false),"Not Attempted")</f>
        <v>61.36667</v>
      </c>
      <c r="Q6" s="119" t="str">
        <f>IFERROR(VLOOKUP(B6,'Screening test-2'!D:R,15,false),"Not Qualified")</f>
        <v>QUALIFIED</v>
      </c>
      <c r="R6" s="119">
        <v>9.54643E11</v>
      </c>
      <c r="S6" s="45" t="str">
        <f>VLOOKUP(B6,'Analysis data'!B:E,4,false)</f>
        <v/>
      </c>
      <c r="T6" s="45" t="s">
        <v>1003</v>
      </c>
      <c r="U6" s="45" t="s">
        <v>1003</v>
      </c>
      <c r="V6" s="45" t="s">
        <v>1003</v>
      </c>
      <c r="W6" s="45" t="s">
        <v>1148</v>
      </c>
      <c r="X6" s="45">
        <v>0.0</v>
      </c>
      <c r="Y6" s="45">
        <v>0.0</v>
      </c>
      <c r="Z6" s="45" t="s">
        <v>1149</v>
      </c>
      <c r="AA6" s="45" t="s">
        <v>60</v>
      </c>
      <c r="AB6" s="45" t="s">
        <v>1006</v>
      </c>
      <c r="AC6" s="45">
        <v>97.0</v>
      </c>
      <c r="AD6" s="45">
        <v>2019.0</v>
      </c>
      <c r="AE6" s="45">
        <v>95.6</v>
      </c>
      <c r="AF6" s="45">
        <v>2021.0</v>
      </c>
      <c r="AG6" s="45">
        <v>0.0</v>
      </c>
      <c r="AH6" s="45">
        <v>-5.0</v>
      </c>
      <c r="AI6" s="45">
        <v>2025.0</v>
      </c>
      <c r="AJ6" s="45">
        <f>VLOOKUP(B6,'Analysis data'!$B$1:$F$358,5,false)</f>
        <v>1</v>
      </c>
      <c r="AK6" s="45">
        <v>0.0</v>
      </c>
      <c r="AL6" s="45" t="s">
        <v>1150</v>
      </c>
      <c r="AM6" s="45" t="s">
        <v>1151</v>
      </c>
      <c r="AN6" s="45">
        <v>9.704897815E9</v>
      </c>
      <c r="AO6" s="45">
        <v>8.008509449E9</v>
      </c>
      <c r="AP6" s="45">
        <v>0.0</v>
      </c>
      <c r="AQ6" s="45">
        <v>0.0</v>
      </c>
      <c r="AR6" s="45" t="str">
        <f>VLOOKUP(B6,'Analysis data'!B:K,10,false)</f>
        <v/>
      </c>
      <c r="AS6" s="45" t="s">
        <v>1152</v>
      </c>
      <c r="AT6" s="45" t="s">
        <v>1153</v>
      </c>
      <c r="AU6" s="45">
        <v>8.03</v>
      </c>
      <c r="AV6" s="45">
        <v>8.2</v>
      </c>
      <c r="AW6" s="45">
        <v>8.0</v>
      </c>
      <c r="AX6" s="45">
        <v>0.0</v>
      </c>
      <c r="AY6" s="45">
        <v>7.97</v>
      </c>
      <c r="AZ6" s="45">
        <v>7.96</v>
      </c>
      <c r="BC6" s="45" t="s">
        <v>1011</v>
      </c>
      <c r="BF6" s="45" t="s">
        <v>1028</v>
      </c>
    </row>
    <row r="7" hidden="1">
      <c r="A7" s="45">
        <v>6.0</v>
      </c>
      <c r="B7" s="45" t="s">
        <v>112</v>
      </c>
      <c r="C7" s="45" t="s">
        <v>1154</v>
      </c>
      <c r="D7" s="45" t="s">
        <v>1155</v>
      </c>
      <c r="E7" s="45" t="s">
        <v>113</v>
      </c>
      <c r="F7" s="45" t="str">
        <f>VLOOKUP(B7,'Analysis data'!$B$2:$C$358,2,false)</f>
        <v>A</v>
      </c>
      <c r="G7" s="45" t="str">
        <f>VLOOKUP(B7, 'Analysis data'!$B$2:$I$358, 8, FALSE)</f>
        <v> Convener</v>
      </c>
      <c r="H7" s="124" t="s">
        <v>3470</v>
      </c>
      <c r="I7" s="125" t="s">
        <v>3470</v>
      </c>
      <c r="J7" s="153" t="str">
        <f>iferror(VLOOKUP(B7,'Screening test-1'!D:O,12,false),"Not attempted")</f>
        <v>Not attempted</v>
      </c>
      <c r="K7" s="153" t="str">
        <f>IFERROR(VLOOKUP(B7,'Screening test-1'!D:R,15,false),"not qualified")</f>
        <v>not qualified</v>
      </c>
      <c r="L7" s="153" t="str">
        <f>IFERROR(VLOOKUP(B7,'Screening test-2'!D:R,12,false),"not qualified")</f>
        <v>not qualified</v>
      </c>
      <c r="M7" s="153" t="str">
        <f>IFERROR(VLOOKUP(B7,'Screening test-2'!D:R,15,false),"not qualified")</f>
        <v>not qualified</v>
      </c>
      <c r="N7" s="119" t="str">
        <f>iferror(VLOOKUP(B7,'Screening test-1'!D:Q,12,false),"Not attempted")</f>
        <v>Not attempted</v>
      </c>
      <c r="O7" s="119" t="str">
        <f>IFERROR(VLOOKUP(B7,'Screening test-1'!D:R,15,false),"Not Qualified")</f>
        <v>Not Qualified</v>
      </c>
      <c r="P7" s="119" t="str">
        <f>iferror(VLOOKUP(B7,'Screening test-2'!D:Q,12,false),"Not Attempted")</f>
        <v>Not Attempted</v>
      </c>
      <c r="Q7" s="119" t="str">
        <f>IFERROR(VLOOKUP(B7,'Screening test-2'!D:R,15,false),"Not Qualified")</f>
        <v>Not Qualified</v>
      </c>
      <c r="R7" s="119">
        <v>4.15421E11</v>
      </c>
      <c r="S7" s="45">
        <f>VLOOKUP(B7,'Analysis data'!B:E,4,false)</f>
        <v>8.41</v>
      </c>
      <c r="T7" s="45">
        <v>576.0</v>
      </c>
      <c r="U7" s="45" t="s">
        <v>1003</v>
      </c>
      <c r="V7" s="45" t="s">
        <v>1003</v>
      </c>
      <c r="W7" s="45" t="s">
        <v>1156</v>
      </c>
      <c r="X7" s="45">
        <v>14323.0</v>
      </c>
      <c r="Y7" s="45">
        <v>0.0</v>
      </c>
      <c r="Z7" s="45" t="s">
        <v>1157</v>
      </c>
      <c r="AA7" s="45" t="s">
        <v>46</v>
      </c>
      <c r="AB7" s="45" t="s">
        <v>1006</v>
      </c>
      <c r="AC7" s="45">
        <v>88.35</v>
      </c>
      <c r="AD7" s="45">
        <v>2019.0</v>
      </c>
      <c r="AE7" s="45">
        <v>93.8</v>
      </c>
      <c r="AF7" s="45">
        <v>2021.0</v>
      </c>
      <c r="AG7" s="45">
        <v>8.4</v>
      </c>
      <c r="AH7" s="45">
        <v>79.0</v>
      </c>
      <c r="AI7" s="45">
        <v>2025.0</v>
      </c>
      <c r="AJ7" s="45">
        <f>VLOOKUP(B7,'Analysis data'!$B$1:$F$358,5,false)</f>
        <v>0</v>
      </c>
      <c r="AK7" s="45">
        <v>0.0</v>
      </c>
      <c r="AL7" s="45" t="s">
        <v>1158</v>
      </c>
      <c r="AM7" s="45" t="s">
        <v>1159</v>
      </c>
      <c r="AN7" s="45">
        <v>8.247085538E9</v>
      </c>
      <c r="AO7" s="45">
        <v>8.247085538E9</v>
      </c>
      <c r="AP7" s="45">
        <v>0.0</v>
      </c>
      <c r="AQ7" s="45">
        <v>0.0</v>
      </c>
      <c r="AR7" s="45" t="str">
        <f>VLOOKUP(B7,'Analysis data'!B:K,10,false)</f>
        <v>MRF</v>
      </c>
      <c r="AS7" s="45" t="s">
        <v>1160</v>
      </c>
      <c r="AT7" s="45" t="s">
        <v>1161</v>
      </c>
      <c r="AU7" s="45">
        <v>8.68</v>
      </c>
      <c r="AV7" s="45">
        <v>7.98</v>
      </c>
      <c r="AW7" s="45">
        <v>8.0</v>
      </c>
      <c r="AX7" s="45">
        <v>0.0</v>
      </c>
      <c r="AY7" s="45">
        <v>8.23</v>
      </c>
      <c r="AZ7" s="45">
        <v>8.33</v>
      </c>
      <c r="BC7" s="45" t="s">
        <v>1011</v>
      </c>
      <c r="BF7" s="45" t="s">
        <v>1028</v>
      </c>
    </row>
    <row r="8" hidden="1">
      <c r="A8" s="45">
        <v>7.0</v>
      </c>
      <c r="B8" s="45" t="s">
        <v>128</v>
      </c>
      <c r="C8" s="45" t="s">
        <v>1191</v>
      </c>
      <c r="D8" s="45" t="s">
        <v>1192</v>
      </c>
      <c r="E8" s="45" t="s">
        <v>129</v>
      </c>
      <c r="F8" s="45" t="str">
        <f>VLOOKUP(B8,'Analysis data'!$B$2:$C$358,2,false)</f>
        <v>A</v>
      </c>
      <c r="G8" s="45" t="str">
        <f>VLOOKUP(B8, 'Analysis data'!$B$2:$I$358, 8, FALSE)</f>
        <v> Convener</v>
      </c>
      <c r="H8" s="124" t="s">
        <v>3470</v>
      </c>
      <c r="I8" s="125" t="s">
        <v>3473</v>
      </c>
      <c r="J8" s="153">
        <f>iferror(VLOOKUP(B8,'Screening test-1'!D:O,12,false),"Not attempted")</f>
        <v>53.73333</v>
      </c>
      <c r="K8" s="153" t="str">
        <f>IFERROR(VLOOKUP(B8,'Screening test-1'!D:R,15,false),"not qualified")</f>
        <v>NOT QUALIFIED</v>
      </c>
      <c r="L8" s="153">
        <f>IFERROR(VLOOKUP(B8,'Screening test-2'!D:R,12,false),"not qualified")</f>
        <v>66.53333</v>
      </c>
      <c r="M8" s="153" t="str">
        <f>IFERROR(VLOOKUP(B8,'Screening test-2'!D:R,15,false),"not qualified")</f>
        <v>QUALIFIED</v>
      </c>
      <c r="N8" s="119">
        <f>iferror(VLOOKUP(B8,'Screening test-1'!D:Q,12,false),"Not attempted")</f>
        <v>53.73333</v>
      </c>
      <c r="O8" s="119" t="str">
        <f>IFERROR(VLOOKUP(B8,'Screening test-1'!D:R,15,false),"Not Qualified")</f>
        <v>NOT QUALIFIED</v>
      </c>
      <c r="P8" s="119">
        <f>iferror(VLOOKUP(B8,'Screening test-2'!D:Q,12,false),"Not Attempted")</f>
        <v>66.53333</v>
      </c>
      <c r="Q8" s="119" t="str">
        <f>IFERROR(VLOOKUP(B8,'Screening test-2'!D:R,15,false),"Not Qualified")</f>
        <v>QUALIFIED</v>
      </c>
      <c r="R8" s="119">
        <v>9.39742E11</v>
      </c>
      <c r="S8" s="45">
        <f>VLOOKUP(B8,'Analysis data'!B:E,4,false)</f>
        <v>8.58</v>
      </c>
      <c r="T8" s="45">
        <v>143.0</v>
      </c>
      <c r="U8" s="45" t="s">
        <v>1003</v>
      </c>
      <c r="V8" s="45" t="s">
        <v>1003</v>
      </c>
      <c r="W8" s="45" t="s">
        <v>1193</v>
      </c>
      <c r="X8" s="45">
        <v>15034.0</v>
      </c>
      <c r="Y8" s="45">
        <v>0.0</v>
      </c>
      <c r="Z8" s="45" t="s">
        <v>1194</v>
      </c>
      <c r="AA8" s="45" t="s">
        <v>60</v>
      </c>
      <c r="AB8" s="45" t="s">
        <v>1006</v>
      </c>
      <c r="AC8" s="45">
        <v>98.0</v>
      </c>
      <c r="AD8" s="45">
        <v>2019.0</v>
      </c>
      <c r="AE8" s="45">
        <v>94.4</v>
      </c>
      <c r="AF8" s="45">
        <v>2021.0</v>
      </c>
      <c r="AG8" s="45">
        <v>8.6</v>
      </c>
      <c r="AH8" s="45">
        <v>81.0</v>
      </c>
      <c r="AI8" s="45">
        <v>2025.0</v>
      </c>
      <c r="AJ8" s="45">
        <f>VLOOKUP(B8,'Analysis data'!$B$1:$F$358,5,false)</f>
        <v>0</v>
      </c>
      <c r="AK8" s="45">
        <v>0.0</v>
      </c>
      <c r="AL8" s="45" t="s">
        <v>1195</v>
      </c>
      <c r="AM8" s="45" t="s">
        <v>1196</v>
      </c>
      <c r="AN8" s="45">
        <v>9.966922291E9</v>
      </c>
      <c r="AO8" s="45">
        <v>9.885522291E9</v>
      </c>
      <c r="AP8" s="45" t="s">
        <v>62</v>
      </c>
      <c r="AQ8" s="45">
        <v>0.0</v>
      </c>
      <c r="AR8" s="45" t="str">
        <f>VLOOKUP(B8,'Analysis data'!B:K,10,false)</f>
        <v>Accenture ASE &amp; TECH MAHINDRA &amp; CAPGEMINI-ANALYST</v>
      </c>
      <c r="AS8" s="45" t="s">
        <v>1197</v>
      </c>
      <c r="AT8" s="45" t="s">
        <v>1198</v>
      </c>
      <c r="AU8" s="45">
        <v>9.14</v>
      </c>
      <c r="AV8" s="45">
        <v>8.37</v>
      </c>
      <c r="AW8" s="45">
        <v>8.43</v>
      </c>
      <c r="AX8" s="45">
        <v>0.0</v>
      </c>
      <c r="AY8" s="45">
        <v>8.58</v>
      </c>
      <c r="AZ8" s="45">
        <v>8.6</v>
      </c>
      <c r="BC8" s="45" t="s">
        <v>1011</v>
      </c>
      <c r="BF8" s="45" t="s">
        <v>1028</v>
      </c>
    </row>
    <row r="9" hidden="1">
      <c r="A9" s="45">
        <v>8.0</v>
      </c>
      <c r="B9" s="45" t="s">
        <v>152</v>
      </c>
      <c r="C9" s="45" t="s">
        <v>1257</v>
      </c>
      <c r="D9" s="45" t="s">
        <v>1258</v>
      </c>
      <c r="E9" s="45" t="s">
        <v>153</v>
      </c>
      <c r="F9" s="45" t="str">
        <f>VLOOKUP(B9,'Analysis data'!$B$2:$C$358,2,false)</f>
        <v>A</v>
      </c>
      <c r="G9" s="45" t="str">
        <f>VLOOKUP(B9, 'Analysis data'!$B$2:$I$358, 8, FALSE)</f>
        <v> Management</v>
      </c>
      <c r="H9" s="124" t="s">
        <v>3470</v>
      </c>
      <c r="I9" s="125" t="s">
        <v>3473</v>
      </c>
      <c r="J9" s="153">
        <f>iferror(VLOOKUP(B9,'Screening test-1'!D:O,12,false),"Not attempted")</f>
        <v>48.53333</v>
      </c>
      <c r="K9" s="153" t="str">
        <f>IFERROR(VLOOKUP(B9,'Screening test-1'!D:R,15,false),"not qualified")</f>
        <v>NOT QUALIFIED</v>
      </c>
      <c r="L9" s="153">
        <f>IFERROR(VLOOKUP(B9,'Screening test-2'!D:R,12,false),"not qualified")</f>
        <v>48</v>
      </c>
      <c r="M9" s="153" t="str">
        <f>IFERROR(VLOOKUP(B9,'Screening test-2'!D:R,15,false),"not qualified")</f>
        <v>NOT QUALIFIED</v>
      </c>
      <c r="N9" s="119">
        <f>iferror(VLOOKUP(B9,'Screening test-1'!D:Q,12,false),"Not attempted")</f>
        <v>48.53333</v>
      </c>
      <c r="O9" s="119" t="str">
        <f>IFERROR(VLOOKUP(B9,'Screening test-1'!D:R,15,false),"Not Qualified")</f>
        <v>NOT QUALIFIED</v>
      </c>
      <c r="P9" s="119">
        <f>iferror(VLOOKUP(B9,'Screening test-2'!D:Q,12,false),"Not Attempted")</f>
        <v>48</v>
      </c>
      <c r="Q9" s="119" t="str">
        <f>IFERROR(VLOOKUP(B9,'Screening test-2'!D:R,15,false),"Not Qualified")</f>
        <v>NOT QUALIFIED</v>
      </c>
      <c r="R9" s="119">
        <v>7.15942E11</v>
      </c>
      <c r="S9" s="45">
        <f>VLOOKUP(B9,'Analysis data'!B:E,4,false)</f>
        <v>7.29</v>
      </c>
      <c r="T9" s="45">
        <v>817.0</v>
      </c>
      <c r="U9" s="45" t="s">
        <v>1003</v>
      </c>
      <c r="V9" s="45" t="s">
        <v>1003</v>
      </c>
      <c r="W9" s="45" t="s">
        <v>1259</v>
      </c>
      <c r="X9" s="45">
        <v>0.0</v>
      </c>
      <c r="Y9" s="45">
        <v>0.0</v>
      </c>
      <c r="Z9" s="45" t="s">
        <v>1260</v>
      </c>
      <c r="AA9" s="45" t="s">
        <v>46</v>
      </c>
      <c r="AB9" s="45" t="s">
        <v>1006</v>
      </c>
      <c r="AC9" s="45">
        <v>70.0</v>
      </c>
      <c r="AD9" s="45">
        <v>2019.0</v>
      </c>
      <c r="AE9" s="45">
        <v>88.0</v>
      </c>
      <c r="AF9" s="45">
        <v>2021.0</v>
      </c>
      <c r="AG9" s="45">
        <v>7.3</v>
      </c>
      <c r="AH9" s="45">
        <v>68.0</v>
      </c>
      <c r="AI9" s="45">
        <v>2025.0</v>
      </c>
      <c r="AJ9" s="45">
        <f>VLOOKUP(B9,'Analysis data'!$B$1:$F$358,5,false)</f>
        <v>0</v>
      </c>
      <c r="AK9" s="45">
        <v>1.0</v>
      </c>
      <c r="AL9" s="45" t="s">
        <v>1261</v>
      </c>
      <c r="AM9" s="45" t="s">
        <v>1262</v>
      </c>
      <c r="AN9" s="45">
        <v>6.304655163E9</v>
      </c>
      <c r="AO9" s="45">
        <v>9.989094187E9</v>
      </c>
      <c r="AP9" s="45">
        <v>0.0</v>
      </c>
      <c r="AQ9" s="45">
        <v>0.0</v>
      </c>
      <c r="AR9" s="45" t="str">
        <f>VLOOKUP(B9,'Analysis data'!B:K,10,false)</f>
        <v>CAPGEMINI-ANALYST</v>
      </c>
      <c r="AS9" s="45" t="s">
        <v>1263</v>
      </c>
      <c r="AT9" s="45" t="s">
        <v>1264</v>
      </c>
      <c r="AU9" s="45">
        <v>6.81</v>
      </c>
      <c r="AV9" s="45">
        <v>7.44</v>
      </c>
      <c r="AW9" s="45">
        <v>7.34</v>
      </c>
      <c r="AX9" s="45">
        <v>0.0</v>
      </c>
      <c r="AY9" s="45">
        <v>7.2</v>
      </c>
      <c r="AZ9" s="45">
        <v>7.24</v>
      </c>
      <c r="BC9" s="45" t="s">
        <v>1011</v>
      </c>
      <c r="BF9" s="45" t="s">
        <v>1012</v>
      </c>
    </row>
    <row r="10" hidden="1">
      <c r="A10" s="45">
        <v>9.0</v>
      </c>
      <c r="B10" s="45" t="s">
        <v>155</v>
      </c>
      <c r="C10" s="45" t="s">
        <v>1265</v>
      </c>
      <c r="D10" s="45" t="s">
        <v>1266</v>
      </c>
      <c r="E10" s="45" t="s">
        <v>156</v>
      </c>
      <c r="F10" s="45" t="str">
        <f>VLOOKUP(B10,'Analysis data'!$B$2:$C$358,2,false)</f>
        <v>A</v>
      </c>
      <c r="G10" s="45" t="str">
        <f>VLOOKUP(B10, 'Analysis data'!$B$2:$I$358, 8, FALSE)</f>
        <v> Management</v>
      </c>
      <c r="H10" s="124" t="s">
        <v>3470</v>
      </c>
      <c r="I10" s="125" t="s">
        <v>3473</v>
      </c>
      <c r="J10" s="153">
        <f>iferror(VLOOKUP(B10,'Screening test-1'!D:O,12,false),"Not attempted")</f>
        <v>62.73333</v>
      </c>
      <c r="K10" s="153" t="str">
        <f>IFERROR(VLOOKUP(B10,'Screening test-1'!D:R,15,false),"not qualified")</f>
        <v>QUALIFIED</v>
      </c>
      <c r="L10" s="153" t="str">
        <f>IFERROR(VLOOKUP(B10,'Screening test-2'!D:R,12,false),"not qualified")</f>
        <v>not qualified</v>
      </c>
      <c r="M10" s="153" t="str">
        <f>IFERROR(VLOOKUP(B10,'Screening test-2'!D:R,15,false),"not qualified")</f>
        <v>not qualified</v>
      </c>
      <c r="N10" s="119">
        <f>iferror(VLOOKUP(B10,'Screening test-1'!D:Q,12,false),"Not attempted")</f>
        <v>62.73333</v>
      </c>
      <c r="O10" s="119" t="str">
        <f>IFERROR(VLOOKUP(B10,'Screening test-1'!D:R,15,false),"Not Qualified")</f>
        <v>QUALIFIED</v>
      </c>
      <c r="P10" s="119" t="str">
        <f>iferror(VLOOKUP(B10,'Screening test-2'!D:Q,12,false),"Not Attempted")</f>
        <v>Not Attempted</v>
      </c>
      <c r="Q10" s="119" t="str">
        <f>IFERROR(VLOOKUP(B10,'Screening test-2'!D:R,15,false),"Not Qualified")</f>
        <v>Not Qualified</v>
      </c>
      <c r="R10" s="119">
        <v>2.90575E11</v>
      </c>
      <c r="S10" s="45">
        <f>VLOOKUP(B10,'Analysis data'!B:E,4,false)</f>
        <v>8.19</v>
      </c>
      <c r="T10" s="45">
        <v>963.0</v>
      </c>
      <c r="U10" s="45" t="s">
        <v>1003</v>
      </c>
      <c r="V10" s="45" t="s">
        <v>1003</v>
      </c>
      <c r="W10" s="45" t="s">
        <v>1123</v>
      </c>
      <c r="X10" s="45">
        <v>0.0</v>
      </c>
      <c r="Y10" s="45">
        <v>0.0</v>
      </c>
      <c r="Z10" s="45" t="s">
        <v>1267</v>
      </c>
      <c r="AA10" s="45" t="s">
        <v>46</v>
      </c>
      <c r="AB10" s="45" t="s">
        <v>1006</v>
      </c>
      <c r="AC10" s="45">
        <v>97.0</v>
      </c>
      <c r="AD10" s="45">
        <v>2019.0</v>
      </c>
      <c r="AE10" s="45">
        <v>97.4</v>
      </c>
      <c r="AF10" s="45">
        <v>2021.0</v>
      </c>
      <c r="AG10" s="45">
        <v>8.2</v>
      </c>
      <c r="AH10" s="45">
        <v>77.0</v>
      </c>
      <c r="AI10" s="45">
        <v>2025.0</v>
      </c>
      <c r="AJ10" s="45">
        <f>VLOOKUP(B10,'Analysis data'!$B$1:$F$358,5,false)</f>
        <v>0</v>
      </c>
      <c r="AK10" s="45">
        <v>0.0</v>
      </c>
      <c r="AL10" s="45" t="s">
        <v>1268</v>
      </c>
      <c r="AM10" s="45" t="s">
        <v>1269</v>
      </c>
      <c r="AN10" s="45">
        <v>8.919162146E9</v>
      </c>
      <c r="AO10" s="45">
        <v>9.550426999E9</v>
      </c>
      <c r="AP10" s="45" t="s">
        <v>3475</v>
      </c>
      <c r="AQ10" s="45" t="s">
        <v>90</v>
      </c>
      <c r="AR10" s="45" t="str">
        <f>VLOOKUP(B10,'Analysis data'!B:K,10,false)</f>
        <v>CORIZO-BDA &amp; SEOAK &amp; COGNIZANT-OFF CAMPUS</v>
      </c>
      <c r="AS10" s="45" t="s">
        <v>1270</v>
      </c>
      <c r="AT10" s="45" t="s">
        <v>1271</v>
      </c>
      <c r="AU10" s="45">
        <v>8.05</v>
      </c>
      <c r="AV10" s="45">
        <v>8.24</v>
      </c>
      <c r="AW10" s="45">
        <v>8.27</v>
      </c>
      <c r="AX10" s="45">
        <v>0.0</v>
      </c>
      <c r="AY10" s="45">
        <v>8.15</v>
      </c>
      <c r="AZ10" s="45">
        <v>8.15</v>
      </c>
      <c r="BC10" s="45" t="s">
        <v>1011</v>
      </c>
      <c r="BF10" s="45" t="s">
        <v>1012</v>
      </c>
    </row>
    <row r="11" hidden="1">
      <c r="A11" s="45">
        <v>10.0</v>
      </c>
      <c r="B11" s="45" t="s">
        <v>160</v>
      </c>
      <c r="C11" s="45" t="s">
        <v>1279</v>
      </c>
      <c r="D11" s="45" t="s">
        <v>1280</v>
      </c>
      <c r="E11" s="45" t="s">
        <v>161</v>
      </c>
      <c r="F11" s="45" t="str">
        <f>VLOOKUP(B11,'Analysis data'!$B$2:$C$358,2,false)</f>
        <v>A</v>
      </c>
      <c r="G11" s="45" t="str">
        <f>VLOOKUP(B11, 'Analysis data'!$B$2:$I$358, 8, FALSE)</f>
        <v> Convener</v>
      </c>
      <c r="H11" s="124" t="s">
        <v>3470</v>
      </c>
      <c r="I11" s="125" t="s">
        <v>3473</v>
      </c>
      <c r="J11" s="153">
        <f>iferror(VLOOKUP(B11,'Screening test-1'!D:O,12,false),"Not attempted")</f>
        <v>21</v>
      </c>
      <c r="K11" s="153" t="str">
        <f>IFERROR(VLOOKUP(B11,'Screening test-1'!D:R,15,false),"not qualified")</f>
        <v>NOT QUALIFIED</v>
      </c>
      <c r="L11" s="153" t="str">
        <f>IFERROR(VLOOKUP(B11,'Screening test-2'!D:R,12,false),"not qualified")</f>
        <v>not qualified</v>
      </c>
      <c r="M11" s="153" t="str">
        <f>IFERROR(VLOOKUP(B11,'Screening test-2'!D:R,15,false),"not qualified")</f>
        <v>not qualified</v>
      </c>
      <c r="N11" s="119">
        <f>iferror(VLOOKUP(B11,'Screening test-1'!D:Q,12,false),"Not attempted")</f>
        <v>21</v>
      </c>
      <c r="O11" s="119" t="str">
        <f>IFERROR(VLOOKUP(B11,'Screening test-1'!D:R,15,false),"Not Qualified")</f>
        <v>NOT QUALIFIED</v>
      </c>
      <c r="P11" s="119" t="str">
        <f>iferror(VLOOKUP(B11,'Screening test-2'!D:Q,12,false),"Not Attempted")</f>
        <v>Not Attempted</v>
      </c>
      <c r="Q11" s="119" t="str">
        <f>IFERROR(VLOOKUP(B11,'Screening test-2'!D:R,15,false),"Not Qualified")</f>
        <v>Not Qualified</v>
      </c>
      <c r="R11" s="119">
        <v>3.24007E11</v>
      </c>
      <c r="S11" s="45">
        <f>VLOOKUP(B11,'Analysis data'!B:E,4,false)</f>
        <v>7.75</v>
      </c>
      <c r="T11" s="45" t="s">
        <v>1003</v>
      </c>
      <c r="U11" s="45" t="s">
        <v>1003</v>
      </c>
      <c r="V11" s="45" t="s">
        <v>1003</v>
      </c>
      <c r="W11" s="45" t="s">
        <v>1123</v>
      </c>
      <c r="X11" s="45">
        <v>25146.0</v>
      </c>
      <c r="Y11" s="45">
        <v>0.0</v>
      </c>
      <c r="Z11" s="45" t="s">
        <v>1281</v>
      </c>
      <c r="AA11" s="45" t="s">
        <v>46</v>
      </c>
      <c r="AB11" s="45" t="s">
        <v>1006</v>
      </c>
      <c r="AC11" s="45">
        <v>97.0</v>
      </c>
      <c r="AD11" s="45">
        <v>2019.0</v>
      </c>
      <c r="AE11" s="45">
        <v>87.0</v>
      </c>
      <c r="AF11" s="45">
        <v>2021.0</v>
      </c>
      <c r="AG11" s="45">
        <v>7.8</v>
      </c>
      <c r="AH11" s="45">
        <v>73.0</v>
      </c>
      <c r="AI11" s="45">
        <v>2025.0</v>
      </c>
      <c r="AJ11" s="45">
        <f>VLOOKUP(B11,'Analysis data'!$B$1:$F$358,5,false)</f>
        <v>0</v>
      </c>
      <c r="AK11" s="45">
        <v>0.0</v>
      </c>
      <c r="AL11" s="45" t="s">
        <v>1282</v>
      </c>
      <c r="AM11" s="45" t="s">
        <v>1283</v>
      </c>
      <c r="AN11" s="45">
        <v>9.390925019E9</v>
      </c>
      <c r="AO11" s="45">
        <v>9.441938941E9</v>
      </c>
      <c r="AP11" s="45">
        <v>0.0</v>
      </c>
      <c r="AQ11" s="45">
        <v>0.0</v>
      </c>
      <c r="AR11" s="45" t="str">
        <f>VLOOKUP(B11,'Analysis data'!B:K,10,false)</f>
        <v/>
      </c>
      <c r="AS11" s="45" t="s">
        <v>1284</v>
      </c>
      <c r="AT11" s="45" t="s">
        <v>1285</v>
      </c>
      <c r="AU11" s="45">
        <v>7.95</v>
      </c>
      <c r="AV11" s="45">
        <v>7.39</v>
      </c>
      <c r="AW11" s="45">
        <v>7.14</v>
      </c>
      <c r="AX11" s="45">
        <v>0.0</v>
      </c>
      <c r="AY11" s="45">
        <v>7.63</v>
      </c>
      <c r="AZ11" s="45">
        <v>7.69</v>
      </c>
      <c r="BC11" s="45" t="s">
        <v>1011</v>
      </c>
      <c r="BF11" s="45" t="s">
        <v>1028</v>
      </c>
    </row>
    <row r="12" hidden="1">
      <c r="A12" s="45">
        <v>11.0</v>
      </c>
      <c r="B12" s="45" t="s">
        <v>165</v>
      </c>
      <c r="C12" s="45" t="s">
        <v>1293</v>
      </c>
      <c r="D12" s="45" t="s">
        <v>1294</v>
      </c>
      <c r="E12" s="45" t="s">
        <v>166</v>
      </c>
      <c r="F12" s="45" t="str">
        <f>VLOOKUP(B12,'Analysis data'!$B$2:$C$358,2,false)</f>
        <v>A</v>
      </c>
      <c r="G12" s="45" t="str">
        <f>VLOOKUP(B12, 'Analysis data'!$B$2:$I$358, 8, FALSE)</f>
        <v> Convener</v>
      </c>
      <c r="H12" s="124" t="s">
        <v>3470</v>
      </c>
      <c r="I12" s="125" t="s">
        <v>3473</v>
      </c>
      <c r="J12" s="153">
        <f>iferror(VLOOKUP(B12,'Screening test-1'!D:O,12,false),"Not attempted")</f>
        <v>40.33333</v>
      </c>
      <c r="K12" s="153" t="str">
        <f>IFERROR(VLOOKUP(B12,'Screening test-1'!D:R,15,false),"not qualified")</f>
        <v>NOT QUALIFIED</v>
      </c>
      <c r="L12" s="153">
        <f>IFERROR(VLOOKUP(B12,'Screening test-2'!D:R,12,false),"not qualified")</f>
        <v>48.26667</v>
      </c>
      <c r="M12" s="153" t="str">
        <f>IFERROR(VLOOKUP(B12,'Screening test-2'!D:R,15,false),"not qualified")</f>
        <v>NOT QUALIFIED</v>
      </c>
      <c r="N12" s="119">
        <f>iferror(VLOOKUP(B12,'Screening test-1'!D:Q,12,false),"Not attempted")</f>
        <v>40.33333</v>
      </c>
      <c r="O12" s="119" t="str">
        <f>IFERROR(VLOOKUP(B12,'Screening test-1'!D:R,15,false),"Not Qualified")</f>
        <v>NOT QUALIFIED</v>
      </c>
      <c r="P12" s="119">
        <f>iferror(VLOOKUP(B12,'Screening test-2'!D:Q,12,false),"Not Attempted")</f>
        <v>48.26667</v>
      </c>
      <c r="Q12" s="119" t="str">
        <f>IFERROR(VLOOKUP(B12,'Screening test-2'!D:R,15,false),"Not Qualified")</f>
        <v>NOT QUALIFIED</v>
      </c>
      <c r="R12" s="119">
        <v>4.1118E11</v>
      </c>
      <c r="S12" s="45" t="str">
        <f>VLOOKUP(B12,'Analysis data'!B:E,4,false)</f>
        <v/>
      </c>
      <c r="T12" s="45" t="s">
        <v>1003</v>
      </c>
      <c r="U12" s="45" t="s">
        <v>1003</v>
      </c>
      <c r="V12" s="45" t="s">
        <v>1003</v>
      </c>
      <c r="W12" s="45" t="s">
        <v>1295</v>
      </c>
      <c r="X12" s="45">
        <v>20302.0</v>
      </c>
      <c r="Y12" s="45">
        <v>0.0</v>
      </c>
      <c r="Z12" s="45" t="s">
        <v>1296</v>
      </c>
      <c r="AA12" s="45" t="s">
        <v>46</v>
      </c>
      <c r="AB12" s="45" t="s">
        <v>1006</v>
      </c>
      <c r="AC12" s="45">
        <v>95.0</v>
      </c>
      <c r="AD12" s="45">
        <v>2019.0</v>
      </c>
      <c r="AE12" s="45">
        <v>96.0</v>
      </c>
      <c r="AF12" s="45">
        <v>2021.0</v>
      </c>
      <c r="AG12" s="45">
        <v>0.0</v>
      </c>
      <c r="AH12" s="45">
        <v>-5.0</v>
      </c>
      <c r="AI12" s="45">
        <v>2025.0</v>
      </c>
      <c r="AJ12" s="45">
        <f>VLOOKUP(B12,'Analysis data'!$B$1:$F$358,5,false)</f>
        <v>1</v>
      </c>
      <c r="AK12" s="45">
        <v>2.0</v>
      </c>
      <c r="AL12" s="45" t="s">
        <v>1297</v>
      </c>
      <c r="AM12" s="45" t="s">
        <v>1298</v>
      </c>
      <c r="AN12" s="45">
        <v>6.304314963E9</v>
      </c>
      <c r="AO12" s="45">
        <v>9.963851326E9</v>
      </c>
      <c r="AP12" s="45">
        <v>0.0</v>
      </c>
      <c r="AQ12" s="45">
        <v>0.0</v>
      </c>
      <c r="AR12" s="45" t="str">
        <f>VLOOKUP(B12,'Analysis data'!B:K,10,false)</f>
        <v/>
      </c>
      <c r="AS12" s="45" t="s">
        <v>1299</v>
      </c>
      <c r="AT12" s="45" t="s">
        <v>1300</v>
      </c>
      <c r="AU12" s="45">
        <v>7.97</v>
      </c>
      <c r="AV12" s="45">
        <v>7.73</v>
      </c>
      <c r="AW12" s="45">
        <v>7.3</v>
      </c>
      <c r="AX12" s="45">
        <v>0.0</v>
      </c>
      <c r="AY12" s="45">
        <v>7.49</v>
      </c>
      <c r="AZ12" s="45">
        <v>0.0</v>
      </c>
      <c r="BC12" s="45" t="s">
        <v>1011</v>
      </c>
      <c r="BF12" s="45" t="s">
        <v>1012</v>
      </c>
    </row>
    <row r="13" hidden="1">
      <c r="A13" s="45">
        <v>12.0</v>
      </c>
      <c r="B13" s="45" t="s">
        <v>173</v>
      </c>
      <c r="C13" s="45" t="s">
        <v>1323</v>
      </c>
      <c r="D13" s="45" t="s">
        <v>1324</v>
      </c>
      <c r="E13" s="45" t="s">
        <v>174</v>
      </c>
      <c r="F13" s="45" t="str">
        <f>VLOOKUP(B13,'Analysis data'!$B$2:$C$358,2,false)</f>
        <v>A</v>
      </c>
      <c r="G13" s="45" t="str">
        <f>VLOOKUP(B13, 'Analysis data'!$B$2:$I$358, 8, FALSE)</f>
        <v> Management</v>
      </c>
      <c r="H13" s="124" t="s">
        <v>3470</v>
      </c>
      <c r="I13" s="125" t="s">
        <v>3473</v>
      </c>
      <c r="J13" s="153" t="str">
        <f>iferror(VLOOKUP(B13,'Screening test-1'!D:O,12,false),"Not attempted")</f>
        <v>Not attempted</v>
      </c>
      <c r="K13" s="153" t="str">
        <f>IFERROR(VLOOKUP(B13,'Screening test-1'!D:R,15,false),"not qualified")</f>
        <v>not qualified</v>
      </c>
      <c r="L13" s="153">
        <f>IFERROR(VLOOKUP(B13,'Screening test-2'!D:R,12,false),"not qualified")</f>
        <v>39</v>
      </c>
      <c r="M13" s="153" t="str">
        <f>IFERROR(VLOOKUP(B13,'Screening test-2'!D:R,15,false),"not qualified")</f>
        <v>NOT QUALIFIED</v>
      </c>
      <c r="N13" s="119" t="str">
        <f>iferror(VLOOKUP(B13,'Screening test-1'!D:Q,12,false),"Not attempted")</f>
        <v>Not attempted</v>
      </c>
      <c r="O13" s="119" t="str">
        <f>IFERROR(VLOOKUP(B13,'Screening test-1'!D:R,15,false),"Not Qualified")</f>
        <v>Not Qualified</v>
      </c>
      <c r="P13" s="119">
        <f>iferror(VLOOKUP(B13,'Screening test-2'!D:Q,12,false),"Not Attempted")</f>
        <v>39</v>
      </c>
      <c r="Q13" s="119" t="str">
        <f>IFERROR(VLOOKUP(B13,'Screening test-2'!D:R,15,false),"Not Qualified")</f>
        <v>NOT QUALIFIED</v>
      </c>
      <c r="R13" s="119">
        <v>3.36781E11</v>
      </c>
      <c r="S13" s="45" t="str">
        <f>VLOOKUP(B13,'Analysis data'!B:E,4,false)</f>
        <v/>
      </c>
      <c r="T13" s="45" t="s">
        <v>1003</v>
      </c>
      <c r="U13" s="45" t="s">
        <v>1003</v>
      </c>
      <c r="V13" s="45" t="s">
        <v>1003</v>
      </c>
      <c r="W13" s="45" t="s">
        <v>1325</v>
      </c>
      <c r="X13" s="45">
        <v>0.0</v>
      </c>
      <c r="Y13" s="45">
        <v>0.0</v>
      </c>
      <c r="Z13" s="45" t="s">
        <v>1326</v>
      </c>
      <c r="AA13" s="45" t="s">
        <v>46</v>
      </c>
      <c r="AB13" s="45" t="s">
        <v>1006</v>
      </c>
      <c r="AC13" s="45">
        <v>71.2</v>
      </c>
      <c r="AD13" s="45">
        <v>2019.0</v>
      </c>
      <c r="AE13" s="45">
        <v>85.0</v>
      </c>
      <c r="AF13" s="45">
        <v>2021.0</v>
      </c>
      <c r="AG13" s="45">
        <v>6.59</v>
      </c>
      <c r="AH13" s="45">
        <v>60.9</v>
      </c>
      <c r="AI13" s="45">
        <v>2025.0</v>
      </c>
      <c r="AJ13" s="45">
        <f>VLOOKUP(B13,'Analysis data'!$B$1:$F$358,5,false)</f>
        <v>2</v>
      </c>
      <c r="AK13" s="45">
        <v>11.0</v>
      </c>
      <c r="AL13" s="45" t="s">
        <v>1327</v>
      </c>
      <c r="AM13" s="45" t="s">
        <v>1328</v>
      </c>
      <c r="AN13" s="45">
        <v>7.288073616E9</v>
      </c>
      <c r="AO13" s="45">
        <v>9.440723973E9</v>
      </c>
      <c r="AP13" s="45">
        <v>0.0</v>
      </c>
      <c r="AQ13" s="45">
        <v>0.0</v>
      </c>
      <c r="AR13" s="45" t="str">
        <f>VLOOKUP(B13,'Analysis data'!B:K,10,false)</f>
        <v>EDU-VERSITY</v>
      </c>
      <c r="AS13" s="45" t="s">
        <v>1329</v>
      </c>
      <c r="AT13" s="45" t="s">
        <v>1330</v>
      </c>
      <c r="AU13" s="45">
        <v>7.32</v>
      </c>
      <c r="AV13" s="45">
        <v>0.0</v>
      </c>
      <c r="AW13" s="45">
        <v>6.72</v>
      </c>
      <c r="AX13" s="45">
        <v>0.0</v>
      </c>
      <c r="AY13" s="45">
        <v>5.62</v>
      </c>
      <c r="AZ13" s="45">
        <v>0.0</v>
      </c>
      <c r="BC13" s="45" t="s">
        <v>1011</v>
      </c>
      <c r="BF13" s="45" t="s">
        <v>1012</v>
      </c>
    </row>
    <row r="14" hidden="1">
      <c r="A14" s="45">
        <v>13.0</v>
      </c>
      <c r="B14" s="45" t="s">
        <v>179</v>
      </c>
      <c r="C14" s="45" t="s">
        <v>1339</v>
      </c>
      <c r="D14" s="45" t="s">
        <v>1340</v>
      </c>
      <c r="E14" s="45" t="s">
        <v>180</v>
      </c>
      <c r="F14" s="45" t="str">
        <f>VLOOKUP(B14,'Analysis data'!$B$2:$C$358,2,false)</f>
        <v>A</v>
      </c>
      <c r="G14" s="45" t="str">
        <f>VLOOKUP(B14, 'Analysis data'!$B$2:$I$358, 8, FALSE)</f>
        <v> Convener</v>
      </c>
      <c r="H14" s="124" t="s">
        <v>3470</v>
      </c>
      <c r="I14" s="125" t="s">
        <v>3477</v>
      </c>
      <c r="J14" s="153">
        <f>iferror(VLOOKUP(B14,'Screening test-1'!D:O,12,false),"Not attempted")</f>
        <v>38</v>
      </c>
      <c r="K14" s="153" t="str">
        <f>IFERROR(VLOOKUP(B14,'Screening test-1'!D:R,15,false),"not qualified")</f>
        <v>NOT QUALIFIED</v>
      </c>
      <c r="L14" s="153">
        <f>IFERROR(VLOOKUP(B14,'Screening test-2'!D:R,12,false),"not qualified")</f>
        <v>39.03333</v>
      </c>
      <c r="M14" s="153" t="str">
        <f>IFERROR(VLOOKUP(B14,'Screening test-2'!D:R,15,false),"not qualified")</f>
        <v>NOT QUALIFIED</v>
      </c>
      <c r="N14" s="119">
        <f>iferror(VLOOKUP(B14,'Screening test-1'!D:Q,12,false),"Not attempted")</f>
        <v>38</v>
      </c>
      <c r="O14" s="119" t="str">
        <f>IFERROR(VLOOKUP(B14,'Screening test-1'!D:R,15,false),"Not Qualified")</f>
        <v>NOT QUALIFIED</v>
      </c>
      <c r="P14" s="119">
        <f>iferror(VLOOKUP(B14,'Screening test-2'!D:Q,12,false),"Not Attempted")</f>
        <v>39.03333</v>
      </c>
      <c r="Q14" s="119" t="str">
        <f>IFERROR(VLOOKUP(B14,'Screening test-2'!D:R,15,false),"Not Qualified")</f>
        <v>NOT QUALIFIED</v>
      </c>
      <c r="R14" s="119">
        <v>3.40361E11</v>
      </c>
      <c r="S14" s="45" t="str">
        <f>VLOOKUP(B14,'Analysis data'!B:E,4,false)</f>
        <v/>
      </c>
      <c r="T14" s="45" t="s">
        <v>1003</v>
      </c>
      <c r="U14" s="45" t="s">
        <v>1003</v>
      </c>
      <c r="V14" s="45" t="s">
        <v>1003</v>
      </c>
      <c r="W14" s="45" t="s">
        <v>1341</v>
      </c>
      <c r="X14" s="45">
        <v>24771.0</v>
      </c>
      <c r="Y14" s="45">
        <v>0.0</v>
      </c>
      <c r="Z14" s="121">
        <v>37289.0</v>
      </c>
      <c r="AA14" s="45" t="s">
        <v>46</v>
      </c>
      <c r="AB14" s="45" t="s">
        <v>1006</v>
      </c>
      <c r="AC14" s="45">
        <v>93.0</v>
      </c>
      <c r="AD14" s="45">
        <v>2019.0</v>
      </c>
      <c r="AE14" s="45">
        <v>92.8</v>
      </c>
      <c r="AF14" s="45">
        <v>2021.0</v>
      </c>
      <c r="AG14" s="45">
        <v>7.61</v>
      </c>
      <c r="AH14" s="45">
        <v>71.1</v>
      </c>
      <c r="AI14" s="45">
        <v>2025.0</v>
      </c>
      <c r="AJ14" s="45">
        <f>VLOOKUP(B14,'Analysis data'!$B$1:$F$358,5,false)</f>
        <v>1</v>
      </c>
      <c r="AK14" s="45">
        <v>0.0</v>
      </c>
      <c r="AL14" s="45" t="s">
        <v>1342</v>
      </c>
      <c r="AM14" s="45" t="s">
        <v>1343</v>
      </c>
      <c r="AN14" s="45">
        <v>7.995423141E9</v>
      </c>
      <c r="AO14" s="45">
        <v>9.392854843E9</v>
      </c>
      <c r="AP14" s="45">
        <v>0.0</v>
      </c>
      <c r="AQ14" s="45">
        <v>0.0</v>
      </c>
      <c r="AR14" s="45" t="str">
        <f>VLOOKUP(B14,'Analysis data'!B:K,10,false)</f>
        <v>MRF</v>
      </c>
      <c r="AS14" s="45" t="s">
        <v>1344</v>
      </c>
      <c r="AT14" s="45" t="s">
        <v>1345</v>
      </c>
      <c r="AU14" s="45">
        <v>7.49</v>
      </c>
      <c r="AV14" s="45">
        <v>6.98</v>
      </c>
      <c r="AW14" s="45">
        <v>8.25</v>
      </c>
      <c r="AX14" s="45">
        <v>0.0</v>
      </c>
      <c r="AY14" s="45">
        <v>7.6</v>
      </c>
      <c r="AZ14" s="45">
        <v>7.62</v>
      </c>
      <c r="BC14" s="45" t="s">
        <v>1011</v>
      </c>
      <c r="BF14" s="45" t="s">
        <v>1012</v>
      </c>
    </row>
    <row r="15" hidden="1">
      <c r="A15" s="45">
        <v>14.0</v>
      </c>
      <c r="B15" s="45" t="s">
        <v>184</v>
      </c>
      <c r="C15" s="45" t="s">
        <v>1354</v>
      </c>
      <c r="D15" s="45" t="s">
        <v>1355</v>
      </c>
      <c r="E15" s="45" t="s">
        <v>185</v>
      </c>
      <c r="F15" s="45" t="str">
        <f>VLOOKUP(B15,'Analysis data'!$B$2:$C$358,2,false)</f>
        <v>A</v>
      </c>
      <c r="G15" s="45" t="str">
        <f>VLOOKUP(B15, 'Analysis data'!$B$2:$I$358, 8, FALSE)</f>
        <v> Management</v>
      </c>
      <c r="H15" s="124" t="s">
        <v>3470</v>
      </c>
      <c r="I15" s="125" t="s">
        <v>3477</v>
      </c>
      <c r="J15" s="153" t="str">
        <f>iferror(VLOOKUP(B15,'Screening test-1'!D:O,12,false),"Not attempted")</f>
        <v>Not attempted</v>
      </c>
      <c r="K15" s="153" t="str">
        <f>IFERROR(VLOOKUP(B15,'Screening test-1'!D:R,15,false),"not qualified")</f>
        <v>not qualified</v>
      </c>
      <c r="L15" s="153" t="str">
        <f>IFERROR(VLOOKUP(B15,'Screening test-2'!D:R,12,false),"not qualified")</f>
        <v>not qualified</v>
      </c>
      <c r="M15" s="153" t="str">
        <f>IFERROR(VLOOKUP(B15,'Screening test-2'!D:R,15,false),"not qualified")</f>
        <v>not qualified</v>
      </c>
      <c r="N15" s="119" t="str">
        <f>iferror(VLOOKUP(B15,'Screening test-1'!D:Q,12,false),"Not attempted")</f>
        <v>Not attempted</v>
      </c>
      <c r="O15" s="119" t="str">
        <f>IFERROR(VLOOKUP(B15,'Screening test-1'!D:R,15,false),"Not Qualified")</f>
        <v>Not Qualified</v>
      </c>
      <c r="P15" s="119" t="str">
        <f>iferror(VLOOKUP(B15,'Screening test-2'!D:Q,12,false),"Not Attempted")</f>
        <v>Not Attempted</v>
      </c>
      <c r="Q15" s="119" t="str">
        <f>IFERROR(VLOOKUP(B15,'Screening test-2'!D:R,15,false),"Not Qualified")</f>
        <v>Not Qualified</v>
      </c>
      <c r="R15" s="119">
        <v>4.33767E11</v>
      </c>
      <c r="S15" s="45">
        <f>VLOOKUP(B15,'Analysis data'!B:E,4,false)</f>
        <v>7.63</v>
      </c>
      <c r="T15" s="45" t="s">
        <v>1003</v>
      </c>
      <c r="U15" s="45" t="s">
        <v>1003</v>
      </c>
      <c r="V15" s="45" t="s">
        <v>1003</v>
      </c>
      <c r="W15" s="45" t="s">
        <v>1356</v>
      </c>
      <c r="X15" s="45">
        <v>0.0</v>
      </c>
      <c r="Y15" s="45">
        <v>0.0</v>
      </c>
      <c r="Z15" s="121">
        <v>38177.0</v>
      </c>
      <c r="AA15" s="45" t="s">
        <v>46</v>
      </c>
      <c r="AB15" s="45" t="s">
        <v>1006</v>
      </c>
      <c r="AC15" s="45">
        <v>81.0</v>
      </c>
      <c r="AD15" s="45">
        <v>2019.0</v>
      </c>
      <c r="AE15" s="45">
        <v>78.0</v>
      </c>
      <c r="AF15" s="45">
        <v>2021.0</v>
      </c>
      <c r="AG15" s="45">
        <v>7.6</v>
      </c>
      <c r="AH15" s="45">
        <v>71.0</v>
      </c>
      <c r="AI15" s="45">
        <v>2025.0</v>
      </c>
      <c r="AJ15" s="45">
        <f>VLOOKUP(B15,'Analysis data'!$B$1:$F$358,5,false)</f>
        <v>0</v>
      </c>
      <c r="AK15" s="45">
        <v>0.0</v>
      </c>
      <c r="AL15" s="45" t="s">
        <v>1357</v>
      </c>
      <c r="AM15" s="45" t="s">
        <v>1358</v>
      </c>
      <c r="AN15" s="45">
        <v>9.390999758E9</v>
      </c>
      <c r="AO15" s="45">
        <v>9.848064779E9</v>
      </c>
      <c r="AP15" s="45">
        <v>0.0</v>
      </c>
      <c r="AQ15" s="45">
        <v>0.0</v>
      </c>
      <c r="AR15" s="45" t="str">
        <f>VLOOKUP(B15,'Analysis data'!B:K,10,false)</f>
        <v/>
      </c>
      <c r="AS15" s="45" t="s">
        <v>1359</v>
      </c>
      <c r="AT15" s="45" t="s">
        <v>1360</v>
      </c>
      <c r="AU15" s="45">
        <v>7.35</v>
      </c>
      <c r="AV15" s="45">
        <v>7.66</v>
      </c>
      <c r="AW15" s="45">
        <v>0.0</v>
      </c>
      <c r="AX15" s="45">
        <v>0.0</v>
      </c>
      <c r="AY15" s="45">
        <v>7.62</v>
      </c>
      <c r="AZ15" s="45">
        <v>7.62</v>
      </c>
      <c r="BC15" s="45" t="s">
        <v>1011</v>
      </c>
      <c r="BF15" s="45" t="s">
        <v>1012</v>
      </c>
    </row>
    <row r="16" hidden="1">
      <c r="A16" s="45">
        <v>15.0</v>
      </c>
      <c r="B16" s="45" t="s">
        <v>202</v>
      </c>
      <c r="C16" s="45" t="s">
        <v>1402</v>
      </c>
      <c r="D16" s="45" t="s">
        <v>1403</v>
      </c>
      <c r="E16" s="45" t="s">
        <v>203</v>
      </c>
      <c r="F16" s="45" t="str">
        <f>VLOOKUP(B16,'Analysis data'!$B$2:$C$358,2,false)</f>
        <v>A</v>
      </c>
      <c r="G16" s="45" t="str">
        <f>VLOOKUP(B16, 'Analysis data'!$B$2:$I$358, 8, FALSE)</f>
        <v> Convener</v>
      </c>
      <c r="H16" s="124" t="s">
        <v>3470</v>
      </c>
      <c r="I16" s="125" t="s">
        <v>3477</v>
      </c>
      <c r="J16" s="153">
        <f>iferror(VLOOKUP(B16,'Screening test-1'!D:O,12,false),"Not attempted")</f>
        <v>47.33333</v>
      </c>
      <c r="K16" s="153" t="str">
        <f>IFERROR(VLOOKUP(B16,'Screening test-1'!D:R,15,false),"not qualified")</f>
        <v>NOT QUALIFIED</v>
      </c>
      <c r="L16" s="153">
        <f>IFERROR(VLOOKUP(B16,'Screening test-2'!D:R,12,false),"not qualified")</f>
        <v>39.66667</v>
      </c>
      <c r="M16" s="153" t="str">
        <f>IFERROR(VLOOKUP(B16,'Screening test-2'!D:R,15,false),"not qualified")</f>
        <v>NOT QUALIFIED</v>
      </c>
      <c r="N16" s="119">
        <f>iferror(VLOOKUP(B16,'Screening test-1'!D:Q,12,false),"Not attempted")</f>
        <v>47.33333</v>
      </c>
      <c r="O16" s="119" t="str">
        <f>IFERROR(VLOOKUP(B16,'Screening test-1'!D:R,15,false),"Not Qualified")</f>
        <v>NOT QUALIFIED</v>
      </c>
      <c r="P16" s="119">
        <f>iferror(VLOOKUP(B16,'Screening test-2'!D:Q,12,false),"Not Attempted")</f>
        <v>39.66667</v>
      </c>
      <c r="Q16" s="119" t="str">
        <f>IFERROR(VLOOKUP(B16,'Screening test-2'!D:R,15,false),"Not Qualified")</f>
        <v>NOT QUALIFIED</v>
      </c>
      <c r="R16" s="119">
        <v>7.80262E11</v>
      </c>
      <c r="S16" s="45">
        <f>VLOOKUP(B16,'Analysis data'!B:E,4,false)</f>
        <v>7.75</v>
      </c>
      <c r="T16" s="45">
        <v>731.0</v>
      </c>
      <c r="U16" s="45" t="s">
        <v>1003</v>
      </c>
      <c r="V16" s="45" t="s">
        <v>1003</v>
      </c>
      <c r="W16" s="45" t="s">
        <v>1404</v>
      </c>
      <c r="X16" s="45">
        <v>19238.0</v>
      </c>
      <c r="Y16" s="45">
        <v>0.0</v>
      </c>
      <c r="Z16" s="45" t="s">
        <v>1405</v>
      </c>
      <c r="AA16" s="45" t="s">
        <v>46</v>
      </c>
      <c r="AB16" s="45" t="s">
        <v>1006</v>
      </c>
      <c r="AC16" s="45">
        <v>93.0</v>
      </c>
      <c r="AD16" s="45">
        <v>2019.0</v>
      </c>
      <c r="AE16" s="45">
        <v>93.8</v>
      </c>
      <c r="AF16" s="45">
        <v>2021.0</v>
      </c>
      <c r="AG16" s="45">
        <v>7.8</v>
      </c>
      <c r="AH16" s="45">
        <v>73.0</v>
      </c>
      <c r="AI16" s="45">
        <v>2025.0</v>
      </c>
      <c r="AJ16" s="45">
        <f>VLOOKUP(B16,'Analysis data'!$B$1:$F$358,5,false)</f>
        <v>0</v>
      </c>
      <c r="AK16" s="45">
        <v>0.0</v>
      </c>
      <c r="AL16" s="45" t="s">
        <v>1406</v>
      </c>
      <c r="AM16" s="45" t="s">
        <v>1407</v>
      </c>
      <c r="AN16" s="45">
        <v>7.075367367E9</v>
      </c>
      <c r="AO16" s="45">
        <v>7.799224242E9</v>
      </c>
      <c r="AP16" s="45">
        <v>0.0</v>
      </c>
      <c r="AQ16" s="45">
        <v>0.0</v>
      </c>
      <c r="AR16" s="45" t="str">
        <f>VLOOKUP(B16,'Analysis data'!B:K,10,false)</f>
        <v>ASSET10 SOFTWARE</v>
      </c>
      <c r="AS16" s="45" t="s">
        <v>1408</v>
      </c>
      <c r="AT16" s="45" t="s">
        <v>1409</v>
      </c>
      <c r="AU16" s="45">
        <v>7.59</v>
      </c>
      <c r="AV16" s="45">
        <v>8.07</v>
      </c>
      <c r="AW16" s="45">
        <v>8.34</v>
      </c>
      <c r="AX16" s="45">
        <v>0.0</v>
      </c>
      <c r="AY16" s="45">
        <v>7.82</v>
      </c>
      <c r="AZ16" s="45">
        <v>7.73</v>
      </c>
      <c r="BF16" s="45" t="s">
        <v>1012</v>
      </c>
    </row>
    <row r="17" hidden="1">
      <c r="A17" s="45">
        <v>16.0</v>
      </c>
      <c r="B17" s="45" t="s">
        <v>229</v>
      </c>
      <c r="C17" s="45" t="s">
        <v>1477</v>
      </c>
      <c r="D17" s="45" t="s">
        <v>1478</v>
      </c>
      <c r="E17" s="45" t="s">
        <v>230</v>
      </c>
      <c r="F17" s="45" t="str">
        <f>VLOOKUP(B17,'Analysis data'!$B$2:$C$358,2,false)</f>
        <v>A</v>
      </c>
      <c r="G17" s="45" t="str">
        <f>VLOOKUP(B17, 'Analysis data'!$B$2:$I$358, 8, FALSE)</f>
        <v> Convener</v>
      </c>
      <c r="H17" s="124" t="s">
        <v>3470</v>
      </c>
      <c r="I17" s="125" t="s">
        <v>3477</v>
      </c>
      <c r="J17" s="153">
        <f>iferror(VLOOKUP(B17,'Screening test-1'!D:O,12,false),"Not attempted")</f>
        <v>28.56667</v>
      </c>
      <c r="K17" s="153" t="str">
        <f>IFERROR(VLOOKUP(B17,'Screening test-1'!D:R,15,false),"not qualified")</f>
        <v>NOT QUALIFIED</v>
      </c>
      <c r="L17" s="153" t="str">
        <f>IFERROR(VLOOKUP(B17,'Screening test-2'!D:R,12,false),"not qualified")</f>
        <v>not qualified</v>
      </c>
      <c r="M17" s="153" t="str">
        <f>IFERROR(VLOOKUP(B17,'Screening test-2'!D:R,15,false),"not qualified")</f>
        <v>not qualified</v>
      </c>
      <c r="N17" s="119">
        <f>iferror(VLOOKUP(B17,'Screening test-1'!D:Q,12,false),"Not attempted")</f>
        <v>28.56667</v>
      </c>
      <c r="O17" s="119" t="str">
        <f>IFERROR(VLOOKUP(B17,'Screening test-1'!D:R,15,false),"Not Qualified")</f>
        <v>NOT QUALIFIED</v>
      </c>
      <c r="P17" s="119" t="str">
        <f>iferror(VLOOKUP(B17,'Screening test-2'!D:Q,12,false),"Not Attempted")</f>
        <v>Not Attempted</v>
      </c>
      <c r="Q17" s="119" t="str">
        <f>IFERROR(VLOOKUP(B17,'Screening test-2'!D:R,15,false),"Not Qualified")</f>
        <v>Not Qualified</v>
      </c>
      <c r="R17" s="119">
        <v>6.46083E11</v>
      </c>
      <c r="S17" s="45">
        <f>VLOOKUP(B17,'Analysis data'!B:E,4,false)</f>
        <v>7.95</v>
      </c>
      <c r="T17" s="45">
        <v>499.0</v>
      </c>
      <c r="U17" s="45" t="s">
        <v>1003</v>
      </c>
      <c r="V17" s="45" t="s">
        <v>1003</v>
      </c>
      <c r="W17" s="45" t="s">
        <v>1479</v>
      </c>
      <c r="X17" s="45">
        <v>29841.0</v>
      </c>
      <c r="Y17" s="45">
        <v>0.0</v>
      </c>
      <c r="Z17" s="121">
        <v>38174.0</v>
      </c>
      <c r="AA17" s="45" t="s">
        <v>46</v>
      </c>
      <c r="AB17" s="45" t="s">
        <v>1006</v>
      </c>
      <c r="AC17" s="45">
        <v>90.25</v>
      </c>
      <c r="AD17" s="45">
        <v>2019.0</v>
      </c>
      <c r="AE17" s="45">
        <v>95.0</v>
      </c>
      <c r="AF17" s="45">
        <v>2021.0</v>
      </c>
      <c r="AG17" s="45">
        <v>8.0</v>
      </c>
      <c r="AH17" s="45">
        <v>75.0</v>
      </c>
      <c r="AI17" s="45">
        <v>2025.0</v>
      </c>
      <c r="AJ17" s="45">
        <f>VLOOKUP(B17,'Analysis data'!$B$1:$F$358,5,false)</f>
        <v>0</v>
      </c>
      <c r="AK17" s="45">
        <v>0.0</v>
      </c>
      <c r="AL17" s="45" t="s">
        <v>1480</v>
      </c>
      <c r="AM17" s="45" t="s">
        <v>1481</v>
      </c>
      <c r="AN17" s="45">
        <v>9.704903605E9</v>
      </c>
      <c r="AO17" s="45">
        <v>9.866287439E9</v>
      </c>
      <c r="AP17" s="45" t="s">
        <v>3478</v>
      </c>
      <c r="AQ17" s="45" t="s">
        <v>515</v>
      </c>
      <c r="AR17" s="45" t="str">
        <f>VLOOKUP(B17,'Analysis data'!B:K,10,false)</f>
        <v>CORIZO-BDA &amp; MOVATE1-DIS &amp; CAPGEMINI-SSE</v>
      </c>
      <c r="AS17" s="45" t="s">
        <v>1482</v>
      </c>
      <c r="AT17" s="45" t="s">
        <v>1483</v>
      </c>
      <c r="AU17" s="45">
        <v>7.41</v>
      </c>
      <c r="AV17" s="45">
        <v>7.78</v>
      </c>
      <c r="AW17" s="45">
        <v>7.45</v>
      </c>
      <c r="AX17" s="45">
        <v>0.0</v>
      </c>
      <c r="AY17" s="45">
        <v>7.81</v>
      </c>
      <c r="AZ17" s="45">
        <v>7.85</v>
      </c>
      <c r="BC17" s="45" t="s">
        <v>1011</v>
      </c>
      <c r="BF17" s="45" t="s">
        <v>1028</v>
      </c>
    </row>
    <row r="18" hidden="1">
      <c r="A18" s="45">
        <v>17.0</v>
      </c>
      <c r="B18" s="45" t="s">
        <v>238</v>
      </c>
      <c r="C18" s="45" t="s">
        <v>1498</v>
      </c>
      <c r="D18" s="45" t="s">
        <v>1499</v>
      </c>
      <c r="E18" s="45" t="s">
        <v>239</v>
      </c>
      <c r="F18" s="45" t="str">
        <f>VLOOKUP(B18,'Analysis data'!$B$2:$C$358,2,false)</f>
        <v>A</v>
      </c>
      <c r="G18" s="45" t="str">
        <f>VLOOKUP(B18, 'Analysis data'!$B$2:$I$358, 8, FALSE)</f>
        <v> Management</v>
      </c>
      <c r="H18" s="124" t="s">
        <v>3470</v>
      </c>
      <c r="I18" s="125" t="s">
        <v>3470</v>
      </c>
      <c r="J18" s="153">
        <f>iferror(VLOOKUP(B18,'Screening test-1'!D:O,12,false),"Not attempted")</f>
        <v>64.53333</v>
      </c>
      <c r="K18" s="153" t="str">
        <f>IFERROR(VLOOKUP(B18,'Screening test-1'!D:R,15,false),"not qualified")</f>
        <v>QUALIFIED</v>
      </c>
      <c r="L18" s="153">
        <f>IFERROR(VLOOKUP(B18,'Screening test-2'!D:R,12,false),"not qualified")</f>
        <v>32.96667</v>
      </c>
      <c r="M18" s="153" t="str">
        <f>IFERROR(VLOOKUP(B18,'Screening test-2'!D:R,15,false),"not qualified")</f>
        <v>NOT QUALIFIED</v>
      </c>
      <c r="N18" s="119">
        <f>iferror(VLOOKUP(B18,'Screening test-1'!D:Q,12,false),"Not attempted")</f>
        <v>64.53333</v>
      </c>
      <c r="O18" s="119" t="str">
        <f>IFERROR(VLOOKUP(B18,'Screening test-1'!D:R,15,false),"Not Qualified")</f>
        <v>QUALIFIED</v>
      </c>
      <c r="P18" s="119">
        <f>iferror(VLOOKUP(B18,'Screening test-2'!D:Q,12,false),"Not Attempted")</f>
        <v>32.96667</v>
      </c>
      <c r="Q18" s="119" t="str">
        <f>IFERROR(VLOOKUP(B18,'Screening test-2'!D:R,15,false),"Not Qualified")</f>
        <v>NOT QUALIFIED</v>
      </c>
      <c r="R18" s="119">
        <v>3.42292E11</v>
      </c>
      <c r="S18" s="45">
        <f>VLOOKUP(B18,'Analysis data'!B:E,4,false)</f>
        <v>7.46</v>
      </c>
      <c r="T18" s="45" t="s">
        <v>1003</v>
      </c>
      <c r="U18" s="45" t="s">
        <v>1003</v>
      </c>
      <c r="V18" s="45" t="s">
        <v>1003</v>
      </c>
      <c r="W18" s="45" t="s">
        <v>1140</v>
      </c>
      <c r="X18" s="45">
        <v>0.0</v>
      </c>
      <c r="Y18" s="45">
        <v>1025.0</v>
      </c>
      <c r="Z18" s="45" t="s">
        <v>1500</v>
      </c>
      <c r="AA18" s="45" t="s">
        <v>60</v>
      </c>
      <c r="AB18" s="45" t="s">
        <v>1006</v>
      </c>
      <c r="AC18" s="45">
        <v>95.0</v>
      </c>
      <c r="AD18" s="45">
        <v>2019.0</v>
      </c>
      <c r="AE18" s="45">
        <v>83.0</v>
      </c>
      <c r="AF18" s="45">
        <v>2022.0</v>
      </c>
      <c r="AG18" s="45">
        <v>7.5</v>
      </c>
      <c r="AH18" s="45">
        <v>70.0</v>
      </c>
      <c r="AI18" s="45">
        <v>2025.0</v>
      </c>
      <c r="AJ18" s="45">
        <f>VLOOKUP(B18,'Analysis data'!$B$1:$F$358,5,false)</f>
        <v>0</v>
      </c>
      <c r="AK18" s="45">
        <v>0.0</v>
      </c>
      <c r="AL18" s="45" t="s">
        <v>1501</v>
      </c>
      <c r="AM18" s="45" t="s">
        <v>1502</v>
      </c>
      <c r="AN18" s="45">
        <v>9.640009911E9</v>
      </c>
      <c r="AO18" s="45">
        <v>9.440055704E9</v>
      </c>
      <c r="AP18" s="45" t="s">
        <v>90</v>
      </c>
      <c r="AQ18" s="45" t="s">
        <v>90</v>
      </c>
      <c r="AR18" s="45" t="str">
        <f>VLOOKUP(B18,'Analysis data'!B:K,10,false)</f>
        <v>SEOAK</v>
      </c>
      <c r="AS18" s="45" t="s">
        <v>1503</v>
      </c>
      <c r="AT18" s="45" t="s">
        <v>1504</v>
      </c>
      <c r="AU18" s="45">
        <v>0.0</v>
      </c>
      <c r="AV18" s="45">
        <v>0.0</v>
      </c>
      <c r="AW18" s="45">
        <v>7.86</v>
      </c>
      <c r="AX18" s="45">
        <v>0.0</v>
      </c>
      <c r="AY18" s="45">
        <v>7.62</v>
      </c>
      <c r="AZ18" s="45">
        <v>7.52</v>
      </c>
      <c r="BC18" s="45" t="s">
        <v>1011</v>
      </c>
      <c r="BF18" s="45" t="s">
        <v>1028</v>
      </c>
    </row>
    <row r="19" hidden="1">
      <c r="A19" s="45">
        <v>18.0</v>
      </c>
      <c r="B19" s="45" t="s">
        <v>242</v>
      </c>
      <c r="C19" s="45" t="s">
        <v>1512</v>
      </c>
      <c r="D19" s="45" t="s">
        <v>1513</v>
      </c>
      <c r="E19" s="45" t="s">
        <v>243</v>
      </c>
      <c r="F19" s="45" t="str">
        <f>VLOOKUP(B19,'Analysis data'!$B$2:$C$358,2,false)</f>
        <v>A</v>
      </c>
      <c r="G19" s="45" t="str">
        <f>VLOOKUP(B19, 'Analysis data'!$B$2:$I$358, 8, FALSE)</f>
        <v> Management</v>
      </c>
      <c r="H19" s="124" t="s">
        <v>3470</v>
      </c>
      <c r="I19" s="125" t="s">
        <v>3473</v>
      </c>
      <c r="J19" s="153" t="str">
        <f>iferror(VLOOKUP(B19,'Screening test-1'!D:O,12,false),"Not attempted")</f>
        <v>Not attempted</v>
      </c>
      <c r="K19" s="153" t="str">
        <f>IFERROR(VLOOKUP(B19,'Screening test-1'!D:R,15,false),"not qualified")</f>
        <v>not qualified</v>
      </c>
      <c r="L19" s="153" t="str">
        <f>IFERROR(VLOOKUP(B19,'Screening test-2'!D:R,12,false),"not qualified")</f>
        <v>not qualified</v>
      </c>
      <c r="M19" s="153" t="str">
        <f>IFERROR(VLOOKUP(B19,'Screening test-2'!D:R,15,false),"not qualified")</f>
        <v>not qualified</v>
      </c>
      <c r="N19" s="119" t="str">
        <f>iferror(VLOOKUP(B19,'Screening test-1'!D:Q,12,false),"Not attempted")</f>
        <v>Not attempted</v>
      </c>
      <c r="O19" s="119" t="str">
        <f>IFERROR(VLOOKUP(B19,'Screening test-1'!D:R,15,false),"Not Qualified")</f>
        <v>Not Qualified</v>
      </c>
      <c r="P19" s="119" t="str">
        <f>iferror(VLOOKUP(B19,'Screening test-2'!D:Q,12,false),"Not Attempted")</f>
        <v>Not Attempted</v>
      </c>
      <c r="Q19" s="119" t="str">
        <f>IFERROR(VLOOKUP(B19,'Screening test-2'!D:R,15,false),"Not Qualified")</f>
        <v>Not Qualified</v>
      </c>
      <c r="R19" s="119">
        <v>6.00468E11</v>
      </c>
      <c r="S19" s="45" t="str">
        <f>VLOOKUP(B19,'Analysis data'!B:E,4,false)</f>
        <v/>
      </c>
      <c r="T19" s="45" t="s">
        <v>1003</v>
      </c>
      <c r="U19" s="45" t="s">
        <v>1003</v>
      </c>
      <c r="V19" s="45" t="s">
        <v>1003</v>
      </c>
      <c r="W19" s="45" t="s">
        <v>1514</v>
      </c>
      <c r="X19" s="45">
        <v>11362.0</v>
      </c>
      <c r="Y19" s="45">
        <v>1443.0</v>
      </c>
      <c r="Z19" s="45" t="s">
        <v>1515</v>
      </c>
      <c r="AA19" s="45" t="s">
        <v>46</v>
      </c>
      <c r="AB19" s="45" t="s">
        <v>1006</v>
      </c>
      <c r="AC19" s="45">
        <v>65.0</v>
      </c>
      <c r="AD19" s="45">
        <v>2019.0</v>
      </c>
      <c r="AE19" s="45">
        <v>61.0</v>
      </c>
      <c r="AF19" s="45">
        <v>2022.0</v>
      </c>
      <c r="AG19" s="45">
        <v>0.0</v>
      </c>
      <c r="AH19" s="45">
        <v>-5.0</v>
      </c>
      <c r="AI19" s="45">
        <v>2025.0</v>
      </c>
      <c r="AJ19" s="45">
        <f>VLOOKUP(B19,'Analysis data'!$B$1:$F$358,5,false)</f>
        <v>1</v>
      </c>
      <c r="AK19" s="45">
        <v>0.0</v>
      </c>
      <c r="AL19" s="45" t="s">
        <v>1516</v>
      </c>
      <c r="AM19" s="45" t="s">
        <v>1517</v>
      </c>
      <c r="AN19" s="45">
        <v>7.702845323E9</v>
      </c>
      <c r="AO19" s="45">
        <v>8.790823241E9</v>
      </c>
      <c r="AP19" s="45">
        <v>0.0</v>
      </c>
      <c r="AQ19" s="45">
        <v>0.0</v>
      </c>
      <c r="AR19" s="45" t="str">
        <f>VLOOKUP(B19,'Analysis data'!B:K,10,false)</f>
        <v/>
      </c>
      <c r="AS19" s="45" t="s">
        <v>1518</v>
      </c>
      <c r="AT19" s="45" t="s">
        <v>1519</v>
      </c>
      <c r="AU19" s="45">
        <v>0.0</v>
      </c>
      <c r="AV19" s="45">
        <v>0.0</v>
      </c>
      <c r="AW19" s="45">
        <v>0.0</v>
      </c>
      <c r="AX19" s="45">
        <v>0.0</v>
      </c>
      <c r="AY19" s="45">
        <v>7.11</v>
      </c>
      <c r="AZ19" s="45">
        <v>7.04</v>
      </c>
      <c r="BC19" s="45" t="s">
        <v>1011</v>
      </c>
      <c r="BF19" s="45" t="s">
        <v>1012</v>
      </c>
    </row>
    <row r="20" hidden="1">
      <c r="A20" s="45">
        <v>19.0</v>
      </c>
      <c r="B20" s="45" t="s">
        <v>244</v>
      </c>
      <c r="C20" s="45" t="s">
        <v>1520</v>
      </c>
      <c r="D20" s="45" t="s">
        <v>1521</v>
      </c>
      <c r="E20" s="45" t="s">
        <v>245</v>
      </c>
      <c r="F20" s="45" t="str">
        <f>VLOOKUP(B20,'Analysis data'!$B$2:$C$358,2,false)</f>
        <v>A</v>
      </c>
      <c r="G20" s="45" t="str">
        <f>VLOOKUP(B20, 'Analysis data'!$B$2:$I$358, 8, FALSE)</f>
        <v> Management</v>
      </c>
      <c r="H20" s="124" t="s">
        <v>3470</v>
      </c>
      <c r="I20" s="125" t="s">
        <v>3477</v>
      </c>
      <c r="J20" s="153" t="str">
        <f>iferror(VLOOKUP(B20,'Screening test-1'!D:O,12,false),"Not attempted")</f>
        <v>Not attempted</v>
      </c>
      <c r="K20" s="153" t="str">
        <f>IFERROR(VLOOKUP(B20,'Screening test-1'!D:R,15,false),"not qualified")</f>
        <v>not qualified</v>
      </c>
      <c r="L20" s="153">
        <f>IFERROR(VLOOKUP(B20,'Screening test-2'!D:R,12,false),"not qualified")</f>
        <v>37</v>
      </c>
      <c r="M20" s="153" t="str">
        <f>IFERROR(VLOOKUP(B20,'Screening test-2'!D:R,15,false),"not qualified")</f>
        <v>NOT QUALIFIED</v>
      </c>
      <c r="N20" s="119" t="str">
        <f>iferror(VLOOKUP(B20,'Screening test-1'!D:Q,12,false),"Not attempted")</f>
        <v>Not attempted</v>
      </c>
      <c r="O20" s="119" t="str">
        <f>IFERROR(VLOOKUP(B20,'Screening test-1'!D:R,15,false),"Not Qualified")</f>
        <v>Not Qualified</v>
      </c>
      <c r="P20" s="119">
        <f>iferror(VLOOKUP(B20,'Screening test-2'!D:Q,12,false),"Not Attempted")</f>
        <v>37</v>
      </c>
      <c r="Q20" s="119" t="str">
        <f>IFERROR(VLOOKUP(B20,'Screening test-2'!D:R,15,false),"Not Qualified")</f>
        <v>NOT QUALIFIED</v>
      </c>
      <c r="R20" s="119">
        <v>4.81035E11</v>
      </c>
      <c r="S20" s="45">
        <f>VLOOKUP(B20,'Analysis data'!B:E,4,false)</f>
        <v>7.47</v>
      </c>
      <c r="T20" s="45" t="s">
        <v>1003</v>
      </c>
      <c r="U20" s="45" t="s">
        <v>1003</v>
      </c>
      <c r="V20" s="45" t="s">
        <v>1003</v>
      </c>
      <c r="W20" s="45" t="s">
        <v>1522</v>
      </c>
      <c r="X20" s="45">
        <v>0.0</v>
      </c>
      <c r="Y20" s="45">
        <v>902.0</v>
      </c>
      <c r="Z20" s="121">
        <v>37596.0</v>
      </c>
      <c r="AA20" s="45" t="s">
        <v>60</v>
      </c>
      <c r="AB20" s="45" t="s">
        <v>1006</v>
      </c>
      <c r="AC20" s="45">
        <v>80.0</v>
      </c>
      <c r="AD20" s="45">
        <v>2019.0</v>
      </c>
      <c r="AE20" s="45">
        <v>85.7</v>
      </c>
      <c r="AF20" s="45">
        <v>2022.0</v>
      </c>
      <c r="AG20" s="45">
        <v>7.5</v>
      </c>
      <c r="AH20" s="45">
        <v>70.0</v>
      </c>
      <c r="AI20" s="45">
        <v>2025.0</v>
      </c>
      <c r="AJ20" s="45">
        <f>VLOOKUP(B20,'Analysis data'!$B$1:$F$358,5,false)</f>
        <v>0</v>
      </c>
      <c r="AK20" s="45">
        <v>0.0</v>
      </c>
      <c r="AL20" s="45" t="s">
        <v>1523</v>
      </c>
      <c r="AM20" s="45" t="s">
        <v>1524</v>
      </c>
      <c r="AN20" s="45">
        <v>7.036807574E9</v>
      </c>
      <c r="AO20" s="45">
        <v>9.505388921E9</v>
      </c>
      <c r="AP20" s="45">
        <v>0.0</v>
      </c>
      <c r="AQ20" s="45">
        <v>0.0</v>
      </c>
      <c r="AR20" s="45" t="str">
        <f>VLOOKUP(B20,'Analysis data'!B:K,10,false)</f>
        <v/>
      </c>
      <c r="AS20" s="45" t="s">
        <v>1525</v>
      </c>
      <c r="AT20" s="45" t="s">
        <v>1526</v>
      </c>
      <c r="AU20" s="45">
        <v>0.0</v>
      </c>
      <c r="AV20" s="45">
        <v>0.0</v>
      </c>
      <c r="AW20" s="45">
        <v>0.0</v>
      </c>
      <c r="AX20" s="45">
        <v>0.0</v>
      </c>
      <c r="AY20" s="45">
        <v>7.43</v>
      </c>
      <c r="AZ20" s="45">
        <v>7.5</v>
      </c>
      <c r="BC20" s="45" t="s">
        <v>1011</v>
      </c>
      <c r="BF20" s="45" t="s">
        <v>1028</v>
      </c>
    </row>
    <row r="21" hidden="1">
      <c r="A21" s="45">
        <v>20.0</v>
      </c>
      <c r="B21" s="45" t="s">
        <v>246</v>
      </c>
      <c r="C21" s="45" t="s">
        <v>1527</v>
      </c>
      <c r="D21" s="45" t="s">
        <v>1528</v>
      </c>
      <c r="E21" s="45" t="s">
        <v>247</v>
      </c>
      <c r="F21" s="45" t="str">
        <f>VLOOKUP(B21,'Analysis data'!$B$2:$C$358,2,false)</f>
        <v>A</v>
      </c>
      <c r="G21" s="45" t="str">
        <f>VLOOKUP(B21, 'Analysis data'!$B$2:$I$358, 8, FALSE)</f>
        <v> Convener</v>
      </c>
      <c r="H21" s="124" t="s">
        <v>3470</v>
      </c>
      <c r="I21" s="125" t="s">
        <v>3477</v>
      </c>
      <c r="J21" s="153">
        <f>iferror(VLOOKUP(B21,'Screening test-1'!D:O,12,false),"Not attempted")</f>
        <v>43.6</v>
      </c>
      <c r="K21" s="153" t="str">
        <f>IFERROR(VLOOKUP(B21,'Screening test-1'!D:R,15,false),"not qualified")</f>
        <v>NOT QUALIFIED</v>
      </c>
      <c r="L21" s="153" t="str">
        <f>IFERROR(VLOOKUP(B21,'Screening test-2'!D:R,12,false),"not qualified")</f>
        <v>not qualified</v>
      </c>
      <c r="M21" s="153" t="str">
        <f>IFERROR(VLOOKUP(B21,'Screening test-2'!D:R,15,false),"not qualified")</f>
        <v>not qualified</v>
      </c>
      <c r="N21" s="119">
        <f>iferror(VLOOKUP(B21,'Screening test-1'!D:Q,12,false),"Not attempted")</f>
        <v>43.6</v>
      </c>
      <c r="O21" s="119" t="str">
        <f>IFERROR(VLOOKUP(B21,'Screening test-1'!D:R,15,false),"Not Qualified")</f>
        <v>NOT QUALIFIED</v>
      </c>
      <c r="P21" s="119" t="str">
        <f>iferror(VLOOKUP(B21,'Screening test-2'!D:Q,12,false),"Not Attempted")</f>
        <v>Not Attempted</v>
      </c>
      <c r="Q21" s="119" t="str">
        <f>IFERROR(VLOOKUP(B21,'Screening test-2'!D:R,15,false),"Not Qualified")</f>
        <v>Not Qualified</v>
      </c>
      <c r="R21" s="119">
        <v>5.12386E11</v>
      </c>
      <c r="S21" s="45">
        <f>VLOOKUP(B21,'Analysis data'!B:E,4,false)</f>
        <v>7.5</v>
      </c>
      <c r="T21" s="45" t="s">
        <v>1003</v>
      </c>
      <c r="U21" s="45" t="s">
        <v>1003</v>
      </c>
      <c r="V21" s="45" t="s">
        <v>1003</v>
      </c>
      <c r="W21" s="45" t="s">
        <v>1529</v>
      </c>
      <c r="X21" s="45">
        <v>11401.0</v>
      </c>
      <c r="Y21" s="45">
        <v>1447.0</v>
      </c>
      <c r="Z21" s="121">
        <v>37508.0</v>
      </c>
      <c r="AA21" s="45" t="s">
        <v>46</v>
      </c>
      <c r="AB21" s="45" t="s">
        <v>1006</v>
      </c>
      <c r="AC21" s="45">
        <v>77.0</v>
      </c>
      <c r="AD21" s="45">
        <v>2018.0</v>
      </c>
      <c r="AE21" s="45">
        <v>61.0</v>
      </c>
      <c r="AF21" s="45">
        <v>2022.0</v>
      </c>
      <c r="AG21" s="45">
        <v>7.5</v>
      </c>
      <c r="AH21" s="45">
        <v>70.0</v>
      </c>
      <c r="AI21" s="45">
        <v>2025.0</v>
      </c>
      <c r="AJ21" s="45">
        <f>VLOOKUP(B21,'Analysis data'!$B$1:$F$358,5,false)</f>
        <v>0</v>
      </c>
      <c r="AK21" s="45">
        <v>0.0</v>
      </c>
      <c r="AL21" s="45" t="s">
        <v>1530</v>
      </c>
      <c r="AM21" s="45" t="s">
        <v>1531</v>
      </c>
      <c r="AN21" s="45">
        <v>7.995635903E9</v>
      </c>
      <c r="AO21" s="45">
        <v>9.550080517E9</v>
      </c>
      <c r="AP21" s="45">
        <v>0.0</v>
      </c>
      <c r="AQ21" s="45">
        <v>0.0</v>
      </c>
      <c r="AR21" s="45" t="str">
        <f>VLOOKUP(B21,'Analysis data'!B:K,10,false)</f>
        <v/>
      </c>
      <c r="AS21" s="45" t="s">
        <v>1532</v>
      </c>
      <c r="AT21" s="45" t="s">
        <v>1533</v>
      </c>
      <c r="AU21" s="45">
        <v>0.0</v>
      </c>
      <c r="AV21" s="45">
        <v>0.0</v>
      </c>
      <c r="AW21" s="45">
        <v>0.0</v>
      </c>
      <c r="AX21" s="45">
        <v>0.0</v>
      </c>
      <c r="AY21" s="45">
        <v>7.41</v>
      </c>
      <c r="AZ21" s="45">
        <v>7.54</v>
      </c>
      <c r="BC21" s="45" t="s">
        <v>1011</v>
      </c>
      <c r="BF21" s="45" t="s">
        <v>1012</v>
      </c>
    </row>
    <row r="22" hidden="1">
      <c r="A22" s="45">
        <v>21.0</v>
      </c>
      <c r="B22" s="45" t="s">
        <v>248</v>
      </c>
      <c r="C22" s="45" t="s">
        <v>1534</v>
      </c>
      <c r="D22" s="45" t="s">
        <v>1535</v>
      </c>
      <c r="E22" s="45" t="s">
        <v>249</v>
      </c>
      <c r="F22" s="45" t="str">
        <f>VLOOKUP(B22,'Analysis data'!$B$2:$C$358,2,false)</f>
        <v>A</v>
      </c>
      <c r="G22" s="45" t="str">
        <f>VLOOKUP(B22, 'Analysis data'!$B$2:$I$358, 8, FALSE)</f>
        <v> Convener</v>
      </c>
      <c r="H22" s="124" t="s">
        <v>3470</v>
      </c>
      <c r="I22" s="125" t="s">
        <v>3477</v>
      </c>
      <c r="J22" s="153">
        <f>iferror(VLOOKUP(B22,'Screening test-1'!D:O,12,false),"Not attempted")</f>
        <v>54.7</v>
      </c>
      <c r="K22" s="153" t="str">
        <f>IFERROR(VLOOKUP(B22,'Screening test-1'!D:R,15,false),"not qualified")</f>
        <v>NOT QUALIFIED</v>
      </c>
      <c r="L22" s="153">
        <f>IFERROR(VLOOKUP(B22,'Screening test-2'!D:R,12,false),"not qualified")</f>
        <v>55.5</v>
      </c>
      <c r="M22" s="153" t="str">
        <f>IFERROR(VLOOKUP(B22,'Screening test-2'!D:R,15,false),"not qualified")</f>
        <v>NOT QUALIFIED</v>
      </c>
      <c r="N22" s="119">
        <f>iferror(VLOOKUP(B22,'Screening test-1'!D:Q,12,false),"Not attempted")</f>
        <v>54.7</v>
      </c>
      <c r="O22" s="119" t="str">
        <f>IFERROR(VLOOKUP(B22,'Screening test-1'!D:R,15,false),"Not Qualified")</f>
        <v>NOT QUALIFIED</v>
      </c>
      <c r="P22" s="119">
        <f>iferror(VLOOKUP(B22,'Screening test-2'!D:Q,12,false),"Not Attempted")</f>
        <v>55.5</v>
      </c>
      <c r="Q22" s="119" t="str">
        <f>IFERROR(VLOOKUP(B22,'Screening test-2'!D:R,15,false),"Not Qualified")</f>
        <v>NOT QUALIFIED</v>
      </c>
      <c r="R22" s="119">
        <v>5.85319E11</v>
      </c>
      <c r="S22" s="45">
        <f>VLOOKUP(B22,'Analysis data'!B:E,4,false)</f>
        <v>8.03</v>
      </c>
      <c r="T22" s="45" t="s">
        <v>1003</v>
      </c>
      <c r="U22" s="45" t="s">
        <v>1003</v>
      </c>
      <c r="V22" s="45" t="s">
        <v>1003</v>
      </c>
      <c r="W22" s="45" t="s">
        <v>1536</v>
      </c>
      <c r="X22" s="45">
        <v>737.0</v>
      </c>
      <c r="Y22" s="45">
        <v>737.0</v>
      </c>
      <c r="Z22" s="45" t="s">
        <v>1537</v>
      </c>
      <c r="AA22" s="45" t="s">
        <v>60</v>
      </c>
      <c r="AB22" s="45" t="s">
        <v>1006</v>
      </c>
      <c r="AC22" s="45">
        <v>93.0</v>
      </c>
      <c r="AD22" s="45">
        <v>2019.0</v>
      </c>
      <c r="AE22" s="45">
        <v>83.0</v>
      </c>
      <c r="AF22" s="45">
        <v>2022.0</v>
      </c>
      <c r="AG22" s="45">
        <v>8.0</v>
      </c>
      <c r="AH22" s="45">
        <v>75.0</v>
      </c>
      <c r="AI22" s="45">
        <v>2025.0</v>
      </c>
      <c r="AJ22" s="45">
        <f>VLOOKUP(B22,'Analysis data'!$B$1:$F$358,5,false)</f>
        <v>0</v>
      </c>
      <c r="AK22" s="45">
        <v>0.0</v>
      </c>
      <c r="AL22" s="45" t="s">
        <v>1538</v>
      </c>
      <c r="AM22" s="45" t="s">
        <v>1539</v>
      </c>
      <c r="AN22" s="45">
        <v>9.515967813E9</v>
      </c>
      <c r="AO22" s="45">
        <v>9.949431332E9</v>
      </c>
      <c r="AP22" s="45">
        <v>0.0</v>
      </c>
      <c r="AQ22" s="45">
        <v>0.0</v>
      </c>
      <c r="AR22" s="45" t="str">
        <f>VLOOKUP(B22,'Analysis data'!B:K,10,false)</f>
        <v/>
      </c>
      <c r="AS22" s="45" t="s">
        <v>1540</v>
      </c>
      <c r="AT22" s="45" t="s">
        <v>1541</v>
      </c>
      <c r="AU22" s="45">
        <v>0.0</v>
      </c>
      <c r="AV22" s="45">
        <v>0.0</v>
      </c>
      <c r="AW22" s="45">
        <v>7.48</v>
      </c>
      <c r="AX22" s="45">
        <v>0.0</v>
      </c>
      <c r="AY22" s="45">
        <v>7.98</v>
      </c>
      <c r="AZ22" s="45">
        <v>8.04</v>
      </c>
      <c r="BC22" s="45" t="s">
        <v>1011</v>
      </c>
      <c r="BF22" s="45" t="s">
        <v>1028</v>
      </c>
    </row>
    <row r="23">
      <c r="A23" s="45">
        <v>22.0</v>
      </c>
      <c r="B23" s="45" t="s">
        <v>777</v>
      </c>
      <c r="C23" s="45" t="s">
        <v>3017</v>
      </c>
      <c r="D23" s="45" t="s">
        <v>3018</v>
      </c>
      <c r="E23" s="45" t="s">
        <v>778</v>
      </c>
      <c r="F23" s="45" t="str">
        <f>VLOOKUP(B23,'Analysis data'!$B$2:$C$358,2,false)</f>
        <v>E</v>
      </c>
      <c r="G23" s="45" t="str">
        <f>VLOOKUP(B23, 'Analysis data'!$B$2:$I$358, 8, FALSE)</f>
        <v> Management</v>
      </c>
      <c r="H23" s="124" t="s">
        <v>3491</v>
      </c>
      <c r="I23" s="124" t="s">
        <v>3491</v>
      </c>
      <c r="J23" s="153">
        <f>iferror(VLOOKUP(B23,'Screening test-1'!D:O,12,false),"Not attempted")</f>
        <v>61.3</v>
      </c>
      <c r="K23" s="153" t="str">
        <f>IFERROR(VLOOKUP(B23,'Screening test-1'!D:R,15,false),"not qualified")</f>
        <v>QUALIFIED</v>
      </c>
      <c r="L23" s="153">
        <f>IFERROR(VLOOKUP(B23,'Screening test-2'!D:R,12,false),"not qualified")</f>
        <v>42</v>
      </c>
      <c r="M23" s="153" t="str">
        <f>IFERROR(VLOOKUP(B23,'Screening test-2'!D:R,15,false),"not qualified")</f>
        <v>NOT QUALIFIED</v>
      </c>
      <c r="N23" s="119">
        <f>iferror(VLOOKUP(B23,'Screening test-1'!D:Q,12,false),"Not attempted")</f>
        <v>61.3</v>
      </c>
      <c r="O23" s="119" t="str">
        <f>IFERROR(VLOOKUP(B23,'Screening test-1'!D:R,15,false),"Not Qualified")</f>
        <v>QUALIFIED</v>
      </c>
      <c r="P23" s="119">
        <f>iferror(VLOOKUP(B23,'Screening test-2'!D:Q,12,false),"Not Attempted")</f>
        <v>42</v>
      </c>
      <c r="Q23" s="119" t="str">
        <f>IFERROR(VLOOKUP(B23,'Screening test-2'!D:R,15,false),"Not Qualified")</f>
        <v>NOT QUALIFIED</v>
      </c>
      <c r="R23" s="119">
        <v>4.21305E11</v>
      </c>
      <c r="S23" s="45">
        <f>VLOOKUP(B23,'Analysis data'!B:E,4,false)</f>
        <v>7.52</v>
      </c>
      <c r="T23" s="45" t="s">
        <v>1003</v>
      </c>
      <c r="U23" s="45" t="s">
        <v>1003</v>
      </c>
      <c r="V23" s="45" t="s">
        <v>1003</v>
      </c>
      <c r="W23" s="45" t="s">
        <v>1325</v>
      </c>
      <c r="X23" s="45">
        <v>13158.0</v>
      </c>
      <c r="Y23" s="45">
        <v>0.0</v>
      </c>
      <c r="Z23" s="45" t="s">
        <v>3019</v>
      </c>
      <c r="AA23" s="45" t="s">
        <v>46</v>
      </c>
      <c r="AB23" s="45" t="s">
        <v>1006</v>
      </c>
      <c r="AC23" s="45">
        <v>98.0</v>
      </c>
      <c r="AD23" s="45">
        <v>2019.0</v>
      </c>
      <c r="AE23" s="45">
        <v>85.0</v>
      </c>
      <c r="AF23" s="45">
        <v>2021.0</v>
      </c>
      <c r="AG23" s="45">
        <v>7.5</v>
      </c>
      <c r="AH23" s="45">
        <v>70.0</v>
      </c>
      <c r="AI23" s="45">
        <v>2025.0</v>
      </c>
      <c r="AJ23" s="45">
        <f>VLOOKUP(B23,'Analysis data'!$B$1:$F$358,5,false)</f>
        <v>0</v>
      </c>
      <c r="AK23" s="45">
        <v>0.0</v>
      </c>
      <c r="AL23" s="45" t="s">
        <v>3020</v>
      </c>
      <c r="AM23" s="45" t="s">
        <v>3021</v>
      </c>
      <c r="AN23" s="45">
        <v>8.639328839E9</v>
      </c>
      <c r="AO23" s="45">
        <v>9.12187289E9</v>
      </c>
      <c r="AP23" s="45">
        <v>0.0</v>
      </c>
      <c r="AQ23" s="45">
        <v>0.0</v>
      </c>
      <c r="AR23" s="45" t="str">
        <f>VLOOKUP(B23,'Analysis data'!B:K,10,false)</f>
        <v>CAPGEMINI-ANALYST</v>
      </c>
      <c r="AS23" s="45" t="s">
        <v>3022</v>
      </c>
      <c r="AT23" s="45" t="s">
        <v>3023</v>
      </c>
      <c r="AU23" s="45">
        <v>7.65</v>
      </c>
      <c r="AV23" s="45">
        <v>7.02</v>
      </c>
      <c r="AW23" s="45">
        <v>7.73</v>
      </c>
      <c r="AX23" s="45">
        <v>0.0</v>
      </c>
      <c r="AY23" s="45">
        <v>7.62</v>
      </c>
      <c r="AZ23" s="45">
        <v>7.58</v>
      </c>
      <c r="BC23" s="45" t="s">
        <v>1011</v>
      </c>
      <c r="BF23" s="45" t="s">
        <v>1028</v>
      </c>
    </row>
    <row r="24">
      <c r="A24" s="45">
        <v>23.0</v>
      </c>
      <c r="B24" s="45" t="s">
        <v>779</v>
      </c>
      <c r="C24" s="45" t="s">
        <v>3024</v>
      </c>
      <c r="D24" s="45" t="s">
        <v>2556</v>
      </c>
      <c r="E24" s="45" t="s">
        <v>780</v>
      </c>
      <c r="F24" s="45" t="str">
        <f>VLOOKUP(B24,'Analysis data'!$B$2:$C$358,2,false)</f>
        <v>E</v>
      </c>
      <c r="G24" s="45" t="str">
        <f>VLOOKUP(B24, 'Analysis data'!$B$2:$I$358, 8, FALSE)</f>
        <v> Management</v>
      </c>
      <c r="H24" s="124" t="s">
        <v>3491</v>
      </c>
      <c r="I24" s="124" t="s">
        <v>3491</v>
      </c>
      <c r="J24" s="153">
        <f>iferror(VLOOKUP(B24,'Screening test-1'!D:O,12,false),"Not attempted")</f>
        <v>2</v>
      </c>
      <c r="K24" s="153" t="str">
        <f>IFERROR(VLOOKUP(B24,'Screening test-1'!D:R,15,false),"not qualified")</f>
        <v>NOT QUALIFIED</v>
      </c>
      <c r="L24" s="153">
        <f>IFERROR(VLOOKUP(B24,'Screening test-2'!D:R,12,false),"not qualified")</f>
        <v>34.13333</v>
      </c>
      <c r="M24" s="153" t="str">
        <f>IFERROR(VLOOKUP(B24,'Screening test-2'!D:R,15,false),"not qualified")</f>
        <v>NOT QUALIFIED</v>
      </c>
      <c r="N24" s="119">
        <f>iferror(VLOOKUP(B24,'Screening test-1'!D:Q,12,false),"Not attempted")</f>
        <v>2</v>
      </c>
      <c r="O24" s="119" t="str">
        <f>IFERROR(VLOOKUP(B24,'Screening test-1'!D:R,15,false),"Not Qualified")</f>
        <v>NOT QUALIFIED</v>
      </c>
      <c r="P24" s="119">
        <f>iferror(VLOOKUP(B24,'Screening test-2'!D:Q,12,false),"Not Attempted")</f>
        <v>34.13333</v>
      </c>
      <c r="Q24" s="119" t="str">
        <f>IFERROR(VLOOKUP(B24,'Screening test-2'!D:R,15,false),"Not Qualified")</f>
        <v>NOT QUALIFIED</v>
      </c>
      <c r="R24" s="119">
        <v>6.83063E11</v>
      </c>
      <c r="S24" s="45" t="str">
        <f>VLOOKUP(B24,'Analysis data'!B:E,4,false)</f>
        <v/>
      </c>
      <c r="T24" s="45" t="s">
        <v>1003</v>
      </c>
      <c r="U24" s="45" t="s">
        <v>1003</v>
      </c>
      <c r="V24" s="45" t="s">
        <v>1003</v>
      </c>
      <c r="W24" s="45" t="s">
        <v>2372</v>
      </c>
      <c r="X24" s="45">
        <v>19978.0</v>
      </c>
      <c r="Y24" s="45">
        <v>0.0</v>
      </c>
      <c r="Z24" s="121">
        <v>38086.0</v>
      </c>
      <c r="AA24" s="45" t="s">
        <v>46</v>
      </c>
      <c r="AB24" s="45" t="s">
        <v>1006</v>
      </c>
      <c r="AC24" s="45">
        <v>87.0</v>
      </c>
      <c r="AD24" s="45">
        <v>2019.0</v>
      </c>
      <c r="AE24" s="45">
        <v>90.0</v>
      </c>
      <c r="AF24" s="45">
        <v>2021.0</v>
      </c>
      <c r="AG24" s="45">
        <v>0.0</v>
      </c>
      <c r="AH24" s="45">
        <v>-5.0</v>
      </c>
      <c r="AI24" s="45">
        <v>2025.0</v>
      </c>
      <c r="AJ24" s="45">
        <f>VLOOKUP(B24,'Analysis data'!$B$1:$F$358,5,false)</f>
        <v>1</v>
      </c>
      <c r="AK24" s="45">
        <v>0.0</v>
      </c>
      <c r="AL24" s="45" t="s">
        <v>3025</v>
      </c>
      <c r="AM24" s="45" t="s">
        <v>3026</v>
      </c>
      <c r="AN24" s="45">
        <v>8.121969639E9</v>
      </c>
      <c r="AO24" s="45">
        <v>9.963420609E9</v>
      </c>
      <c r="AP24" s="45">
        <v>0.0</v>
      </c>
      <c r="AQ24" s="45">
        <v>0.0</v>
      </c>
      <c r="AR24" s="45" t="str">
        <f>VLOOKUP(B24,'Analysis data'!B:K,10,false)</f>
        <v/>
      </c>
      <c r="AS24" s="45" t="s">
        <v>3027</v>
      </c>
      <c r="AT24" s="45" t="s">
        <v>3028</v>
      </c>
      <c r="AU24" s="45">
        <v>8.41</v>
      </c>
      <c r="AV24" s="45">
        <v>8.17</v>
      </c>
      <c r="AW24" s="45">
        <v>8.07</v>
      </c>
      <c r="AX24" s="45">
        <v>0.0</v>
      </c>
      <c r="AY24" s="45">
        <v>8.07</v>
      </c>
      <c r="AZ24" s="45">
        <v>7.98</v>
      </c>
      <c r="BC24" s="45" t="s">
        <v>1011</v>
      </c>
      <c r="BF24" s="45" t="s">
        <v>1012</v>
      </c>
    </row>
    <row r="25">
      <c r="A25" s="45">
        <v>24.0</v>
      </c>
      <c r="B25" s="45" t="s">
        <v>795</v>
      </c>
      <c r="C25" s="45" t="s">
        <v>3069</v>
      </c>
      <c r="D25" s="45" t="s">
        <v>2362</v>
      </c>
      <c r="E25" s="45" t="s">
        <v>796</v>
      </c>
      <c r="F25" s="45" t="str">
        <f>VLOOKUP(B25,'Analysis data'!$B$2:$C$358,2,false)</f>
        <v>E</v>
      </c>
      <c r="G25" s="45" t="str">
        <f>VLOOKUP(B25, 'Analysis data'!$B$2:$I$358, 8, FALSE)</f>
        <v> Management</v>
      </c>
      <c r="H25" s="124" t="s">
        <v>3491</v>
      </c>
      <c r="I25" s="124" t="s">
        <v>3491</v>
      </c>
      <c r="J25" s="153">
        <f>iferror(VLOOKUP(B25,'Screening test-1'!D:O,12,false),"Not attempted")</f>
        <v>26.96667</v>
      </c>
      <c r="K25" s="153" t="str">
        <f>IFERROR(VLOOKUP(B25,'Screening test-1'!D:R,15,false),"not qualified")</f>
        <v>NOT QUALIFIED</v>
      </c>
      <c r="L25" s="153">
        <f>IFERROR(VLOOKUP(B25,'Screening test-2'!D:R,12,false),"not qualified")</f>
        <v>28.7</v>
      </c>
      <c r="M25" s="153" t="str">
        <f>IFERROR(VLOOKUP(B25,'Screening test-2'!D:R,15,false),"not qualified")</f>
        <v>NOT QUALIFIED</v>
      </c>
      <c r="N25" s="119">
        <f>iferror(VLOOKUP(B25,'Screening test-1'!D:Q,12,false),"Not attempted")</f>
        <v>26.96667</v>
      </c>
      <c r="O25" s="119" t="str">
        <f>IFERROR(VLOOKUP(B25,'Screening test-1'!D:R,15,false),"Not Qualified")</f>
        <v>NOT QUALIFIED</v>
      </c>
      <c r="P25" s="119">
        <f>iferror(VLOOKUP(B25,'Screening test-2'!D:Q,12,false),"Not Attempted")</f>
        <v>28.7</v>
      </c>
      <c r="Q25" s="119" t="str">
        <f>IFERROR(VLOOKUP(B25,'Screening test-2'!D:R,15,false),"Not Qualified")</f>
        <v>NOT QUALIFIED</v>
      </c>
      <c r="R25" s="119">
        <v>6.77233E11</v>
      </c>
      <c r="S25" s="45">
        <f>VLOOKUP(B25,'Analysis data'!B:E,4,false)</f>
        <v>7.54</v>
      </c>
      <c r="T25" s="45" t="s">
        <v>1003</v>
      </c>
      <c r="U25" s="45" t="s">
        <v>1003</v>
      </c>
      <c r="V25" s="45" t="s">
        <v>1003</v>
      </c>
      <c r="W25" s="45" t="s">
        <v>1348</v>
      </c>
      <c r="X25" s="45">
        <v>6067.0</v>
      </c>
      <c r="Y25" s="45">
        <v>0.0</v>
      </c>
      <c r="Z25" s="45" t="s">
        <v>3070</v>
      </c>
      <c r="AA25" s="45" t="s">
        <v>46</v>
      </c>
      <c r="AB25" s="45" t="s">
        <v>1006</v>
      </c>
      <c r="AC25" s="45">
        <v>100.0</v>
      </c>
      <c r="AD25" s="45">
        <v>2019.0</v>
      </c>
      <c r="AE25" s="45">
        <v>96.5</v>
      </c>
      <c r="AF25" s="45">
        <v>2021.0</v>
      </c>
      <c r="AG25" s="45">
        <v>7.5</v>
      </c>
      <c r="AH25" s="45">
        <v>70.0</v>
      </c>
      <c r="AI25" s="45">
        <v>2025.0</v>
      </c>
      <c r="AJ25" s="45">
        <f>VLOOKUP(B25,'Analysis data'!$B$1:$F$358,5,false)</f>
        <v>0</v>
      </c>
      <c r="AK25" s="45">
        <v>1.0</v>
      </c>
      <c r="AL25" s="45" t="s">
        <v>3071</v>
      </c>
      <c r="AM25" s="45" t="s">
        <v>3072</v>
      </c>
      <c r="AN25" s="45">
        <v>9.963505477E9</v>
      </c>
      <c r="AO25" s="45">
        <v>9.49193511E9</v>
      </c>
      <c r="AP25" s="45" t="s">
        <v>271</v>
      </c>
      <c r="AQ25" s="45">
        <v>0.0</v>
      </c>
      <c r="AR25" s="45" t="str">
        <f>VLOOKUP(B25,'Analysis data'!B:K,10,false)</f>
        <v>CORIZO-BDA</v>
      </c>
      <c r="AS25" s="45" t="s">
        <v>3073</v>
      </c>
      <c r="AT25" s="45" t="s">
        <v>3074</v>
      </c>
      <c r="AU25" s="45">
        <v>8.3</v>
      </c>
      <c r="AV25" s="45">
        <v>6.83</v>
      </c>
      <c r="AW25" s="45">
        <v>7.52</v>
      </c>
      <c r="AX25" s="45">
        <v>0.0</v>
      </c>
      <c r="AY25" s="45">
        <v>7.47</v>
      </c>
      <c r="AZ25" s="45">
        <v>7.49</v>
      </c>
      <c r="BC25" s="45" t="s">
        <v>1011</v>
      </c>
      <c r="BF25" s="45" t="s">
        <v>1028</v>
      </c>
    </row>
    <row r="26">
      <c r="A26" s="45">
        <v>25.0</v>
      </c>
      <c r="B26" s="45" t="s">
        <v>806</v>
      </c>
      <c r="C26" s="45" t="s">
        <v>3104</v>
      </c>
      <c r="D26" s="45" t="s">
        <v>1717</v>
      </c>
      <c r="E26" s="45" t="s">
        <v>807</v>
      </c>
      <c r="F26" s="45" t="str">
        <f>VLOOKUP(B26,'Analysis data'!$B$2:$C$358,2,false)</f>
        <v>E</v>
      </c>
      <c r="G26" s="45" t="str">
        <f>VLOOKUP(B26, 'Analysis data'!$B$2:$I$358, 8, FALSE)</f>
        <v> Convener</v>
      </c>
      <c r="H26" s="124" t="s">
        <v>3491</v>
      </c>
      <c r="I26" s="124" t="s">
        <v>3491</v>
      </c>
      <c r="J26" s="153">
        <f>iferror(VLOOKUP(B26,'Screening test-1'!D:O,12,false),"Not attempted")</f>
        <v>2</v>
      </c>
      <c r="K26" s="153" t="str">
        <f>IFERROR(VLOOKUP(B26,'Screening test-1'!D:R,15,false),"not qualified")</f>
        <v>NOT QUALIFIED</v>
      </c>
      <c r="L26" s="153">
        <f>IFERROR(VLOOKUP(B26,'Screening test-2'!D:R,12,false),"not qualified")</f>
        <v>1</v>
      </c>
      <c r="M26" s="153" t="str">
        <f>IFERROR(VLOOKUP(B26,'Screening test-2'!D:R,15,false),"not qualified")</f>
        <v>NOT QUALIFIED</v>
      </c>
      <c r="N26" s="119">
        <f>iferror(VLOOKUP(B26,'Screening test-1'!D:Q,12,false),"Not attempted")</f>
        <v>2</v>
      </c>
      <c r="O26" s="119" t="str">
        <f>IFERROR(VLOOKUP(B26,'Screening test-1'!D:R,15,false),"Not Qualified")</f>
        <v>NOT QUALIFIED</v>
      </c>
      <c r="P26" s="119">
        <f>iferror(VLOOKUP(B26,'Screening test-2'!D:Q,12,false),"Not Attempted")</f>
        <v>1</v>
      </c>
      <c r="Q26" s="119" t="str">
        <f>IFERROR(VLOOKUP(B26,'Screening test-2'!D:R,15,false),"Not Qualified")</f>
        <v>NOT QUALIFIED</v>
      </c>
      <c r="R26" s="119">
        <v>7.38188E11</v>
      </c>
      <c r="S26" s="45">
        <f>VLOOKUP(B26,'Analysis data'!B:E,4,false)</f>
        <v>8.18</v>
      </c>
      <c r="T26" s="45" t="s">
        <v>1003</v>
      </c>
      <c r="U26" s="45" t="s">
        <v>1003</v>
      </c>
      <c r="V26" s="45" t="s">
        <v>1003</v>
      </c>
      <c r="W26" s="45" t="s">
        <v>1113</v>
      </c>
      <c r="X26" s="45">
        <v>13582.0</v>
      </c>
      <c r="Y26" s="45">
        <v>0.0</v>
      </c>
      <c r="Z26" s="45" t="s">
        <v>3105</v>
      </c>
      <c r="AA26" s="45" t="s">
        <v>46</v>
      </c>
      <c r="AB26" s="45" t="s">
        <v>1006</v>
      </c>
      <c r="AC26" s="45">
        <v>90.0</v>
      </c>
      <c r="AD26" s="45">
        <v>2018.0</v>
      </c>
      <c r="AE26" s="45">
        <v>97.1</v>
      </c>
      <c r="AF26" s="45">
        <v>2020.0</v>
      </c>
      <c r="AG26" s="45">
        <v>8.2</v>
      </c>
      <c r="AH26" s="45">
        <v>77.0</v>
      </c>
      <c r="AI26" s="45">
        <v>2025.0</v>
      </c>
      <c r="AJ26" s="45">
        <f>VLOOKUP(B26,'Analysis data'!$B$1:$F$358,5,false)</f>
        <v>0</v>
      </c>
      <c r="AK26" s="45">
        <v>0.0</v>
      </c>
      <c r="AL26" s="45" t="s">
        <v>3106</v>
      </c>
      <c r="AM26" s="45" t="s">
        <v>3107</v>
      </c>
      <c r="AN26" s="45">
        <v>8.309736218E9</v>
      </c>
      <c r="AO26" s="45">
        <v>9.246806278E9</v>
      </c>
      <c r="AP26" s="45" t="s">
        <v>52</v>
      </c>
      <c r="AQ26" s="45">
        <v>0.0</v>
      </c>
      <c r="AR26" s="45" t="str">
        <f>VLOOKUP(B26,'Analysis data'!B:K,10,false)</f>
        <v>Accenture ASE</v>
      </c>
      <c r="AS26" s="45" t="s">
        <v>3108</v>
      </c>
      <c r="AT26" s="45" t="s">
        <v>3109</v>
      </c>
      <c r="AU26" s="45">
        <v>8.35</v>
      </c>
      <c r="AV26" s="45">
        <v>8.24</v>
      </c>
      <c r="AW26" s="45">
        <v>8.02</v>
      </c>
      <c r="AX26" s="45">
        <v>0.0</v>
      </c>
      <c r="AY26" s="45">
        <v>8.13</v>
      </c>
      <c r="AZ26" s="45">
        <v>8.12</v>
      </c>
      <c r="BC26" s="45" t="s">
        <v>1011</v>
      </c>
      <c r="BF26" s="45" t="s">
        <v>1012</v>
      </c>
    </row>
    <row r="27">
      <c r="A27" s="45">
        <v>26.0</v>
      </c>
      <c r="B27" s="45" t="s">
        <v>823</v>
      </c>
      <c r="C27" s="45" t="s">
        <v>3149</v>
      </c>
      <c r="D27" s="45" t="s">
        <v>3150</v>
      </c>
      <c r="E27" s="45" t="s">
        <v>824</v>
      </c>
      <c r="F27" s="45" t="str">
        <f>VLOOKUP(B27,'Analysis data'!$B$2:$C$358,2,false)</f>
        <v>E</v>
      </c>
      <c r="G27" s="45" t="str">
        <f>VLOOKUP(B27, 'Analysis data'!$B$2:$I$358, 8, FALSE)</f>
        <v> Convener</v>
      </c>
      <c r="H27" s="124" t="s">
        <v>3491</v>
      </c>
      <c r="I27" s="124" t="s">
        <v>3491</v>
      </c>
      <c r="J27" s="153">
        <f>iferror(VLOOKUP(B27,'Screening test-1'!D:O,12,false),"Not attempted")</f>
        <v>36.16667</v>
      </c>
      <c r="K27" s="153" t="str">
        <f>IFERROR(VLOOKUP(B27,'Screening test-1'!D:R,15,false),"not qualified")</f>
        <v>NOT QUALIFIED</v>
      </c>
      <c r="L27" s="153">
        <f>IFERROR(VLOOKUP(B27,'Screening test-2'!D:R,12,false),"not qualified")</f>
        <v>58.66667</v>
      </c>
      <c r="M27" s="153" t="str">
        <f>IFERROR(VLOOKUP(B27,'Screening test-2'!D:R,15,false),"not qualified")</f>
        <v>NOT QUALIFIED</v>
      </c>
      <c r="N27" s="119">
        <f>iferror(VLOOKUP(B27,'Screening test-1'!D:Q,12,false),"Not attempted")</f>
        <v>36.16667</v>
      </c>
      <c r="O27" s="119" t="str">
        <f>IFERROR(VLOOKUP(B27,'Screening test-1'!D:R,15,false),"Not Qualified")</f>
        <v>NOT QUALIFIED</v>
      </c>
      <c r="P27" s="119">
        <f>iferror(VLOOKUP(B27,'Screening test-2'!D:Q,12,false),"Not Attempted")</f>
        <v>58.66667</v>
      </c>
      <c r="Q27" s="119" t="str">
        <f>IFERROR(VLOOKUP(B27,'Screening test-2'!D:R,15,false),"Not Qualified")</f>
        <v>NOT QUALIFIED</v>
      </c>
      <c r="R27" s="119">
        <v>6.66972E11</v>
      </c>
      <c r="S27" s="45">
        <f>VLOOKUP(B27,'Analysis data'!B:E,4,false)</f>
        <v>7.52</v>
      </c>
      <c r="T27" s="45">
        <v>846.0</v>
      </c>
      <c r="U27" s="45" t="s">
        <v>1003</v>
      </c>
      <c r="V27" s="45" t="s">
        <v>1003</v>
      </c>
      <c r="W27" s="45" t="s">
        <v>1479</v>
      </c>
      <c r="X27" s="45">
        <v>110630.0</v>
      </c>
      <c r="Y27" s="45">
        <v>0.0</v>
      </c>
      <c r="Z27" s="45" t="s">
        <v>3151</v>
      </c>
      <c r="AA27" s="45" t="s">
        <v>60</v>
      </c>
      <c r="AB27" s="45" t="s">
        <v>1006</v>
      </c>
      <c r="AC27" s="45">
        <v>68.8</v>
      </c>
      <c r="AD27" s="45">
        <v>2019.0</v>
      </c>
      <c r="AE27" s="45">
        <v>69.0</v>
      </c>
      <c r="AF27" s="45">
        <v>2021.0</v>
      </c>
      <c r="AG27" s="45">
        <v>7.5</v>
      </c>
      <c r="AH27" s="45">
        <v>70.0</v>
      </c>
      <c r="AI27" s="45">
        <v>2025.0</v>
      </c>
      <c r="AJ27" s="45">
        <f>VLOOKUP(B27,'Analysis data'!$B$1:$F$358,5,false)</f>
        <v>0</v>
      </c>
      <c r="AK27" s="45">
        <v>0.0</v>
      </c>
      <c r="AL27" s="45" t="s">
        <v>3152</v>
      </c>
      <c r="AM27" s="45" t="s">
        <v>3153</v>
      </c>
      <c r="AN27" s="45">
        <v>9.885670578E9</v>
      </c>
      <c r="AO27" s="45">
        <v>7.382339578E9</v>
      </c>
      <c r="AP27" s="45">
        <v>0.0</v>
      </c>
      <c r="AQ27" s="45">
        <v>0.0</v>
      </c>
      <c r="AR27" s="45" t="str">
        <f>VLOOKUP(B27,'Analysis data'!B:K,10,false)</f>
        <v/>
      </c>
      <c r="AS27" s="45" t="s">
        <v>3154</v>
      </c>
      <c r="AT27" s="45" t="s">
        <v>3155</v>
      </c>
      <c r="AU27" s="45">
        <v>7.24</v>
      </c>
      <c r="AV27" s="45">
        <v>7.44</v>
      </c>
      <c r="AW27" s="45">
        <v>7.32</v>
      </c>
      <c r="AX27" s="45">
        <v>0.0</v>
      </c>
      <c r="AY27" s="45">
        <v>7.4</v>
      </c>
      <c r="AZ27" s="45">
        <v>7.51</v>
      </c>
      <c r="BC27" s="45" t="s">
        <v>1011</v>
      </c>
      <c r="BF27" s="45" t="s">
        <v>1012</v>
      </c>
    </row>
    <row r="28">
      <c r="A28" s="45">
        <v>27.0</v>
      </c>
      <c r="B28" s="45" t="s">
        <v>825</v>
      </c>
      <c r="C28" s="45" t="s">
        <v>3156</v>
      </c>
      <c r="D28" s="45" t="s">
        <v>3157</v>
      </c>
      <c r="E28" s="45" t="s">
        <v>826</v>
      </c>
      <c r="F28" s="45" t="str">
        <f>VLOOKUP(B28,'Analysis data'!$B$2:$C$358,2,false)</f>
        <v>E</v>
      </c>
      <c r="G28" s="45" t="str">
        <f>VLOOKUP(B28, 'Analysis data'!$B$2:$I$358, 8, FALSE)</f>
        <v> Management</v>
      </c>
      <c r="H28" s="124" t="s">
        <v>3491</v>
      </c>
      <c r="I28" s="124" t="s">
        <v>3491</v>
      </c>
      <c r="J28" s="153">
        <f>iferror(VLOOKUP(B28,'Screening test-1'!D:O,12,false),"Not attempted")</f>
        <v>45.16667</v>
      </c>
      <c r="K28" s="153" t="str">
        <f>IFERROR(VLOOKUP(B28,'Screening test-1'!D:R,15,false),"not qualified")</f>
        <v>NOT QUALIFIED</v>
      </c>
      <c r="L28" s="153">
        <f>IFERROR(VLOOKUP(B28,'Screening test-2'!D:R,12,false),"not qualified")</f>
        <v>54.4</v>
      </c>
      <c r="M28" s="153" t="str">
        <f>IFERROR(VLOOKUP(B28,'Screening test-2'!D:R,15,false),"not qualified")</f>
        <v>NOT QUALIFIED</v>
      </c>
      <c r="N28" s="119">
        <f>iferror(VLOOKUP(B28,'Screening test-1'!D:Q,12,false),"Not attempted")</f>
        <v>45.16667</v>
      </c>
      <c r="O28" s="119" t="str">
        <f>IFERROR(VLOOKUP(B28,'Screening test-1'!D:R,15,false),"Not Qualified")</f>
        <v>NOT QUALIFIED</v>
      </c>
      <c r="P28" s="119">
        <f>iferror(VLOOKUP(B28,'Screening test-2'!D:Q,12,false),"Not Attempted")</f>
        <v>54.4</v>
      </c>
      <c r="Q28" s="119" t="str">
        <f>IFERROR(VLOOKUP(B28,'Screening test-2'!D:R,15,false),"Not Qualified")</f>
        <v>NOT QUALIFIED</v>
      </c>
      <c r="R28" s="119">
        <v>6.20735E11</v>
      </c>
      <c r="S28" s="45">
        <f>VLOOKUP(B28,'Analysis data'!B:E,4,false)</f>
        <v>7.45</v>
      </c>
      <c r="T28" s="45" t="s">
        <v>1003</v>
      </c>
      <c r="U28" s="45" t="s">
        <v>1003</v>
      </c>
      <c r="V28" s="45" t="s">
        <v>1003</v>
      </c>
      <c r="W28" s="45" t="s">
        <v>1404</v>
      </c>
      <c r="X28" s="45">
        <v>0.0</v>
      </c>
      <c r="Y28" s="45">
        <v>0.0</v>
      </c>
      <c r="Z28" s="45" t="s">
        <v>3158</v>
      </c>
      <c r="AA28" s="45" t="s">
        <v>46</v>
      </c>
      <c r="AB28" s="45" t="s">
        <v>1006</v>
      </c>
      <c r="AC28" s="45">
        <v>97.0</v>
      </c>
      <c r="AD28" s="45">
        <v>2019.0</v>
      </c>
      <c r="AE28" s="45">
        <v>74.0</v>
      </c>
      <c r="AF28" s="45">
        <v>2021.0</v>
      </c>
      <c r="AG28" s="45">
        <v>7.5</v>
      </c>
      <c r="AH28" s="45">
        <v>70.0</v>
      </c>
      <c r="AI28" s="45">
        <v>2025.0</v>
      </c>
      <c r="AJ28" s="45">
        <f>VLOOKUP(B28,'Analysis data'!$B$1:$F$358,5,false)</f>
        <v>0</v>
      </c>
      <c r="AK28" s="45">
        <v>0.0</v>
      </c>
      <c r="AL28" s="45" t="s">
        <v>3159</v>
      </c>
      <c r="AM28" s="45" t="s">
        <v>3160</v>
      </c>
      <c r="AN28" s="45">
        <v>9.347997158E9</v>
      </c>
      <c r="AO28" s="45">
        <v>9.849027083E9</v>
      </c>
      <c r="AP28" s="45">
        <v>0.0</v>
      </c>
      <c r="AQ28" s="45">
        <v>0.0</v>
      </c>
      <c r="AR28" s="45" t="str">
        <f>VLOOKUP(B28,'Analysis data'!B:K,10,false)</f>
        <v/>
      </c>
      <c r="AS28" s="45" t="s">
        <v>3161</v>
      </c>
      <c r="AT28" s="45" t="s">
        <v>3162</v>
      </c>
      <c r="AU28" s="45">
        <v>7.76</v>
      </c>
      <c r="AV28" s="45">
        <v>6.68</v>
      </c>
      <c r="AW28" s="45">
        <v>6.84</v>
      </c>
      <c r="AX28" s="45">
        <v>0.0</v>
      </c>
      <c r="AY28" s="45">
        <v>7.25</v>
      </c>
      <c r="AZ28" s="45">
        <v>7.33</v>
      </c>
      <c r="BC28" s="45" t="s">
        <v>1011</v>
      </c>
      <c r="BF28" s="45" t="s">
        <v>1012</v>
      </c>
    </row>
    <row r="29">
      <c r="A29" s="45">
        <v>28.0</v>
      </c>
      <c r="B29" s="45" t="s">
        <v>832</v>
      </c>
      <c r="C29" s="45" t="s">
        <v>3178</v>
      </c>
      <c r="D29" s="45" t="s">
        <v>3179</v>
      </c>
      <c r="E29" s="45" t="s">
        <v>833</v>
      </c>
      <c r="F29" s="45" t="str">
        <f>VLOOKUP(B29,'Analysis data'!$B$2:$C$358,2,false)</f>
        <v>E</v>
      </c>
      <c r="G29" s="45" t="str">
        <f>VLOOKUP(B29, 'Analysis data'!$B$2:$I$358, 8, FALSE)</f>
        <v> Convener</v>
      </c>
      <c r="H29" s="124" t="s">
        <v>3491</v>
      </c>
      <c r="I29" s="124" t="s">
        <v>3491</v>
      </c>
      <c r="J29" s="153">
        <f>iferror(VLOOKUP(B29,'Screening test-1'!D:O,12,false),"Not attempted")</f>
        <v>22.33333</v>
      </c>
      <c r="K29" s="153" t="str">
        <f>IFERROR(VLOOKUP(B29,'Screening test-1'!D:R,15,false),"not qualified")</f>
        <v>NOT QUALIFIED</v>
      </c>
      <c r="L29" s="153">
        <f>IFERROR(VLOOKUP(B29,'Screening test-2'!D:R,12,false),"not qualified")</f>
        <v>36.66667</v>
      </c>
      <c r="M29" s="153" t="str">
        <f>IFERROR(VLOOKUP(B29,'Screening test-2'!D:R,15,false),"not qualified")</f>
        <v>NOT QUALIFIED</v>
      </c>
      <c r="N29" s="119">
        <f>iferror(VLOOKUP(B29,'Screening test-1'!D:Q,12,false),"Not attempted")</f>
        <v>22.33333</v>
      </c>
      <c r="O29" s="119" t="str">
        <f>IFERROR(VLOOKUP(B29,'Screening test-1'!D:R,15,false),"Not Qualified")</f>
        <v>NOT QUALIFIED</v>
      </c>
      <c r="P29" s="119">
        <f>iferror(VLOOKUP(B29,'Screening test-2'!D:Q,12,false),"Not Attempted")</f>
        <v>36.66667</v>
      </c>
      <c r="Q29" s="119" t="str">
        <f>IFERROR(VLOOKUP(B29,'Screening test-2'!D:R,15,false),"Not Qualified")</f>
        <v>NOT QUALIFIED</v>
      </c>
      <c r="R29" s="119">
        <v>6.89459E11</v>
      </c>
      <c r="S29" s="45">
        <f>VLOOKUP(B29,'Analysis data'!B:E,4,false)</f>
        <v>7.22</v>
      </c>
      <c r="T29" s="45" t="s">
        <v>1003</v>
      </c>
      <c r="U29" s="45" t="s">
        <v>1003</v>
      </c>
      <c r="V29" s="45" t="s">
        <v>1003</v>
      </c>
      <c r="W29" s="45" t="s">
        <v>2919</v>
      </c>
      <c r="X29" s="45">
        <v>61332.0</v>
      </c>
      <c r="Y29" s="45">
        <v>0.0</v>
      </c>
      <c r="Z29" s="45" t="s">
        <v>3180</v>
      </c>
      <c r="AA29" s="45" t="s">
        <v>46</v>
      </c>
      <c r="AB29" s="45" t="s">
        <v>1006</v>
      </c>
      <c r="AC29" s="45">
        <v>90.0</v>
      </c>
      <c r="AD29" s="45">
        <v>2019.0</v>
      </c>
      <c r="AE29" s="45">
        <v>81.8</v>
      </c>
      <c r="AF29" s="45">
        <v>2021.0</v>
      </c>
      <c r="AG29" s="45">
        <v>7.2</v>
      </c>
      <c r="AH29" s="45">
        <v>67.0</v>
      </c>
      <c r="AI29" s="45">
        <v>2025.0</v>
      </c>
      <c r="AJ29" s="45">
        <f>VLOOKUP(B29,'Analysis data'!$B$1:$F$358,5,false)</f>
        <v>0</v>
      </c>
      <c r="AK29" s="45">
        <v>0.0</v>
      </c>
      <c r="AL29" s="45" t="s">
        <v>3181</v>
      </c>
      <c r="AM29" s="45" t="s">
        <v>3182</v>
      </c>
      <c r="AN29" s="45">
        <v>8.919035933E9</v>
      </c>
      <c r="AO29" s="45">
        <v>9.676600648E9</v>
      </c>
      <c r="AP29" s="45" t="s">
        <v>440</v>
      </c>
      <c r="AQ29" s="45" t="s">
        <v>440</v>
      </c>
      <c r="AR29" s="45" t="str">
        <f>VLOOKUP(B29,'Analysis data'!B:K,10,false)</f>
        <v>SKILL DUNIYA</v>
      </c>
      <c r="AS29" s="45" t="s">
        <v>3183</v>
      </c>
      <c r="AT29" s="45" t="s">
        <v>3184</v>
      </c>
      <c r="AU29" s="45">
        <v>6.46</v>
      </c>
      <c r="AV29" s="45">
        <v>6.88</v>
      </c>
      <c r="AW29" s="45">
        <v>6.57</v>
      </c>
      <c r="AX29" s="45">
        <v>0.0</v>
      </c>
      <c r="AY29" s="45">
        <v>6.96</v>
      </c>
      <c r="AZ29" s="45">
        <v>7.14</v>
      </c>
      <c r="BC29" s="45" t="s">
        <v>1011</v>
      </c>
      <c r="BF29" s="45" t="s">
        <v>1012</v>
      </c>
    </row>
    <row r="30">
      <c r="A30" s="45">
        <v>29.0</v>
      </c>
      <c r="B30" s="45" t="s">
        <v>849</v>
      </c>
      <c r="C30" s="45" t="s">
        <v>3228</v>
      </c>
      <c r="D30" s="45" t="s">
        <v>3229</v>
      </c>
      <c r="E30" s="45" t="s">
        <v>850</v>
      </c>
      <c r="F30" s="45" t="str">
        <f>VLOOKUP(B30,'Analysis data'!$B$2:$C$358,2,false)</f>
        <v>E</v>
      </c>
      <c r="G30" s="45" t="str">
        <f>VLOOKUP(B30, 'Analysis data'!$B$2:$I$358, 8, FALSE)</f>
        <v> Management</v>
      </c>
      <c r="H30" s="124" t="s">
        <v>3491</v>
      </c>
      <c r="I30" s="124" t="s">
        <v>3491</v>
      </c>
      <c r="J30" s="153">
        <f>iferror(VLOOKUP(B30,'Screening test-1'!D:O,12,false),"Not attempted")</f>
        <v>42.7</v>
      </c>
      <c r="K30" s="153" t="str">
        <f>IFERROR(VLOOKUP(B30,'Screening test-1'!D:R,15,false),"not qualified")</f>
        <v>NOT QUALIFIED</v>
      </c>
      <c r="L30" s="153">
        <f>IFERROR(VLOOKUP(B30,'Screening test-2'!D:R,12,false),"not qualified")</f>
        <v>46</v>
      </c>
      <c r="M30" s="153" t="str">
        <f>IFERROR(VLOOKUP(B30,'Screening test-2'!D:R,15,false),"not qualified")</f>
        <v>NOT QUALIFIED</v>
      </c>
      <c r="N30" s="119">
        <f>iferror(VLOOKUP(B30,'Screening test-1'!D:Q,12,false),"Not attempted")</f>
        <v>42.7</v>
      </c>
      <c r="O30" s="119" t="str">
        <f>IFERROR(VLOOKUP(B30,'Screening test-1'!D:R,15,false),"Not Qualified")</f>
        <v>NOT QUALIFIED</v>
      </c>
      <c r="P30" s="119">
        <f>iferror(VLOOKUP(B30,'Screening test-2'!D:Q,12,false),"Not Attempted")</f>
        <v>46</v>
      </c>
      <c r="Q30" s="119" t="str">
        <f>IFERROR(VLOOKUP(B30,'Screening test-2'!D:R,15,false),"Not Qualified")</f>
        <v>NOT QUALIFIED</v>
      </c>
      <c r="R30" s="119">
        <v>4.17183E11</v>
      </c>
      <c r="S30" s="45">
        <f>VLOOKUP(B30,'Analysis data'!B:E,4,false)</f>
        <v>8.15</v>
      </c>
      <c r="T30" s="45">
        <v>2085.0</v>
      </c>
      <c r="U30" s="45" t="s">
        <v>1003</v>
      </c>
      <c r="V30" s="45" t="s">
        <v>1003</v>
      </c>
      <c r="W30" s="45" t="s">
        <v>1236</v>
      </c>
      <c r="X30" s="45">
        <v>115153.0</v>
      </c>
      <c r="Y30" s="45">
        <v>0.0</v>
      </c>
      <c r="Z30" s="45" t="s">
        <v>3230</v>
      </c>
      <c r="AA30" s="45" t="s">
        <v>60</v>
      </c>
      <c r="AB30" s="45" t="s">
        <v>1006</v>
      </c>
      <c r="AC30" s="45">
        <v>69.0</v>
      </c>
      <c r="AD30" s="45">
        <v>2019.0</v>
      </c>
      <c r="AE30" s="45">
        <v>81.0</v>
      </c>
      <c r="AF30" s="45">
        <v>2021.0</v>
      </c>
      <c r="AG30" s="45">
        <v>8.2</v>
      </c>
      <c r="AH30" s="45">
        <v>77.0</v>
      </c>
      <c r="AI30" s="45">
        <v>2025.0</v>
      </c>
      <c r="AJ30" s="45">
        <f>VLOOKUP(B30,'Analysis data'!$B$1:$F$358,5,false)</f>
        <v>0</v>
      </c>
      <c r="AK30" s="45">
        <v>0.0</v>
      </c>
      <c r="AL30" s="45" t="s">
        <v>3231</v>
      </c>
      <c r="AM30" s="45" t="s">
        <v>3232</v>
      </c>
      <c r="AN30" s="45">
        <v>9.392844788E9</v>
      </c>
      <c r="AO30" s="45">
        <v>7.989970099E9</v>
      </c>
      <c r="AP30" s="45" t="s">
        <v>644</v>
      </c>
      <c r="AQ30" s="45" t="s">
        <v>644</v>
      </c>
      <c r="AR30" s="45" t="str">
        <f>VLOOKUP(B30,'Analysis data'!B:K,10,false)</f>
        <v>VIDYANTH &amp; COGNIZANT-OFF CAMPUS</v>
      </c>
      <c r="AS30" s="45" t="s">
        <v>3233</v>
      </c>
      <c r="AT30" s="45" t="s">
        <v>3234</v>
      </c>
      <c r="AU30" s="45">
        <v>8.41</v>
      </c>
      <c r="AV30" s="45">
        <v>7.95</v>
      </c>
      <c r="AW30" s="45">
        <v>8.0</v>
      </c>
      <c r="AX30" s="45">
        <v>0.0</v>
      </c>
      <c r="AY30" s="45">
        <v>8.15</v>
      </c>
      <c r="AZ30" s="45">
        <v>8.13</v>
      </c>
      <c r="BC30" s="45" t="s">
        <v>1011</v>
      </c>
      <c r="BF30" s="45" t="s">
        <v>1012</v>
      </c>
    </row>
    <row r="31">
      <c r="A31" s="45">
        <v>30.0</v>
      </c>
      <c r="B31" s="45" t="s">
        <v>3259</v>
      </c>
      <c r="C31" s="45" t="s">
        <v>3260</v>
      </c>
      <c r="D31" s="45" t="s">
        <v>1945</v>
      </c>
      <c r="E31" s="45" t="s">
        <v>860</v>
      </c>
      <c r="F31" s="45" t="str">
        <f>VLOOKUP(B31,'Analysis data'!$B$2:$C$358,2,false)</f>
        <v>#N/A</v>
      </c>
      <c r="G31" s="45" t="str">
        <f>VLOOKUP(B31, 'Analysis data'!$B$2:$I$358, 8, FALSE)</f>
        <v>#N/A</v>
      </c>
      <c r="H31" s="124" t="s">
        <v>3491</v>
      </c>
      <c r="I31" s="124" t="s">
        <v>3491</v>
      </c>
      <c r="J31" s="153">
        <f>iferror(VLOOKUP(B31,'Screening test-1'!D:O,12,false),"Not attempted")</f>
        <v>37.33333</v>
      </c>
      <c r="K31" s="153" t="str">
        <f>IFERROR(VLOOKUP(B31,'Screening test-1'!D:R,15,false),"not qualified")</f>
        <v>NOT QUALIFIED</v>
      </c>
      <c r="L31" s="153">
        <f>IFERROR(VLOOKUP(B31,'Screening test-2'!D:R,12,false),"not qualified")</f>
        <v>53.13333</v>
      </c>
      <c r="M31" s="153" t="str">
        <f>IFERROR(VLOOKUP(B31,'Screening test-2'!D:R,15,false),"not qualified")</f>
        <v>NOT QUALIFIED</v>
      </c>
      <c r="N31" s="119">
        <f>iferror(VLOOKUP(B31,'Screening test-1'!D:Q,12,false),"Not attempted")</f>
        <v>37.33333</v>
      </c>
      <c r="O31" s="119" t="str">
        <f>IFERROR(VLOOKUP(B31,'Screening test-1'!D:R,15,false),"Not Qualified")</f>
        <v>NOT QUALIFIED</v>
      </c>
      <c r="P31" s="119">
        <f>iferror(VLOOKUP(B31,'Screening test-2'!D:Q,12,false),"Not Attempted")</f>
        <v>53.13333</v>
      </c>
      <c r="Q31" s="119" t="str">
        <f>IFERROR(VLOOKUP(B31,'Screening test-2'!D:R,15,false),"Not Qualified")</f>
        <v>NOT QUALIFIED</v>
      </c>
      <c r="R31" s="119">
        <v>5.88052E11</v>
      </c>
      <c r="S31" s="45" t="str">
        <f>VLOOKUP(B31,'Analysis data'!B:E,4,false)</f>
        <v>#N/A</v>
      </c>
      <c r="T31" s="45" t="s">
        <v>1003</v>
      </c>
      <c r="U31" s="45" t="s">
        <v>1003</v>
      </c>
      <c r="V31" s="45" t="s">
        <v>1003</v>
      </c>
      <c r="W31" s="45" t="s">
        <v>1031</v>
      </c>
      <c r="X31" s="45">
        <v>20531.0</v>
      </c>
      <c r="Y31" s="45">
        <v>0.0</v>
      </c>
      <c r="Z31" s="45" t="s">
        <v>3261</v>
      </c>
      <c r="AA31" s="45" t="s">
        <v>46</v>
      </c>
      <c r="AB31" s="45" t="s">
        <v>1006</v>
      </c>
      <c r="AC31" s="45">
        <v>93.0</v>
      </c>
      <c r="AD31" s="45">
        <v>2019.0</v>
      </c>
      <c r="AE31" s="45">
        <v>88.0</v>
      </c>
      <c r="AF31" s="45">
        <v>2021.0</v>
      </c>
      <c r="AG31" s="45">
        <v>8.0</v>
      </c>
      <c r="AH31" s="45">
        <v>75.0</v>
      </c>
      <c r="AI31" s="45">
        <v>2025.0</v>
      </c>
      <c r="AJ31" s="45" t="str">
        <f>VLOOKUP(B31,'Analysis data'!$B$1:$F$358,5,false)</f>
        <v>#N/A</v>
      </c>
      <c r="AK31" s="45">
        <v>0.0</v>
      </c>
      <c r="AL31" s="45" t="s">
        <v>3262</v>
      </c>
      <c r="AM31" s="45" t="s">
        <v>3263</v>
      </c>
      <c r="AN31" s="45">
        <v>8.688257917E9</v>
      </c>
      <c r="AO31" s="45">
        <v>9.866842827E9</v>
      </c>
      <c r="AP31" s="45">
        <v>0.0</v>
      </c>
      <c r="AQ31" s="45">
        <v>0.0</v>
      </c>
      <c r="AR31" s="45" t="str">
        <f>VLOOKUP(B31,'Analysis data'!B:K,10,false)</f>
        <v>#N/A</v>
      </c>
      <c r="AS31" s="45" t="s">
        <v>3264</v>
      </c>
      <c r="AT31" s="45" t="s">
        <v>3265</v>
      </c>
      <c r="AU31" s="45">
        <v>8.11</v>
      </c>
      <c r="AV31" s="45">
        <v>7.83</v>
      </c>
      <c r="AW31" s="45">
        <v>7.93</v>
      </c>
      <c r="AX31" s="45">
        <v>0.0</v>
      </c>
      <c r="AY31" s="45">
        <v>8.09</v>
      </c>
      <c r="AZ31" s="45">
        <v>8.08</v>
      </c>
      <c r="BC31" s="45" t="s">
        <v>1011</v>
      </c>
      <c r="BF31" s="45" t="s">
        <v>1012</v>
      </c>
    </row>
    <row r="32">
      <c r="A32" s="45">
        <v>31.0</v>
      </c>
      <c r="B32" s="45" t="s">
        <v>866</v>
      </c>
      <c r="C32" s="45" t="s">
        <v>3279</v>
      </c>
      <c r="D32" s="45" t="s">
        <v>2468</v>
      </c>
      <c r="E32" s="45" t="s">
        <v>867</v>
      </c>
      <c r="F32" s="45" t="str">
        <f>VLOOKUP(B32,'Analysis data'!$B$2:$C$358,2,false)</f>
        <v>E</v>
      </c>
      <c r="G32" s="45" t="str">
        <f>VLOOKUP(B32, 'Analysis data'!$B$2:$I$358, 8, FALSE)</f>
        <v> Convener</v>
      </c>
      <c r="H32" s="124" t="s">
        <v>3491</v>
      </c>
      <c r="I32" s="124" t="s">
        <v>3491</v>
      </c>
      <c r="J32" s="153">
        <f>iferror(VLOOKUP(B32,'Screening test-1'!D:O,12,false),"Not attempted")</f>
        <v>41.46667</v>
      </c>
      <c r="K32" s="153" t="str">
        <f>IFERROR(VLOOKUP(B32,'Screening test-1'!D:R,15,false),"not qualified")</f>
        <v>NOT QUALIFIED</v>
      </c>
      <c r="L32" s="153">
        <f>IFERROR(VLOOKUP(B32,'Screening test-2'!D:R,12,false),"not qualified")</f>
        <v>40.43333</v>
      </c>
      <c r="M32" s="153" t="str">
        <f>IFERROR(VLOOKUP(B32,'Screening test-2'!D:R,15,false),"not qualified")</f>
        <v>NOT QUALIFIED</v>
      </c>
      <c r="N32" s="119">
        <f>iferror(VLOOKUP(B32,'Screening test-1'!D:Q,12,false),"Not attempted")</f>
        <v>41.46667</v>
      </c>
      <c r="O32" s="119" t="str">
        <f>IFERROR(VLOOKUP(B32,'Screening test-1'!D:R,15,false),"Not Qualified")</f>
        <v>NOT QUALIFIED</v>
      </c>
      <c r="P32" s="119">
        <f>iferror(VLOOKUP(B32,'Screening test-2'!D:Q,12,false),"Not Attempted")</f>
        <v>40.43333</v>
      </c>
      <c r="Q32" s="119" t="str">
        <f>IFERROR(VLOOKUP(B32,'Screening test-2'!D:R,15,false),"Not Qualified")</f>
        <v>NOT QUALIFIED</v>
      </c>
      <c r="R32" s="119">
        <v>2.53654E11</v>
      </c>
      <c r="S32" s="45" t="str">
        <f>VLOOKUP(B32,'Analysis data'!B:E,4,false)</f>
        <v/>
      </c>
      <c r="T32" s="45">
        <v>992.0</v>
      </c>
      <c r="U32" s="45" t="s">
        <v>1003</v>
      </c>
      <c r="V32" s="45" t="s">
        <v>1003</v>
      </c>
      <c r="W32" s="45" t="s">
        <v>2018</v>
      </c>
      <c r="X32" s="45">
        <v>0.0</v>
      </c>
      <c r="Y32" s="45">
        <v>0.0</v>
      </c>
      <c r="Z32" s="121">
        <v>38057.0</v>
      </c>
      <c r="AA32" s="45" t="s">
        <v>46</v>
      </c>
      <c r="AB32" s="45" t="s">
        <v>1006</v>
      </c>
      <c r="AC32" s="45">
        <v>90.0</v>
      </c>
      <c r="AD32" s="45">
        <v>2019.0</v>
      </c>
      <c r="AE32" s="45">
        <v>61.0</v>
      </c>
      <c r="AF32" s="45">
        <v>2021.0</v>
      </c>
      <c r="AG32" s="45">
        <v>0.0</v>
      </c>
      <c r="AH32" s="45">
        <v>-5.0</v>
      </c>
      <c r="AI32" s="45">
        <v>2025.0</v>
      </c>
      <c r="AJ32" s="45">
        <f>VLOOKUP(B32,'Analysis data'!$B$1:$F$358,5,false)</f>
        <v>1</v>
      </c>
      <c r="AK32" s="45">
        <v>1.0</v>
      </c>
      <c r="AL32" s="45" t="s">
        <v>3280</v>
      </c>
      <c r="AM32" s="45" t="s">
        <v>3281</v>
      </c>
      <c r="AN32" s="45">
        <v>7.330703108E9</v>
      </c>
      <c r="AO32" s="45">
        <v>9.985666685E9</v>
      </c>
      <c r="AP32" s="45">
        <v>0.0</v>
      </c>
      <c r="AQ32" s="45">
        <v>0.0</v>
      </c>
      <c r="AR32" s="45" t="str">
        <f>VLOOKUP(B32,'Analysis data'!B:K,10,false)</f>
        <v/>
      </c>
      <c r="AS32" s="45" t="s">
        <v>3282</v>
      </c>
      <c r="AT32" s="45" t="s">
        <v>3283</v>
      </c>
      <c r="AU32" s="45">
        <v>7.14</v>
      </c>
      <c r="AV32" s="45">
        <v>0.0</v>
      </c>
      <c r="AW32" s="45">
        <v>0.0</v>
      </c>
      <c r="AX32" s="45">
        <v>0.0</v>
      </c>
      <c r="AY32" s="45">
        <v>6.63</v>
      </c>
      <c r="AZ32" s="45">
        <v>0.0</v>
      </c>
      <c r="BC32" s="45" t="s">
        <v>1011</v>
      </c>
      <c r="BF32" s="45" t="s">
        <v>1012</v>
      </c>
    </row>
    <row r="33" hidden="1">
      <c r="A33" s="45">
        <v>32.0</v>
      </c>
      <c r="B33" s="45" t="s">
        <v>885</v>
      </c>
      <c r="C33" s="45" t="s">
        <v>3318</v>
      </c>
      <c r="D33" s="45" t="s">
        <v>3319</v>
      </c>
      <c r="E33" s="45" t="s">
        <v>886</v>
      </c>
      <c r="F33" s="45" t="str">
        <f>VLOOKUP(B33,'Analysis data'!$B$2:$C$358,2,false)</f>
        <v>E</v>
      </c>
      <c r="G33" s="45" t="str">
        <f>VLOOKUP(B33, 'Analysis data'!$B$2:$I$358, 8, FALSE)</f>
        <v> Convener</v>
      </c>
      <c r="H33" s="124" t="s">
        <v>3491</v>
      </c>
      <c r="I33" s="126" t="s">
        <v>3492</v>
      </c>
      <c r="J33" s="153">
        <f>iferror(VLOOKUP(B33,'Screening test-1'!D:O,12,false),"Not attempted")</f>
        <v>48.53333</v>
      </c>
      <c r="K33" s="153" t="str">
        <f>IFERROR(VLOOKUP(B33,'Screening test-1'!D:R,15,false),"not qualified")</f>
        <v>NOT QUALIFIED</v>
      </c>
      <c r="L33" s="153">
        <f>IFERROR(VLOOKUP(B33,'Screening test-2'!D:R,12,false),"not qualified")</f>
        <v>63.96667</v>
      </c>
      <c r="M33" s="153" t="str">
        <f>IFERROR(VLOOKUP(B33,'Screening test-2'!D:R,15,false),"not qualified")</f>
        <v>QUALIFIED</v>
      </c>
      <c r="N33" s="119">
        <f>iferror(VLOOKUP(B33,'Screening test-1'!D:Q,12,false),"Not attempted")</f>
        <v>48.53333</v>
      </c>
      <c r="O33" s="119" t="str">
        <f>IFERROR(VLOOKUP(B33,'Screening test-1'!D:R,15,false),"Not Qualified")</f>
        <v>NOT QUALIFIED</v>
      </c>
      <c r="P33" s="119">
        <f>iferror(VLOOKUP(B33,'Screening test-2'!D:Q,12,false),"Not Attempted")</f>
        <v>63.96667</v>
      </c>
      <c r="Q33" s="119" t="str">
        <f>IFERROR(VLOOKUP(B33,'Screening test-2'!D:R,15,false),"Not Qualified")</f>
        <v>QUALIFIED</v>
      </c>
      <c r="R33" s="119">
        <v>3.94651E11</v>
      </c>
      <c r="S33" s="45">
        <f>VLOOKUP(B33,'Analysis data'!B:E,4,false)</f>
        <v>8.38</v>
      </c>
      <c r="T33" s="45">
        <v>2280.0</v>
      </c>
      <c r="U33" s="45" t="s">
        <v>1003</v>
      </c>
      <c r="V33" s="45" t="s">
        <v>1003</v>
      </c>
      <c r="W33" s="45" t="s">
        <v>3320</v>
      </c>
      <c r="X33" s="45">
        <v>0.0</v>
      </c>
      <c r="Y33" s="45">
        <v>0.0</v>
      </c>
      <c r="Z33" s="121">
        <v>38085.0</v>
      </c>
      <c r="AA33" s="45" t="s">
        <v>60</v>
      </c>
      <c r="AB33" s="45" t="s">
        <v>1006</v>
      </c>
      <c r="AC33" s="45">
        <v>93.0</v>
      </c>
      <c r="AD33" s="45">
        <v>2019.0</v>
      </c>
      <c r="AE33" s="45">
        <v>86.8</v>
      </c>
      <c r="AF33" s="45">
        <v>2021.0</v>
      </c>
      <c r="AG33" s="45">
        <v>8.4</v>
      </c>
      <c r="AH33" s="45">
        <v>79.0</v>
      </c>
      <c r="AI33" s="45">
        <v>2025.0</v>
      </c>
      <c r="AJ33" s="45">
        <f>VLOOKUP(B33,'Analysis data'!$B$1:$F$358,5,false)</f>
        <v>0</v>
      </c>
      <c r="AK33" s="45">
        <v>0.0</v>
      </c>
      <c r="AL33" s="45" t="s">
        <v>3321</v>
      </c>
      <c r="AM33" s="45" t="s">
        <v>3322</v>
      </c>
      <c r="AN33" s="45">
        <v>8.520815292E9</v>
      </c>
      <c r="AO33" s="45">
        <v>8.555024986E9</v>
      </c>
      <c r="AP33" s="45">
        <v>0.0</v>
      </c>
      <c r="AQ33" s="45">
        <v>0.0</v>
      </c>
      <c r="AR33" s="45" t="str">
        <f>VLOOKUP(B33,'Analysis data'!B:K,10,false)</f>
        <v/>
      </c>
      <c r="AS33" s="45" t="s">
        <v>3323</v>
      </c>
      <c r="AT33" s="45" t="s">
        <v>3324</v>
      </c>
      <c r="AU33" s="45">
        <v>7.81</v>
      </c>
      <c r="AV33" s="45">
        <v>8.41</v>
      </c>
      <c r="AW33" s="45">
        <v>7.84</v>
      </c>
      <c r="AX33" s="45">
        <v>0.0</v>
      </c>
      <c r="AY33" s="45">
        <v>8.32</v>
      </c>
      <c r="AZ33" s="45">
        <v>8.4</v>
      </c>
      <c r="BC33" s="45" t="s">
        <v>1011</v>
      </c>
      <c r="BF33" s="45" t="s">
        <v>1012</v>
      </c>
    </row>
    <row r="34" hidden="1">
      <c r="A34" s="45">
        <v>33.0</v>
      </c>
      <c r="B34" s="45" t="s">
        <v>911</v>
      </c>
      <c r="C34" s="45" t="s">
        <v>3400</v>
      </c>
      <c r="D34" s="45" t="s">
        <v>3401</v>
      </c>
      <c r="E34" s="45" t="s">
        <v>912</v>
      </c>
      <c r="F34" s="45" t="str">
        <f>VLOOKUP(B34,'Analysis data'!$B$2:$C$358,2,false)</f>
        <v>E</v>
      </c>
      <c r="G34" s="45" t="str">
        <f>VLOOKUP(B34, 'Analysis data'!$B$2:$I$358, 8, FALSE)</f>
        <v> Convener</v>
      </c>
      <c r="H34" s="124" t="s">
        <v>3491</v>
      </c>
      <c r="I34" s="126" t="s">
        <v>3492</v>
      </c>
      <c r="J34" s="153" t="str">
        <f>iferror(VLOOKUP(B34,'Screening test-1'!D:O,12,false),"Not attempted")</f>
        <v>Not attempted</v>
      </c>
      <c r="K34" s="153" t="str">
        <f>IFERROR(VLOOKUP(B34,'Screening test-1'!D:R,15,false),"not qualified")</f>
        <v>not qualified</v>
      </c>
      <c r="L34" s="153">
        <f>IFERROR(VLOOKUP(B34,'Screening test-2'!D:R,12,false),"not qualified")</f>
        <v>38.4</v>
      </c>
      <c r="M34" s="153" t="str">
        <f>IFERROR(VLOOKUP(B34,'Screening test-2'!D:R,15,false),"not qualified")</f>
        <v>NOT QUALIFIED</v>
      </c>
      <c r="N34" s="119" t="str">
        <f>iferror(VLOOKUP(B34,'Screening test-1'!D:Q,12,false),"Not attempted")</f>
        <v>Not attempted</v>
      </c>
      <c r="O34" s="119" t="str">
        <f>IFERROR(VLOOKUP(B34,'Screening test-1'!D:R,15,false),"Not Qualified")</f>
        <v>Not Qualified</v>
      </c>
      <c r="P34" s="119">
        <f>iferror(VLOOKUP(B34,'Screening test-2'!D:Q,12,false),"Not Attempted")</f>
        <v>38.4</v>
      </c>
      <c r="Q34" s="119" t="str">
        <f>IFERROR(VLOOKUP(B34,'Screening test-2'!D:R,15,false),"Not Qualified")</f>
        <v>NOT QUALIFIED</v>
      </c>
      <c r="R34" s="119">
        <v>2.18029E11</v>
      </c>
      <c r="S34" s="45">
        <f>VLOOKUP(B34,'Analysis data'!B:E,4,false)</f>
        <v>7.51</v>
      </c>
      <c r="T34" s="45" t="s">
        <v>1003</v>
      </c>
      <c r="U34" s="45" t="s">
        <v>1003</v>
      </c>
      <c r="V34" s="45" t="s">
        <v>1003</v>
      </c>
      <c r="W34" s="45" t="s">
        <v>2372</v>
      </c>
      <c r="X34" s="45">
        <v>0.0</v>
      </c>
      <c r="Y34" s="45">
        <v>0.0</v>
      </c>
      <c r="Z34" s="45" t="s">
        <v>3402</v>
      </c>
      <c r="AA34" s="45" t="s">
        <v>46</v>
      </c>
      <c r="AB34" s="45" t="s">
        <v>1006</v>
      </c>
      <c r="AC34" s="45">
        <v>84.0</v>
      </c>
      <c r="AD34" s="45">
        <v>2019.0</v>
      </c>
      <c r="AE34" s="45">
        <v>93.0</v>
      </c>
      <c r="AF34" s="45">
        <v>2021.0</v>
      </c>
      <c r="AG34" s="45">
        <v>7.5</v>
      </c>
      <c r="AH34" s="45">
        <v>70.0</v>
      </c>
      <c r="AI34" s="45">
        <v>2025.0</v>
      </c>
      <c r="AJ34" s="45">
        <f>VLOOKUP(B34,'Analysis data'!$B$1:$F$358,5,false)</f>
        <v>0</v>
      </c>
      <c r="AK34" s="45">
        <v>0.0</v>
      </c>
      <c r="AL34" s="45" t="s">
        <v>3403</v>
      </c>
      <c r="AM34" s="45" t="s">
        <v>3404</v>
      </c>
      <c r="AN34" s="45">
        <v>8.328072299E9</v>
      </c>
      <c r="AO34" s="45">
        <v>9.440024397E9</v>
      </c>
      <c r="AP34" s="45" t="s">
        <v>440</v>
      </c>
      <c r="AQ34" s="45" t="s">
        <v>440</v>
      </c>
      <c r="AR34" s="45" t="str">
        <f>VLOOKUP(B34,'Analysis data'!B:K,10,false)</f>
        <v>SKILL DUNIYA</v>
      </c>
      <c r="AS34" s="45" t="s">
        <v>3405</v>
      </c>
      <c r="AT34" s="45" t="s">
        <v>3406</v>
      </c>
      <c r="AU34" s="45">
        <v>6.86</v>
      </c>
      <c r="AV34" s="45">
        <v>7.05</v>
      </c>
      <c r="AW34" s="45">
        <v>7.39</v>
      </c>
      <c r="AX34" s="45">
        <v>0.0</v>
      </c>
      <c r="AY34" s="45">
        <v>7.42</v>
      </c>
      <c r="AZ34" s="45">
        <v>7.5</v>
      </c>
      <c r="BC34" s="45" t="s">
        <v>1011</v>
      </c>
      <c r="BF34" s="45" t="s">
        <v>1028</v>
      </c>
    </row>
    <row r="35" hidden="1">
      <c r="A35" s="45">
        <v>34.0</v>
      </c>
      <c r="B35" s="45" t="s">
        <v>913</v>
      </c>
      <c r="C35" s="45" t="s">
        <v>3407</v>
      </c>
      <c r="D35" s="45" t="s">
        <v>3408</v>
      </c>
      <c r="E35" s="45" t="s">
        <v>914</v>
      </c>
      <c r="F35" s="45" t="str">
        <f>VLOOKUP(B35,'Analysis data'!$B$2:$C$358,2,false)</f>
        <v>E</v>
      </c>
      <c r="G35" s="45" t="str">
        <f>VLOOKUP(B35, 'Analysis data'!$B$2:$I$358, 8, FALSE)</f>
        <v> Convener</v>
      </c>
      <c r="H35" s="124" t="s">
        <v>3491</v>
      </c>
      <c r="I35" s="126" t="s">
        <v>3492</v>
      </c>
      <c r="J35" s="153">
        <f>iferror(VLOOKUP(B35,'Screening test-1'!D:O,12,false),"Not attempted")</f>
        <v>21</v>
      </c>
      <c r="K35" s="153" t="str">
        <f>IFERROR(VLOOKUP(B35,'Screening test-1'!D:R,15,false),"not qualified")</f>
        <v>NOT QUALIFIED</v>
      </c>
      <c r="L35" s="153">
        <f>IFERROR(VLOOKUP(B35,'Screening test-2'!D:R,12,false),"not qualified")</f>
        <v>40</v>
      </c>
      <c r="M35" s="153" t="str">
        <f>IFERROR(VLOOKUP(B35,'Screening test-2'!D:R,15,false),"not qualified")</f>
        <v>NOT QUALIFIED</v>
      </c>
      <c r="N35" s="119">
        <f>iferror(VLOOKUP(B35,'Screening test-1'!D:Q,12,false),"Not attempted")</f>
        <v>21</v>
      </c>
      <c r="O35" s="119" t="str">
        <f>IFERROR(VLOOKUP(B35,'Screening test-1'!D:R,15,false),"Not Qualified")</f>
        <v>NOT QUALIFIED</v>
      </c>
      <c r="P35" s="119">
        <f>iferror(VLOOKUP(B35,'Screening test-2'!D:Q,12,false),"Not Attempted")</f>
        <v>40</v>
      </c>
      <c r="Q35" s="119" t="str">
        <f>IFERROR(VLOOKUP(B35,'Screening test-2'!D:R,15,false),"Not Qualified")</f>
        <v>NOT QUALIFIED</v>
      </c>
      <c r="R35" s="119">
        <v>2.38324E11</v>
      </c>
      <c r="S35" s="45">
        <f>VLOOKUP(B35,'Analysis data'!B:E,4,false)</f>
        <v>8.1</v>
      </c>
      <c r="T35" s="45">
        <v>3617.0</v>
      </c>
      <c r="U35" s="45" t="s">
        <v>1003</v>
      </c>
      <c r="V35" s="45" t="s">
        <v>1003</v>
      </c>
      <c r="W35" s="45" t="s">
        <v>3208</v>
      </c>
      <c r="X35" s="45">
        <v>14264.0</v>
      </c>
      <c r="Y35" s="45">
        <v>0.0</v>
      </c>
      <c r="Z35" s="121">
        <v>38150.0</v>
      </c>
      <c r="AA35" s="45" t="s">
        <v>60</v>
      </c>
      <c r="AB35" s="45" t="s">
        <v>1006</v>
      </c>
      <c r="AC35" s="45">
        <v>92.0</v>
      </c>
      <c r="AD35" s="45">
        <v>2019.0</v>
      </c>
      <c r="AE35" s="45">
        <v>92.8</v>
      </c>
      <c r="AF35" s="45">
        <v>2021.0</v>
      </c>
      <c r="AG35" s="45">
        <v>8.1</v>
      </c>
      <c r="AH35" s="45">
        <v>76.0</v>
      </c>
      <c r="AI35" s="45">
        <v>2025.0</v>
      </c>
      <c r="AJ35" s="45">
        <f>VLOOKUP(B35,'Analysis data'!$B$1:$F$358,5,false)</f>
        <v>0</v>
      </c>
      <c r="AK35" s="45">
        <v>0.0</v>
      </c>
      <c r="AL35" s="45" t="s">
        <v>3409</v>
      </c>
      <c r="AM35" s="45" t="s">
        <v>3410</v>
      </c>
      <c r="AN35" s="45">
        <v>7.416353744E9</v>
      </c>
      <c r="AO35" s="45">
        <v>9.849612502E9</v>
      </c>
      <c r="AP35" s="45" t="s">
        <v>915</v>
      </c>
      <c r="AQ35" s="45" t="s">
        <v>90</v>
      </c>
      <c r="AR35" s="45" t="str">
        <f>VLOOKUP(B35,'Analysis data'!B:K,10,false)</f>
        <v>Accenture ASE &amp; SEOAK</v>
      </c>
      <c r="AS35" s="45" t="s">
        <v>3411</v>
      </c>
      <c r="AT35" s="45" t="s">
        <v>3412</v>
      </c>
      <c r="AU35" s="45">
        <v>8.35</v>
      </c>
      <c r="AV35" s="45">
        <v>7.71</v>
      </c>
      <c r="AW35" s="45">
        <v>7.8</v>
      </c>
      <c r="AX35" s="45">
        <v>0.0</v>
      </c>
      <c r="AY35" s="45">
        <v>8.04</v>
      </c>
      <c r="AZ35" s="45">
        <v>8.09</v>
      </c>
      <c r="BC35" s="45" t="s">
        <v>1011</v>
      </c>
      <c r="BF35" s="45" t="s">
        <v>1012</v>
      </c>
    </row>
    <row r="36">
      <c r="A36" s="45">
        <v>35.0</v>
      </c>
      <c r="B36" s="45" t="s">
        <v>921</v>
      </c>
      <c r="C36" s="45" t="s">
        <v>3425</v>
      </c>
      <c r="D36" s="45" t="s">
        <v>3426</v>
      </c>
      <c r="E36" s="45" t="s">
        <v>922</v>
      </c>
      <c r="F36" s="45" t="str">
        <f>VLOOKUP(B36,'Analysis data'!$B$2:$C$358,2,false)</f>
        <v>E</v>
      </c>
      <c r="G36" s="45" t="str">
        <f>VLOOKUP(B36, 'Analysis data'!$B$2:$I$358, 8, FALSE)</f>
        <v> Convener</v>
      </c>
      <c r="H36" s="124" t="s">
        <v>3491</v>
      </c>
      <c r="I36" s="125" t="s">
        <v>3491</v>
      </c>
      <c r="J36" s="153" t="str">
        <f>iferror(VLOOKUP(B36,'Screening test-1'!D:O,12,false),"Not attempted")</f>
        <v>Not attempted</v>
      </c>
      <c r="K36" s="153" t="str">
        <f>IFERROR(VLOOKUP(B36,'Screening test-1'!D:R,15,false),"not qualified")</f>
        <v>not qualified</v>
      </c>
      <c r="L36" s="153" t="str">
        <f>IFERROR(VLOOKUP(B36,'Screening test-2'!D:R,12,false),"not qualified")</f>
        <v>not qualified</v>
      </c>
      <c r="M36" s="153" t="str">
        <f>IFERROR(VLOOKUP(B36,'Screening test-2'!D:R,15,false),"not qualified")</f>
        <v>not qualified</v>
      </c>
      <c r="N36" s="119" t="str">
        <f>iferror(VLOOKUP(B36,'Screening test-1'!D:Q,12,false),"Not attempted")</f>
        <v>Not attempted</v>
      </c>
      <c r="O36" s="119" t="str">
        <f>IFERROR(VLOOKUP(B36,'Screening test-1'!D:R,15,false),"Not Qualified")</f>
        <v>Not Qualified</v>
      </c>
      <c r="P36" s="119" t="str">
        <f>iferror(VLOOKUP(B36,'Screening test-2'!D:Q,12,false),"Not Attempted")</f>
        <v>Not Attempted</v>
      </c>
      <c r="Q36" s="119" t="str">
        <f>IFERROR(VLOOKUP(B36,'Screening test-2'!D:R,15,false),"Not Qualified")</f>
        <v>Not Qualified</v>
      </c>
      <c r="R36" s="119">
        <v>7.94553E11</v>
      </c>
      <c r="S36" s="45">
        <f>VLOOKUP(B36,'Analysis data'!B:E,4,false)</f>
        <v>7.55</v>
      </c>
      <c r="T36" s="45" t="s">
        <v>1003</v>
      </c>
      <c r="U36" s="45" t="s">
        <v>1003</v>
      </c>
      <c r="V36" s="45" t="s">
        <v>1003</v>
      </c>
      <c r="W36" s="45" t="s">
        <v>1123</v>
      </c>
      <c r="X36" s="45">
        <v>0.0</v>
      </c>
      <c r="Y36" s="45">
        <v>948.0</v>
      </c>
      <c r="Z36" s="45" t="s">
        <v>3427</v>
      </c>
      <c r="AA36" s="45" t="s">
        <v>46</v>
      </c>
      <c r="AB36" s="45" t="s">
        <v>1006</v>
      </c>
      <c r="AC36" s="45">
        <v>90.0</v>
      </c>
      <c r="AD36" s="45">
        <v>2019.0</v>
      </c>
      <c r="AE36" s="45">
        <v>79.0</v>
      </c>
      <c r="AF36" s="45">
        <v>2022.0</v>
      </c>
      <c r="AG36" s="45">
        <v>7.6</v>
      </c>
      <c r="AH36" s="45">
        <v>71.0</v>
      </c>
      <c r="AI36" s="45">
        <v>2025.0</v>
      </c>
      <c r="AJ36" s="45">
        <f>VLOOKUP(B36,'Analysis data'!$B$1:$F$358,5,false)</f>
        <v>0</v>
      </c>
      <c r="AK36" s="45">
        <v>0.0</v>
      </c>
      <c r="AL36" s="45" t="s">
        <v>3428</v>
      </c>
      <c r="AM36" s="45" t="s">
        <v>3429</v>
      </c>
      <c r="AN36" s="45">
        <v>8.106051202E9</v>
      </c>
      <c r="AO36" s="45">
        <v>9.704314946E9</v>
      </c>
      <c r="AP36" s="45">
        <v>0.0</v>
      </c>
      <c r="AQ36" s="45">
        <v>0.0</v>
      </c>
      <c r="AR36" s="45" t="str">
        <f>VLOOKUP(B36,'Analysis data'!B:K,10,false)</f>
        <v/>
      </c>
      <c r="AS36" s="45" t="s">
        <v>3430</v>
      </c>
      <c r="AT36" s="45" t="s">
        <v>3431</v>
      </c>
      <c r="AU36" s="45">
        <v>0.0</v>
      </c>
      <c r="AV36" s="45">
        <v>0.0</v>
      </c>
      <c r="AW36" s="45">
        <v>6.84</v>
      </c>
      <c r="AX36" s="45">
        <v>0.0</v>
      </c>
      <c r="AY36" s="45">
        <v>7.32</v>
      </c>
      <c r="AZ36" s="45">
        <v>7.47</v>
      </c>
      <c r="BC36" s="45" t="s">
        <v>1011</v>
      </c>
      <c r="BF36" s="45" t="s">
        <v>1012</v>
      </c>
    </row>
    <row r="37">
      <c r="A37" s="45">
        <v>36.0</v>
      </c>
      <c r="B37" s="45" t="s">
        <v>925</v>
      </c>
      <c r="C37" s="45" t="s">
        <v>3437</v>
      </c>
      <c r="D37" s="45" t="s">
        <v>1389</v>
      </c>
      <c r="E37" s="45" t="s">
        <v>926</v>
      </c>
      <c r="F37" s="45" t="str">
        <f>VLOOKUP(B37,'Analysis data'!$B$2:$C$358,2,false)</f>
        <v>E</v>
      </c>
      <c r="G37" s="45" t="str">
        <f>VLOOKUP(B37, 'Analysis data'!$B$2:$I$358, 8, FALSE)</f>
        <v> Convener</v>
      </c>
      <c r="H37" s="124" t="s">
        <v>3491</v>
      </c>
      <c r="I37" s="125" t="s">
        <v>3491</v>
      </c>
      <c r="J37" s="153">
        <f>iferror(VLOOKUP(B37,'Screening test-1'!D:O,12,false),"Not attempted")</f>
        <v>27.53333</v>
      </c>
      <c r="K37" s="153" t="str">
        <f>IFERROR(VLOOKUP(B37,'Screening test-1'!D:R,15,false),"not qualified")</f>
        <v>NOT QUALIFIED</v>
      </c>
      <c r="L37" s="153">
        <f>IFERROR(VLOOKUP(B37,'Screening test-2'!D:R,12,false),"not qualified")</f>
        <v>28.3</v>
      </c>
      <c r="M37" s="153" t="str">
        <f>IFERROR(VLOOKUP(B37,'Screening test-2'!D:R,15,false),"not qualified")</f>
        <v>NOT QUALIFIED</v>
      </c>
      <c r="N37" s="119">
        <f>iferror(VLOOKUP(B37,'Screening test-1'!D:Q,12,false),"Not attempted")</f>
        <v>27.53333</v>
      </c>
      <c r="O37" s="119" t="str">
        <f>IFERROR(VLOOKUP(B37,'Screening test-1'!D:R,15,false),"Not Qualified")</f>
        <v>NOT QUALIFIED</v>
      </c>
      <c r="P37" s="119">
        <f>iferror(VLOOKUP(B37,'Screening test-2'!D:Q,12,false),"Not Attempted")</f>
        <v>28.3</v>
      </c>
      <c r="Q37" s="119" t="str">
        <f>IFERROR(VLOOKUP(B37,'Screening test-2'!D:R,15,false),"Not Qualified")</f>
        <v>NOT QUALIFIED</v>
      </c>
      <c r="R37" s="119">
        <v>7.43861E11</v>
      </c>
      <c r="S37" s="45">
        <f>VLOOKUP(B37,'Analysis data'!B:E,4,false)</f>
        <v>7.6</v>
      </c>
      <c r="T37" s="45" t="s">
        <v>1003</v>
      </c>
      <c r="U37" s="45" t="s">
        <v>1003</v>
      </c>
      <c r="V37" s="45" t="s">
        <v>1003</v>
      </c>
      <c r="W37" s="45" t="s">
        <v>3438</v>
      </c>
      <c r="X37" s="45">
        <v>0.0</v>
      </c>
      <c r="Y37" s="45">
        <v>921.0</v>
      </c>
      <c r="Z37" s="45" t="s">
        <v>1823</v>
      </c>
      <c r="AA37" s="45" t="s">
        <v>60</v>
      </c>
      <c r="AB37" s="45" t="s">
        <v>1006</v>
      </c>
      <c r="AC37" s="45">
        <v>93.0</v>
      </c>
      <c r="AD37" s="45">
        <v>2019.0</v>
      </c>
      <c r="AE37" s="45">
        <v>84.0</v>
      </c>
      <c r="AF37" s="45">
        <v>2022.0</v>
      </c>
      <c r="AG37" s="45">
        <v>7.6</v>
      </c>
      <c r="AH37" s="45">
        <v>71.0</v>
      </c>
      <c r="AI37" s="45">
        <v>2025.0</v>
      </c>
      <c r="AJ37" s="45">
        <f>VLOOKUP(B37,'Analysis data'!$B$1:$F$358,5,false)</f>
        <v>0</v>
      </c>
      <c r="AK37" s="45">
        <v>0.0</v>
      </c>
      <c r="AL37" s="45" t="s">
        <v>3439</v>
      </c>
      <c r="AM37" s="45" t="s">
        <v>3440</v>
      </c>
      <c r="AN37" s="45">
        <v>8.555070543E9</v>
      </c>
      <c r="AO37" s="45">
        <v>9.9082827E9</v>
      </c>
      <c r="AP37" s="45">
        <v>0.0</v>
      </c>
      <c r="AQ37" s="45">
        <v>0.0</v>
      </c>
      <c r="AR37" s="45" t="str">
        <f>VLOOKUP(B37,'Analysis data'!B:K,10,false)</f>
        <v/>
      </c>
      <c r="AS37" s="45" t="s">
        <v>3441</v>
      </c>
      <c r="AT37" s="45" t="s">
        <v>3442</v>
      </c>
      <c r="AU37" s="45">
        <v>0.0</v>
      </c>
      <c r="AV37" s="45">
        <v>0.0</v>
      </c>
      <c r="AW37" s="45">
        <v>7.8</v>
      </c>
      <c r="AX37" s="45">
        <v>0.0</v>
      </c>
      <c r="AY37" s="45">
        <v>7.54</v>
      </c>
      <c r="AZ37" s="45">
        <v>7.61</v>
      </c>
      <c r="BC37" s="45" t="s">
        <v>1011</v>
      </c>
      <c r="BF37" s="45" t="s">
        <v>1012</v>
      </c>
    </row>
    <row r="38" hidden="1">
      <c r="A38" s="45">
        <v>37.0</v>
      </c>
      <c r="B38" s="45" t="s">
        <v>930</v>
      </c>
      <c r="C38" s="45" t="s">
        <v>3448</v>
      </c>
      <c r="D38" s="45" t="s">
        <v>1389</v>
      </c>
      <c r="E38" s="45" t="s">
        <v>931</v>
      </c>
      <c r="F38" s="45" t="str">
        <f>VLOOKUP(B38,'Analysis data'!$B$2:$C$358,2,false)</f>
        <v>E</v>
      </c>
      <c r="G38" s="45" t="str">
        <f>VLOOKUP(B38, 'Analysis data'!$B$2:$I$358, 8, FALSE)</f>
        <v> Convener</v>
      </c>
      <c r="H38" s="124" t="s">
        <v>3491</v>
      </c>
      <c r="I38" s="125" t="s">
        <v>3492</v>
      </c>
      <c r="J38" s="153">
        <f>iferror(VLOOKUP(B38,'Screening test-1'!D:O,12,false),"Not attempted")</f>
        <v>47.63333</v>
      </c>
      <c r="K38" s="153" t="str">
        <f>IFERROR(VLOOKUP(B38,'Screening test-1'!D:R,15,false),"not qualified")</f>
        <v>NOT QUALIFIED</v>
      </c>
      <c r="L38" s="153">
        <f>IFERROR(VLOOKUP(B38,'Screening test-2'!D:R,12,false),"not qualified")</f>
        <v>48.26667</v>
      </c>
      <c r="M38" s="153" t="str">
        <f>IFERROR(VLOOKUP(B38,'Screening test-2'!D:R,15,false),"not qualified")</f>
        <v>NOT QUALIFIED</v>
      </c>
      <c r="N38" s="119">
        <f>iferror(VLOOKUP(B38,'Screening test-1'!D:Q,12,false),"Not attempted")</f>
        <v>47.63333</v>
      </c>
      <c r="O38" s="119" t="str">
        <f>IFERROR(VLOOKUP(B38,'Screening test-1'!D:R,15,false),"Not Qualified")</f>
        <v>NOT QUALIFIED</v>
      </c>
      <c r="P38" s="119">
        <f>iferror(VLOOKUP(B38,'Screening test-2'!D:Q,12,false),"Not Attempted")</f>
        <v>48.26667</v>
      </c>
      <c r="Q38" s="119" t="str">
        <f>IFERROR(VLOOKUP(B38,'Screening test-2'!D:R,15,false),"Not Qualified")</f>
        <v>NOT QUALIFIED</v>
      </c>
      <c r="R38" s="119">
        <v>5.36761E11</v>
      </c>
      <c r="S38" s="45">
        <f>VLOOKUP(B38,'Analysis data'!B:E,4,false)</f>
        <v>8.49</v>
      </c>
      <c r="T38" s="45" t="s">
        <v>1003</v>
      </c>
      <c r="U38" s="45" t="s">
        <v>1003</v>
      </c>
      <c r="V38" s="45" t="s">
        <v>1003</v>
      </c>
      <c r="W38" s="45" t="s">
        <v>2718</v>
      </c>
      <c r="X38" s="45">
        <v>0.0</v>
      </c>
      <c r="Y38" s="45">
        <v>399.0</v>
      </c>
      <c r="Z38" s="45" t="s">
        <v>3449</v>
      </c>
      <c r="AA38" s="45" t="s">
        <v>60</v>
      </c>
      <c r="AB38" s="45" t="s">
        <v>1006</v>
      </c>
      <c r="AC38" s="45">
        <v>92.0</v>
      </c>
      <c r="AD38" s="45">
        <v>2019.0</v>
      </c>
      <c r="AE38" s="45">
        <v>96.7</v>
      </c>
      <c r="AF38" s="45">
        <v>2022.0</v>
      </c>
      <c r="AG38" s="45">
        <v>8.5</v>
      </c>
      <c r="AH38" s="45">
        <v>80.0</v>
      </c>
      <c r="AI38" s="45">
        <v>2025.0</v>
      </c>
      <c r="AJ38" s="45">
        <f>VLOOKUP(B38,'Analysis data'!$B$1:$F$358,5,false)</f>
        <v>0</v>
      </c>
      <c r="AK38" s="45">
        <v>0.0</v>
      </c>
      <c r="AL38" s="45" t="s">
        <v>3450</v>
      </c>
      <c r="AM38" s="45" t="s">
        <v>3451</v>
      </c>
      <c r="AN38" s="45">
        <v>9.640087139E9</v>
      </c>
      <c r="AO38" s="45">
        <v>9.603679079E9</v>
      </c>
      <c r="AP38" s="45">
        <v>0.0</v>
      </c>
      <c r="AQ38" s="45">
        <v>0.0</v>
      </c>
      <c r="AR38" s="45" t="str">
        <f>VLOOKUP(B38,'Analysis data'!B:K,10,false)</f>
        <v/>
      </c>
      <c r="AS38" s="45" t="s">
        <v>3452</v>
      </c>
      <c r="AT38" s="45" t="s">
        <v>3453</v>
      </c>
      <c r="AU38" s="45">
        <v>0.0</v>
      </c>
      <c r="AV38" s="45">
        <v>0.0</v>
      </c>
      <c r="AW38" s="45">
        <v>8.39</v>
      </c>
      <c r="AX38" s="45">
        <v>0.0</v>
      </c>
      <c r="AY38" s="45">
        <v>8.41</v>
      </c>
      <c r="AZ38" s="45">
        <v>8.49</v>
      </c>
      <c r="BC38" s="45" t="s">
        <v>1011</v>
      </c>
      <c r="BF38" s="45" t="s">
        <v>1012</v>
      </c>
    </row>
    <row r="39">
      <c r="J39" s="154"/>
      <c r="K39" s="154"/>
      <c r="L39" s="154"/>
      <c r="M39" s="154"/>
    </row>
    <row r="40">
      <c r="J40" s="154"/>
      <c r="K40" s="154"/>
      <c r="L40" s="154"/>
      <c r="M40" s="154"/>
    </row>
    <row r="41">
      <c r="J41" s="154"/>
      <c r="K41" s="154"/>
      <c r="L41" s="154"/>
      <c r="M41" s="154"/>
    </row>
    <row r="42">
      <c r="J42" s="154"/>
      <c r="K42" s="154"/>
      <c r="L42" s="154"/>
      <c r="M42" s="154"/>
    </row>
    <row r="43">
      <c r="J43" s="154"/>
      <c r="K43" s="154"/>
      <c r="L43" s="154"/>
      <c r="M43" s="154"/>
    </row>
    <row r="44">
      <c r="J44" s="154"/>
      <c r="K44" s="154"/>
      <c r="L44" s="154"/>
      <c r="M44" s="154"/>
    </row>
    <row r="45">
      <c r="J45" s="154"/>
      <c r="K45" s="154"/>
      <c r="L45" s="154"/>
      <c r="M45" s="154"/>
    </row>
    <row r="46">
      <c r="J46" s="154"/>
      <c r="K46" s="154"/>
      <c r="L46" s="154"/>
      <c r="M46" s="154"/>
    </row>
    <row r="47">
      <c r="F47" s="45" t="s">
        <v>6283</v>
      </c>
      <c r="G47" s="45" t="s">
        <v>6284</v>
      </c>
      <c r="H47" s="45" t="s">
        <v>6285</v>
      </c>
      <c r="J47" s="154"/>
      <c r="K47" s="154"/>
      <c r="L47" s="154"/>
      <c r="M47" s="154"/>
    </row>
    <row r="48">
      <c r="J48" s="154"/>
      <c r="K48" s="154"/>
      <c r="L48" s="154"/>
      <c r="M48" s="154"/>
    </row>
    <row r="49">
      <c r="J49" s="154"/>
      <c r="K49" s="154"/>
      <c r="L49" s="154"/>
      <c r="M49" s="154"/>
    </row>
    <row r="50">
      <c r="J50" s="154"/>
      <c r="K50" s="154"/>
      <c r="L50" s="154"/>
      <c r="M50" s="154"/>
    </row>
    <row r="51">
      <c r="J51" s="154"/>
      <c r="K51" s="154"/>
      <c r="L51" s="154"/>
      <c r="M51" s="154"/>
    </row>
    <row r="52">
      <c r="J52" s="154"/>
      <c r="K52" s="154"/>
      <c r="L52" s="154"/>
      <c r="M52" s="154"/>
    </row>
    <row r="53">
      <c r="J53" s="154"/>
      <c r="K53" s="154"/>
      <c r="L53" s="154"/>
      <c r="M53" s="154"/>
    </row>
    <row r="54">
      <c r="J54" s="154"/>
      <c r="K54" s="154"/>
      <c r="L54" s="154"/>
      <c r="M54" s="154"/>
    </row>
    <row r="55">
      <c r="J55" s="154"/>
      <c r="K55" s="154"/>
      <c r="L55" s="154"/>
      <c r="M55" s="154"/>
    </row>
    <row r="56">
      <c r="J56" s="154"/>
      <c r="K56" s="154"/>
      <c r="L56" s="154"/>
      <c r="M56" s="154"/>
    </row>
    <row r="57">
      <c r="J57" s="154"/>
      <c r="K57" s="154"/>
      <c r="L57" s="154"/>
      <c r="M57" s="154"/>
    </row>
    <row r="58">
      <c r="J58" s="154"/>
      <c r="K58" s="154"/>
      <c r="L58" s="154"/>
      <c r="M58" s="154"/>
    </row>
    <row r="59">
      <c r="J59" s="154"/>
      <c r="K59" s="154"/>
      <c r="L59" s="154"/>
      <c r="M59" s="154"/>
    </row>
    <row r="60">
      <c r="J60" s="154"/>
      <c r="K60" s="154"/>
      <c r="L60" s="154"/>
      <c r="M60" s="154"/>
    </row>
    <row r="61">
      <c r="J61" s="154"/>
      <c r="K61" s="154"/>
      <c r="L61" s="154"/>
      <c r="M61" s="154"/>
    </row>
    <row r="62">
      <c r="J62" s="154"/>
      <c r="K62" s="154"/>
      <c r="L62" s="154"/>
      <c r="M62" s="154"/>
    </row>
    <row r="63">
      <c r="J63" s="154"/>
      <c r="K63" s="154"/>
      <c r="L63" s="154"/>
      <c r="M63" s="154"/>
    </row>
    <row r="64">
      <c r="J64" s="154"/>
      <c r="K64" s="154"/>
      <c r="L64" s="154"/>
      <c r="M64" s="154"/>
    </row>
    <row r="65">
      <c r="J65" s="154"/>
      <c r="K65" s="154"/>
      <c r="L65" s="154"/>
      <c r="M65" s="154"/>
    </row>
    <row r="66">
      <c r="J66" s="154"/>
      <c r="K66" s="154"/>
      <c r="L66" s="154"/>
      <c r="M66" s="154"/>
    </row>
    <row r="67">
      <c r="J67" s="154"/>
      <c r="K67" s="154"/>
      <c r="L67" s="154"/>
      <c r="M67" s="154"/>
    </row>
    <row r="68">
      <c r="J68" s="154"/>
      <c r="K68" s="154"/>
      <c r="L68" s="154"/>
      <c r="M68" s="154"/>
    </row>
    <row r="69">
      <c r="J69" s="154"/>
      <c r="K69" s="154"/>
      <c r="L69" s="154"/>
      <c r="M69" s="154"/>
    </row>
    <row r="70">
      <c r="J70" s="154"/>
      <c r="K70" s="154"/>
      <c r="L70" s="154"/>
      <c r="M70" s="154"/>
    </row>
    <row r="71">
      <c r="J71" s="154"/>
      <c r="K71" s="154"/>
      <c r="L71" s="154"/>
      <c r="M71" s="154"/>
    </row>
    <row r="72">
      <c r="J72" s="154"/>
      <c r="K72" s="154"/>
      <c r="L72" s="154"/>
      <c r="M72" s="154"/>
    </row>
    <row r="73">
      <c r="J73" s="154"/>
      <c r="K73" s="154"/>
      <c r="L73" s="154"/>
      <c r="M73" s="154"/>
    </row>
    <row r="74">
      <c r="J74" s="154"/>
      <c r="K74" s="154"/>
      <c r="L74" s="154"/>
      <c r="M74" s="154"/>
    </row>
    <row r="75">
      <c r="J75" s="154"/>
      <c r="K75" s="154"/>
      <c r="L75" s="154"/>
      <c r="M75" s="154"/>
    </row>
    <row r="76">
      <c r="J76" s="154"/>
      <c r="K76" s="154"/>
      <c r="L76" s="154"/>
      <c r="M76" s="154"/>
    </row>
    <row r="77">
      <c r="J77" s="154"/>
      <c r="K77" s="154"/>
      <c r="L77" s="154"/>
      <c r="M77" s="154"/>
    </row>
    <row r="78">
      <c r="J78" s="154"/>
      <c r="K78" s="154"/>
      <c r="L78" s="154"/>
      <c r="M78" s="154"/>
    </row>
    <row r="79">
      <c r="J79" s="154"/>
      <c r="K79" s="154"/>
      <c r="L79" s="154"/>
      <c r="M79" s="154"/>
    </row>
    <row r="80">
      <c r="J80" s="154"/>
      <c r="K80" s="154"/>
      <c r="L80" s="154"/>
      <c r="M80" s="154"/>
    </row>
    <row r="81">
      <c r="J81" s="154"/>
      <c r="K81" s="154"/>
      <c r="L81" s="154"/>
      <c r="M81" s="154"/>
    </row>
    <row r="82">
      <c r="J82" s="154"/>
      <c r="K82" s="154"/>
      <c r="L82" s="154"/>
      <c r="M82" s="154"/>
    </row>
    <row r="83">
      <c r="J83" s="154"/>
      <c r="K83" s="154"/>
      <c r="L83" s="154"/>
      <c r="M83" s="154"/>
    </row>
    <row r="84">
      <c r="J84" s="154"/>
      <c r="K84" s="154"/>
      <c r="L84" s="154"/>
      <c r="M84" s="154"/>
    </row>
    <row r="85">
      <c r="J85" s="154"/>
      <c r="K85" s="154"/>
      <c r="L85" s="154"/>
      <c r="M85" s="154"/>
    </row>
    <row r="86">
      <c r="J86" s="154"/>
      <c r="K86" s="154"/>
      <c r="L86" s="154"/>
      <c r="M86" s="154"/>
    </row>
    <row r="87">
      <c r="J87" s="154"/>
      <c r="K87" s="154"/>
      <c r="L87" s="154"/>
      <c r="M87" s="154"/>
    </row>
    <row r="88">
      <c r="J88" s="154"/>
      <c r="K88" s="154"/>
      <c r="L88" s="154"/>
      <c r="M88" s="154"/>
    </row>
    <row r="89">
      <c r="J89" s="154"/>
      <c r="K89" s="154"/>
      <c r="L89" s="154"/>
      <c r="M89" s="154"/>
    </row>
    <row r="90">
      <c r="J90" s="154"/>
      <c r="K90" s="154"/>
      <c r="L90" s="154"/>
      <c r="M90" s="154"/>
    </row>
    <row r="91">
      <c r="J91" s="154"/>
      <c r="K91" s="154"/>
      <c r="L91" s="154"/>
      <c r="M91" s="154"/>
    </row>
    <row r="92">
      <c r="J92" s="154"/>
      <c r="K92" s="154"/>
      <c r="L92" s="154"/>
      <c r="M92" s="154"/>
    </row>
    <row r="93">
      <c r="J93" s="154"/>
      <c r="K93" s="154"/>
      <c r="L93" s="154"/>
      <c r="M93" s="154"/>
    </row>
    <row r="94">
      <c r="J94" s="154"/>
      <c r="K94" s="154"/>
      <c r="L94" s="154"/>
      <c r="M94" s="154"/>
    </row>
    <row r="95">
      <c r="J95" s="154"/>
      <c r="K95" s="154"/>
      <c r="L95" s="154"/>
      <c r="M95" s="154"/>
    </row>
    <row r="96">
      <c r="J96" s="154"/>
      <c r="K96" s="154"/>
      <c r="L96" s="154"/>
      <c r="M96" s="154"/>
    </row>
    <row r="97">
      <c r="J97" s="154"/>
      <c r="K97" s="154"/>
      <c r="L97" s="154"/>
      <c r="M97" s="154"/>
    </row>
    <row r="98">
      <c r="J98" s="154"/>
      <c r="K98" s="154"/>
      <c r="L98" s="154"/>
      <c r="M98" s="154"/>
    </row>
    <row r="99">
      <c r="J99" s="154"/>
      <c r="K99" s="154"/>
      <c r="L99" s="154"/>
      <c r="M99" s="154"/>
    </row>
    <row r="100">
      <c r="J100" s="154"/>
      <c r="K100" s="154"/>
      <c r="L100" s="154"/>
      <c r="M100" s="154"/>
    </row>
    <row r="101">
      <c r="J101" s="154"/>
      <c r="K101" s="154"/>
      <c r="L101" s="154"/>
      <c r="M101" s="154"/>
    </row>
    <row r="102">
      <c r="J102" s="154"/>
      <c r="K102" s="154"/>
      <c r="L102" s="154"/>
      <c r="M102" s="154"/>
    </row>
    <row r="103">
      <c r="J103" s="154"/>
      <c r="K103" s="154"/>
      <c r="L103" s="154"/>
      <c r="M103" s="154"/>
    </row>
    <row r="104">
      <c r="J104" s="154"/>
      <c r="K104" s="154"/>
      <c r="L104" s="154"/>
      <c r="M104" s="154"/>
    </row>
    <row r="105">
      <c r="J105" s="154"/>
      <c r="K105" s="154"/>
      <c r="L105" s="154"/>
      <c r="M105" s="154"/>
    </row>
    <row r="106">
      <c r="J106" s="154"/>
      <c r="K106" s="154"/>
      <c r="L106" s="154"/>
      <c r="M106" s="154"/>
    </row>
    <row r="107">
      <c r="J107" s="154"/>
      <c r="K107" s="154"/>
      <c r="L107" s="154"/>
      <c r="M107" s="154"/>
    </row>
    <row r="108">
      <c r="J108" s="154"/>
      <c r="K108" s="154"/>
      <c r="L108" s="154"/>
      <c r="M108" s="154"/>
    </row>
    <row r="109">
      <c r="J109" s="154"/>
      <c r="K109" s="154"/>
      <c r="L109" s="154"/>
      <c r="M109" s="154"/>
    </row>
    <row r="110">
      <c r="J110" s="154"/>
      <c r="K110" s="154"/>
      <c r="L110" s="154"/>
      <c r="M110" s="154"/>
    </row>
    <row r="111">
      <c r="J111" s="154"/>
      <c r="K111" s="154"/>
      <c r="L111" s="154"/>
      <c r="M111" s="154"/>
    </row>
    <row r="112">
      <c r="J112" s="154"/>
      <c r="K112" s="154"/>
      <c r="L112" s="154"/>
      <c r="M112" s="154"/>
    </row>
    <row r="113">
      <c r="J113" s="154"/>
      <c r="K113" s="154"/>
      <c r="L113" s="154"/>
      <c r="M113" s="154"/>
    </row>
    <row r="114">
      <c r="J114" s="154"/>
      <c r="K114" s="154"/>
      <c r="L114" s="154"/>
      <c r="M114" s="154"/>
    </row>
    <row r="115">
      <c r="J115" s="154"/>
      <c r="K115" s="154"/>
      <c r="L115" s="154"/>
      <c r="M115" s="154"/>
    </row>
    <row r="116">
      <c r="J116" s="154"/>
      <c r="K116" s="154"/>
      <c r="L116" s="154"/>
      <c r="M116" s="154"/>
    </row>
    <row r="117">
      <c r="J117" s="154"/>
      <c r="K117" s="154"/>
      <c r="L117" s="154"/>
      <c r="M117" s="154"/>
    </row>
    <row r="118">
      <c r="J118" s="154"/>
      <c r="K118" s="154"/>
      <c r="L118" s="154"/>
      <c r="M118" s="154"/>
    </row>
    <row r="119">
      <c r="J119" s="154"/>
      <c r="K119" s="154"/>
      <c r="L119" s="154"/>
      <c r="M119" s="154"/>
    </row>
    <row r="120">
      <c r="J120" s="154"/>
      <c r="K120" s="154"/>
      <c r="L120" s="154"/>
      <c r="M120" s="154"/>
    </row>
    <row r="121">
      <c r="J121" s="154"/>
      <c r="K121" s="154"/>
      <c r="L121" s="154"/>
      <c r="M121" s="154"/>
    </row>
    <row r="122">
      <c r="J122" s="154"/>
      <c r="K122" s="154"/>
      <c r="L122" s="154"/>
      <c r="M122" s="154"/>
    </row>
    <row r="123">
      <c r="J123" s="154"/>
      <c r="K123" s="154"/>
      <c r="L123" s="154"/>
      <c r="M123" s="154"/>
    </row>
    <row r="124">
      <c r="J124" s="154"/>
      <c r="K124" s="154"/>
      <c r="L124" s="154"/>
      <c r="M124" s="154"/>
    </row>
    <row r="125">
      <c r="J125" s="154"/>
      <c r="K125" s="154"/>
      <c r="L125" s="154"/>
      <c r="M125" s="154"/>
    </row>
    <row r="126">
      <c r="J126" s="154"/>
      <c r="K126" s="154"/>
      <c r="L126" s="154"/>
      <c r="M126" s="154"/>
    </row>
    <row r="127">
      <c r="J127" s="154"/>
      <c r="K127" s="154"/>
      <c r="L127" s="154"/>
      <c r="M127" s="154"/>
    </row>
    <row r="128">
      <c r="J128" s="154"/>
      <c r="K128" s="154"/>
      <c r="L128" s="154"/>
      <c r="M128" s="154"/>
    </row>
    <row r="129">
      <c r="J129" s="154"/>
      <c r="K129" s="154"/>
      <c r="L129" s="154"/>
      <c r="M129" s="154"/>
    </row>
    <row r="130">
      <c r="J130" s="154"/>
      <c r="K130" s="154"/>
      <c r="L130" s="154"/>
      <c r="M130" s="154"/>
    </row>
    <row r="131">
      <c r="J131" s="154"/>
      <c r="K131" s="154"/>
      <c r="L131" s="154"/>
      <c r="M131" s="154"/>
    </row>
    <row r="132">
      <c r="J132" s="154"/>
      <c r="K132" s="154"/>
      <c r="L132" s="154"/>
      <c r="M132" s="154"/>
    </row>
    <row r="133">
      <c r="J133" s="154"/>
      <c r="K133" s="154"/>
      <c r="L133" s="154"/>
      <c r="M133" s="154"/>
    </row>
    <row r="134">
      <c r="J134" s="154"/>
      <c r="K134" s="154"/>
      <c r="L134" s="154"/>
      <c r="M134" s="154"/>
    </row>
    <row r="135">
      <c r="J135" s="154"/>
      <c r="K135" s="154"/>
      <c r="L135" s="154"/>
      <c r="M135" s="154"/>
    </row>
    <row r="136">
      <c r="J136" s="154"/>
      <c r="K136" s="154"/>
      <c r="L136" s="154"/>
      <c r="M136" s="154"/>
    </row>
    <row r="137">
      <c r="J137" s="154"/>
      <c r="K137" s="154"/>
      <c r="L137" s="154"/>
      <c r="M137" s="154"/>
    </row>
    <row r="138">
      <c r="J138" s="154"/>
      <c r="K138" s="154"/>
      <c r="L138" s="154"/>
      <c r="M138" s="154"/>
    </row>
    <row r="139">
      <c r="J139" s="154"/>
      <c r="K139" s="154"/>
      <c r="L139" s="154"/>
      <c r="M139" s="154"/>
    </row>
    <row r="140">
      <c r="J140" s="154"/>
      <c r="K140" s="154"/>
      <c r="L140" s="154"/>
      <c r="M140" s="154"/>
    </row>
    <row r="141">
      <c r="J141" s="154"/>
      <c r="K141" s="154"/>
      <c r="L141" s="154"/>
      <c r="M141" s="154"/>
    </row>
    <row r="142">
      <c r="J142" s="154"/>
      <c r="K142" s="154"/>
      <c r="L142" s="154"/>
      <c r="M142" s="154"/>
    </row>
    <row r="143">
      <c r="J143" s="154"/>
      <c r="K143" s="154"/>
      <c r="L143" s="154"/>
      <c r="M143" s="154"/>
    </row>
    <row r="144">
      <c r="J144" s="154"/>
      <c r="K144" s="154"/>
      <c r="L144" s="154"/>
      <c r="M144" s="154"/>
    </row>
    <row r="145">
      <c r="J145" s="154"/>
      <c r="K145" s="154"/>
      <c r="L145" s="154"/>
      <c r="M145" s="154"/>
    </row>
    <row r="146">
      <c r="J146" s="154"/>
      <c r="K146" s="154"/>
      <c r="L146" s="154"/>
      <c r="M146" s="154"/>
    </row>
    <row r="147">
      <c r="J147" s="154"/>
      <c r="K147" s="154"/>
      <c r="L147" s="154"/>
      <c r="M147" s="154"/>
    </row>
    <row r="148">
      <c r="J148" s="154"/>
      <c r="K148" s="154"/>
      <c r="L148" s="154"/>
      <c r="M148" s="154"/>
    </row>
    <row r="149">
      <c r="J149" s="154"/>
      <c r="K149" s="154"/>
      <c r="L149" s="154"/>
      <c r="M149" s="154"/>
    </row>
    <row r="150">
      <c r="J150" s="154"/>
      <c r="K150" s="154"/>
      <c r="L150" s="154"/>
      <c r="M150" s="154"/>
    </row>
    <row r="151">
      <c r="J151" s="154"/>
      <c r="K151" s="154"/>
      <c r="L151" s="154"/>
      <c r="M151" s="154"/>
    </row>
    <row r="152">
      <c r="J152" s="154"/>
      <c r="K152" s="154"/>
      <c r="L152" s="154"/>
      <c r="M152" s="154"/>
    </row>
    <row r="153">
      <c r="J153" s="154"/>
      <c r="K153" s="154"/>
      <c r="L153" s="154"/>
      <c r="M153" s="154"/>
    </row>
    <row r="154">
      <c r="J154" s="154"/>
      <c r="K154" s="154"/>
      <c r="L154" s="154"/>
      <c r="M154" s="154"/>
    </row>
    <row r="155">
      <c r="J155" s="154"/>
      <c r="K155" s="154"/>
      <c r="L155" s="154"/>
      <c r="M155" s="154"/>
    </row>
    <row r="156">
      <c r="J156" s="154"/>
      <c r="K156" s="154"/>
      <c r="L156" s="154"/>
      <c r="M156" s="154"/>
    </row>
    <row r="157">
      <c r="J157" s="154"/>
      <c r="K157" s="154"/>
      <c r="L157" s="154"/>
      <c r="M157" s="154"/>
    </row>
    <row r="158">
      <c r="J158" s="154"/>
      <c r="K158" s="154"/>
      <c r="L158" s="154"/>
      <c r="M158" s="154"/>
    </row>
    <row r="159">
      <c r="J159" s="154"/>
      <c r="K159" s="154"/>
      <c r="L159" s="154"/>
      <c r="M159" s="154"/>
    </row>
    <row r="160">
      <c r="J160" s="154"/>
      <c r="K160" s="154"/>
      <c r="L160" s="154"/>
      <c r="M160" s="154"/>
    </row>
    <row r="161">
      <c r="J161" s="154"/>
      <c r="K161" s="154"/>
      <c r="L161" s="154"/>
      <c r="M161" s="154"/>
    </row>
    <row r="162">
      <c r="J162" s="154"/>
      <c r="K162" s="154"/>
      <c r="L162" s="154"/>
      <c r="M162" s="154"/>
    </row>
    <row r="163">
      <c r="J163" s="154"/>
      <c r="K163" s="154"/>
      <c r="L163" s="154"/>
      <c r="M163" s="154"/>
    </row>
    <row r="164">
      <c r="J164" s="154"/>
      <c r="K164" s="154"/>
      <c r="L164" s="154"/>
      <c r="M164" s="154"/>
    </row>
    <row r="165">
      <c r="J165" s="154"/>
      <c r="K165" s="154"/>
      <c r="L165" s="154"/>
      <c r="M165" s="154"/>
    </row>
    <row r="166">
      <c r="J166" s="154"/>
      <c r="K166" s="154"/>
      <c r="L166" s="154"/>
      <c r="M166" s="154"/>
    </row>
    <row r="167">
      <c r="J167" s="154"/>
      <c r="K167" s="154"/>
      <c r="L167" s="154"/>
      <c r="M167" s="154"/>
    </row>
    <row r="168">
      <c r="J168" s="154"/>
      <c r="K168" s="154"/>
      <c r="L168" s="154"/>
      <c r="M168" s="154"/>
    </row>
    <row r="169">
      <c r="J169" s="154"/>
      <c r="K169" s="154"/>
      <c r="L169" s="154"/>
      <c r="M169" s="154"/>
    </row>
    <row r="170">
      <c r="J170" s="154"/>
      <c r="K170" s="154"/>
      <c r="L170" s="154"/>
      <c r="M170" s="154"/>
    </row>
    <row r="171">
      <c r="J171" s="154"/>
      <c r="K171" s="154"/>
      <c r="L171" s="154"/>
      <c r="M171" s="154"/>
    </row>
    <row r="172">
      <c r="J172" s="154"/>
      <c r="K172" s="154"/>
      <c r="L172" s="154"/>
      <c r="M172" s="154"/>
    </row>
    <row r="173">
      <c r="J173" s="154"/>
      <c r="K173" s="154"/>
      <c r="L173" s="154"/>
      <c r="M173" s="154"/>
    </row>
    <row r="174">
      <c r="J174" s="154"/>
      <c r="K174" s="154"/>
      <c r="L174" s="154"/>
      <c r="M174" s="154"/>
    </row>
    <row r="175">
      <c r="J175" s="154"/>
      <c r="K175" s="154"/>
      <c r="L175" s="154"/>
      <c r="M175" s="154"/>
    </row>
    <row r="176">
      <c r="J176" s="154"/>
      <c r="K176" s="154"/>
      <c r="L176" s="154"/>
      <c r="M176" s="154"/>
    </row>
    <row r="177">
      <c r="J177" s="154"/>
      <c r="K177" s="154"/>
      <c r="L177" s="154"/>
      <c r="M177" s="154"/>
    </row>
    <row r="178">
      <c r="J178" s="154"/>
      <c r="K178" s="154"/>
      <c r="L178" s="154"/>
      <c r="M178" s="154"/>
    </row>
    <row r="179">
      <c r="J179" s="154"/>
      <c r="K179" s="154"/>
      <c r="L179" s="154"/>
      <c r="M179" s="154"/>
    </row>
    <row r="180">
      <c r="J180" s="154"/>
      <c r="K180" s="154"/>
      <c r="L180" s="154"/>
      <c r="M180" s="154"/>
    </row>
    <row r="181">
      <c r="J181" s="154"/>
      <c r="K181" s="154"/>
      <c r="L181" s="154"/>
      <c r="M181" s="154"/>
    </row>
    <row r="182">
      <c r="J182" s="154"/>
      <c r="K182" s="154"/>
      <c r="L182" s="154"/>
      <c r="M182" s="154"/>
    </row>
    <row r="183">
      <c r="J183" s="154"/>
      <c r="K183" s="154"/>
      <c r="L183" s="154"/>
      <c r="M183" s="154"/>
    </row>
    <row r="184">
      <c r="J184" s="154"/>
      <c r="K184" s="154"/>
      <c r="L184" s="154"/>
      <c r="M184" s="154"/>
    </row>
    <row r="185">
      <c r="J185" s="154"/>
      <c r="K185" s="154"/>
      <c r="L185" s="154"/>
      <c r="M185" s="154"/>
    </row>
    <row r="186">
      <c r="J186" s="154"/>
      <c r="K186" s="154"/>
      <c r="L186" s="154"/>
      <c r="M186" s="154"/>
    </row>
    <row r="187">
      <c r="J187" s="154"/>
      <c r="K187" s="154"/>
      <c r="L187" s="154"/>
      <c r="M187" s="154"/>
    </row>
    <row r="188">
      <c r="J188" s="154"/>
      <c r="K188" s="154"/>
      <c r="L188" s="154"/>
      <c r="M188" s="154"/>
    </row>
    <row r="189">
      <c r="J189" s="154"/>
      <c r="K189" s="154"/>
      <c r="L189" s="154"/>
      <c r="M189" s="154"/>
    </row>
    <row r="190">
      <c r="J190" s="154"/>
      <c r="K190" s="154"/>
      <c r="L190" s="154"/>
      <c r="M190" s="154"/>
    </row>
    <row r="191">
      <c r="J191" s="154"/>
      <c r="K191" s="154"/>
      <c r="L191" s="154"/>
      <c r="M191" s="154"/>
    </row>
    <row r="192">
      <c r="J192" s="154"/>
      <c r="K192" s="154"/>
      <c r="L192" s="154"/>
      <c r="M192" s="154"/>
    </row>
    <row r="193">
      <c r="J193" s="154"/>
      <c r="K193" s="154"/>
      <c r="L193" s="154"/>
      <c r="M193" s="154"/>
    </row>
    <row r="194">
      <c r="J194" s="154"/>
      <c r="K194" s="154"/>
      <c r="L194" s="154"/>
      <c r="M194" s="154"/>
    </row>
    <row r="195">
      <c r="J195" s="154"/>
      <c r="K195" s="154"/>
      <c r="L195" s="154"/>
      <c r="M195" s="154"/>
    </row>
    <row r="196">
      <c r="J196" s="154"/>
      <c r="K196" s="154"/>
      <c r="L196" s="154"/>
      <c r="M196" s="154"/>
    </row>
    <row r="197">
      <c r="J197" s="154"/>
      <c r="K197" s="154"/>
      <c r="L197" s="154"/>
      <c r="M197" s="154"/>
    </row>
    <row r="198">
      <c r="J198" s="154"/>
      <c r="K198" s="154"/>
      <c r="L198" s="154"/>
      <c r="M198" s="154"/>
    </row>
    <row r="199">
      <c r="J199" s="154"/>
      <c r="K199" s="154"/>
      <c r="L199" s="154"/>
      <c r="M199" s="154"/>
    </row>
    <row r="200">
      <c r="J200" s="154"/>
      <c r="K200" s="154"/>
      <c r="L200" s="154"/>
      <c r="M200" s="154"/>
    </row>
    <row r="201">
      <c r="J201" s="154"/>
      <c r="K201" s="154"/>
      <c r="L201" s="154"/>
      <c r="M201" s="154"/>
    </row>
    <row r="202">
      <c r="J202" s="154"/>
      <c r="K202" s="154"/>
      <c r="L202" s="154"/>
      <c r="M202" s="154"/>
    </row>
    <row r="203">
      <c r="J203" s="154"/>
      <c r="K203" s="154"/>
      <c r="L203" s="154"/>
      <c r="M203" s="154"/>
    </row>
    <row r="204">
      <c r="J204" s="154"/>
      <c r="K204" s="154"/>
      <c r="L204" s="154"/>
      <c r="M204" s="154"/>
    </row>
    <row r="205">
      <c r="J205" s="154"/>
      <c r="K205" s="154"/>
      <c r="L205" s="154"/>
      <c r="M205" s="154"/>
    </row>
    <row r="206">
      <c r="J206" s="154"/>
      <c r="K206" s="154"/>
      <c r="L206" s="154"/>
      <c r="M206" s="154"/>
    </row>
    <row r="207">
      <c r="J207" s="154"/>
      <c r="K207" s="154"/>
      <c r="L207" s="154"/>
      <c r="M207" s="154"/>
    </row>
    <row r="208">
      <c r="J208" s="154"/>
      <c r="K208" s="154"/>
      <c r="L208" s="154"/>
      <c r="M208" s="154"/>
    </row>
    <row r="209">
      <c r="J209" s="154"/>
      <c r="K209" s="154"/>
      <c r="L209" s="154"/>
      <c r="M209" s="154"/>
    </row>
    <row r="210">
      <c r="J210" s="154"/>
      <c r="K210" s="154"/>
      <c r="L210" s="154"/>
      <c r="M210" s="154"/>
    </row>
    <row r="211">
      <c r="J211" s="154"/>
      <c r="K211" s="154"/>
      <c r="L211" s="154"/>
      <c r="M211" s="154"/>
    </row>
    <row r="212">
      <c r="J212" s="154"/>
      <c r="K212" s="154"/>
      <c r="L212" s="154"/>
      <c r="M212" s="154"/>
    </row>
    <row r="213">
      <c r="J213" s="154"/>
      <c r="K213" s="154"/>
      <c r="L213" s="154"/>
      <c r="M213" s="154"/>
    </row>
    <row r="214">
      <c r="J214" s="154"/>
      <c r="K214" s="154"/>
      <c r="L214" s="154"/>
      <c r="M214" s="154"/>
    </row>
    <row r="215">
      <c r="J215" s="154"/>
      <c r="K215" s="154"/>
      <c r="L215" s="154"/>
      <c r="M215" s="154"/>
    </row>
    <row r="216">
      <c r="J216" s="154"/>
      <c r="K216" s="154"/>
      <c r="L216" s="154"/>
      <c r="M216" s="154"/>
    </row>
    <row r="217">
      <c r="J217" s="154"/>
      <c r="K217" s="154"/>
      <c r="L217" s="154"/>
      <c r="M217" s="154"/>
    </row>
    <row r="218">
      <c r="J218" s="154"/>
      <c r="K218" s="154"/>
      <c r="L218" s="154"/>
      <c r="M218" s="154"/>
    </row>
    <row r="219">
      <c r="J219" s="154"/>
      <c r="K219" s="154"/>
      <c r="L219" s="154"/>
      <c r="M219" s="154"/>
    </row>
    <row r="220">
      <c r="J220" s="154"/>
      <c r="K220" s="154"/>
      <c r="L220" s="154"/>
      <c r="M220" s="154"/>
    </row>
    <row r="221">
      <c r="J221" s="154"/>
      <c r="K221" s="154"/>
      <c r="L221" s="154"/>
      <c r="M221" s="154"/>
    </row>
    <row r="222">
      <c r="J222" s="154"/>
      <c r="K222" s="154"/>
      <c r="L222" s="154"/>
      <c r="M222" s="154"/>
    </row>
    <row r="223">
      <c r="J223" s="154"/>
      <c r="K223" s="154"/>
      <c r="L223" s="154"/>
      <c r="M223" s="154"/>
    </row>
    <row r="224">
      <c r="J224" s="154"/>
      <c r="K224" s="154"/>
      <c r="L224" s="154"/>
      <c r="M224" s="154"/>
    </row>
    <row r="225">
      <c r="J225" s="154"/>
      <c r="K225" s="154"/>
      <c r="L225" s="154"/>
      <c r="M225" s="154"/>
    </row>
    <row r="226">
      <c r="J226" s="154"/>
      <c r="K226" s="154"/>
      <c r="L226" s="154"/>
      <c r="M226" s="154"/>
    </row>
    <row r="227">
      <c r="J227" s="154"/>
      <c r="K227" s="154"/>
      <c r="L227" s="154"/>
      <c r="M227" s="154"/>
    </row>
    <row r="228">
      <c r="J228" s="154"/>
      <c r="K228" s="154"/>
      <c r="L228" s="154"/>
      <c r="M228" s="154"/>
    </row>
    <row r="229">
      <c r="J229" s="154"/>
      <c r="K229" s="154"/>
      <c r="L229" s="154"/>
      <c r="M229" s="154"/>
    </row>
    <row r="230">
      <c r="J230" s="154"/>
      <c r="K230" s="154"/>
      <c r="L230" s="154"/>
      <c r="M230" s="154"/>
    </row>
    <row r="231">
      <c r="J231" s="154"/>
      <c r="K231" s="154"/>
      <c r="L231" s="154"/>
      <c r="M231" s="154"/>
    </row>
    <row r="232">
      <c r="J232" s="154"/>
      <c r="K232" s="154"/>
      <c r="L232" s="154"/>
      <c r="M232" s="154"/>
    </row>
    <row r="233">
      <c r="J233" s="154"/>
      <c r="K233" s="154"/>
      <c r="L233" s="154"/>
      <c r="M233" s="154"/>
    </row>
    <row r="234">
      <c r="J234" s="154"/>
      <c r="K234" s="154"/>
      <c r="L234" s="154"/>
      <c r="M234" s="154"/>
    </row>
    <row r="235">
      <c r="J235" s="154"/>
      <c r="K235" s="154"/>
      <c r="L235" s="154"/>
      <c r="M235" s="154"/>
    </row>
    <row r="236">
      <c r="J236" s="154"/>
      <c r="K236" s="154"/>
      <c r="L236" s="154"/>
      <c r="M236" s="154"/>
    </row>
    <row r="237">
      <c r="J237" s="154"/>
      <c r="K237" s="154"/>
      <c r="L237" s="154"/>
      <c r="M237" s="154"/>
    </row>
    <row r="238">
      <c r="J238" s="154"/>
      <c r="K238" s="154"/>
      <c r="L238" s="154"/>
      <c r="M238" s="154"/>
    </row>
    <row r="239">
      <c r="J239" s="154"/>
      <c r="K239" s="154"/>
      <c r="L239" s="154"/>
      <c r="M239" s="154"/>
    </row>
    <row r="240">
      <c r="J240" s="154"/>
      <c r="K240" s="154"/>
      <c r="L240" s="154"/>
      <c r="M240" s="154"/>
    </row>
    <row r="241">
      <c r="J241" s="154"/>
      <c r="K241" s="154"/>
      <c r="L241" s="154"/>
      <c r="M241" s="154"/>
    </row>
    <row r="242">
      <c r="J242" s="154"/>
      <c r="K242" s="154"/>
      <c r="L242" s="154"/>
      <c r="M242" s="154"/>
    </row>
    <row r="243">
      <c r="J243" s="154"/>
      <c r="K243" s="154"/>
      <c r="L243" s="154"/>
      <c r="M243" s="154"/>
    </row>
    <row r="244">
      <c r="J244" s="154"/>
      <c r="K244" s="154"/>
      <c r="L244" s="154"/>
      <c r="M244" s="154"/>
    </row>
    <row r="245">
      <c r="J245" s="154"/>
      <c r="K245" s="154"/>
      <c r="L245" s="154"/>
      <c r="M245" s="154"/>
    </row>
    <row r="246">
      <c r="J246" s="154"/>
      <c r="K246" s="154"/>
      <c r="L246" s="154"/>
      <c r="M246" s="154"/>
    </row>
    <row r="247">
      <c r="J247" s="154"/>
      <c r="K247" s="154"/>
      <c r="L247" s="154"/>
      <c r="M247" s="154"/>
    </row>
    <row r="248">
      <c r="J248" s="154"/>
      <c r="K248" s="154"/>
      <c r="L248" s="154"/>
      <c r="M248" s="154"/>
    </row>
    <row r="249">
      <c r="J249" s="154"/>
      <c r="K249" s="154"/>
      <c r="L249" s="154"/>
      <c r="M249" s="154"/>
    </row>
    <row r="250">
      <c r="J250" s="154"/>
      <c r="K250" s="154"/>
      <c r="L250" s="154"/>
      <c r="M250" s="154"/>
    </row>
    <row r="251">
      <c r="J251" s="154"/>
      <c r="K251" s="154"/>
      <c r="L251" s="154"/>
      <c r="M251" s="154"/>
    </row>
    <row r="252">
      <c r="J252" s="154"/>
      <c r="K252" s="154"/>
      <c r="L252" s="154"/>
      <c r="M252" s="154"/>
    </row>
    <row r="253">
      <c r="J253" s="154"/>
      <c r="K253" s="154"/>
      <c r="L253" s="154"/>
      <c r="M253" s="154"/>
    </row>
    <row r="254">
      <c r="J254" s="154"/>
      <c r="K254" s="154"/>
      <c r="L254" s="154"/>
      <c r="M254" s="154"/>
    </row>
    <row r="255">
      <c r="J255" s="154"/>
      <c r="K255" s="154"/>
      <c r="L255" s="154"/>
      <c r="M255" s="154"/>
    </row>
    <row r="256">
      <c r="J256" s="154"/>
      <c r="K256" s="154"/>
      <c r="L256" s="154"/>
      <c r="M256" s="154"/>
    </row>
    <row r="257">
      <c r="J257" s="154"/>
      <c r="K257" s="154"/>
      <c r="L257" s="154"/>
      <c r="M257" s="154"/>
    </row>
    <row r="258">
      <c r="J258" s="154"/>
      <c r="K258" s="154"/>
      <c r="L258" s="154"/>
      <c r="M258" s="154"/>
    </row>
    <row r="259">
      <c r="J259" s="154"/>
      <c r="K259" s="154"/>
      <c r="L259" s="154"/>
      <c r="M259" s="154"/>
    </row>
    <row r="260">
      <c r="J260" s="154"/>
      <c r="K260" s="154"/>
      <c r="L260" s="154"/>
      <c r="M260" s="154"/>
    </row>
    <row r="261">
      <c r="J261" s="154"/>
      <c r="K261" s="154"/>
      <c r="L261" s="154"/>
      <c r="M261" s="154"/>
    </row>
    <row r="262">
      <c r="J262" s="154"/>
      <c r="K262" s="154"/>
      <c r="L262" s="154"/>
      <c r="M262" s="154"/>
    </row>
    <row r="263">
      <c r="J263" s="154"/>
      <c r="K263" s="154"/>
      <c r="L263" s="154"/>
      <c r="M263" s="154"/>
    </row>
    <row r="264">
      <c r="J264" s="154"/>
      <c r="K264" s="154"/>
      <c r="L264" s="154"/>
      <c r="M264" s="154"/>
    </row>
    <row r="265">
      <c r="J265" s="154"/>
      <c r="K265" s="154"/>
      <c r="L265" s="154"/>
      <c r="M265" s="154"/>
    </row>
    <row r="266">
      <c r="J266" s="154"/>
      <c r="K266" s="154"/>
      <c r="L266" s="154"/>
      <c r="M266" s="154"/>
    </row>
    <row r="267">
      <c r="J267" s="154"/>
      <c r="K267" s="154"/>
      <c r="L267" s="154"/>
      <c r="M267" s="154"/>
    </row>
    <row r="268">
      <c r="J268" s="154"/>
      <c r="K268" s="154"/>
      <c r="L268" s="154"/>
      <c r="M268" s="154"/>
    </row>
    <row r="269">
      <c r="J269" s="154"/>
      <c r="K269" s="154"/>
      <c r="L269" s="154"/>
      <c r="M269" s="154"/>
    </row>
    <row r="270">
      <c r="J270" s="154"/>
      <c r="K270" s="154"/>
      <c r="L270" s="154"/>
      <c r="M270" s="154"/>
    </row>
    <row r="271">
      <c r="J271" s="154"/>
      <c r="K271" s="154"/>
      <c r="L271" s="154"/>
      <c r="M271" s="154"/>
    </row>
    <row r="272">
      <c r="J272" s="154"/>
      <c r="K272" s="154"/>
      <c r="L272" s="154"/>
      <c r="M272" s="154"/>
    </row>
    <row r="273">
      <c r="J273" s="154"/>
      <c r="K273" s="154"/>
      <c r="L273" s="154"/>
      <c r="M273" s="154"/>
    </row>
    <row r="274">
      <c r="J274" s="154"/>
      <c r="K274" s="154"/>
      <c r="L274" s="154"/>
      <c r="M274" s="154"/>
    </row>
    <row r="275">
      <c r="J275" s="154"/>
      <c r="K275" s="154"/>
      <c r="L275" s="154"/>
      <c r="M275" s="154"/>
    </row>
    <row r="276">
      <c r="J276" s="154"/>
      <c r="K276" s="154"/>
      <c r="L276" s="154"/>
      <c r="M276" s="154"/>
    </row>
    <row r="277">
      <c r="J277" s="154"/>
      <c r="K277" s="154"/>
      <c r="L277" s="154"/>
      <c r="M277" s="154"/>
    </row>
    <row r="278">
      <c r="J278" s="154"/>
      <c r="K278" s="154"/>
      <c r="L278" s="154"/>
      <c r="M278" s="154"/>
    </row>
    <row r="279">
      <c r="J279" s="154"/>
      <c r="K279" s="154"/>
      <c r="L279" s="154"/>
      <c r="M279" s="154"/>
    </row>
    <row r="280">
      <c r="J280" s="154"/>
      <c r="K280" s="154"/>
      <c r="L280" s="154"/>
      <c r="M280" s="154"/>
    </row>
    <row r="281">
      <c r="J281" s="154"/>
      <c r="K281" s="154"/>
      <c r="L281" s="154"/>
      <c r="M281" s="154"/>
    </row>
    <row r="282">
      <c r="J282" s="154"/>
      <c r="K282" s="154"/>
      <c r="L282" s="154"/>
      <c r="M282" s="154"/>
    </row>
    <row r="283">
      <c r="J283" s="154"/>
      <c r="K283" s="154"/>
      <c r="L283" s="154"/>
      <c r="M283" s="154"/>
    </row>
    <row r="284">
      <c r="J284" s="154"/>
      <c r="K284" s="154"/>
      <c r="L284" s="154"/>
      <c r="M284" s="154"/>
    </row>
    <row r="285">
      <c r="J285" s="154"/>
      <c r="K285" s="154"/>
      <c r="L285" s="154"/>
      <c r="M285" s="154"/>
    </row>
    <row r="286">
      <c r="J286" s="154"/>
      <c r="K286" s="154"/>
      <c r="L286" s="154"/>
      <c r="M286" s="154"/>
    </row>
    <row r="287">
      <c r="J287" s="154"/>
      <c r="K287" s="154"/>
      <c r="L287" s="154"/>
      <c r="M287" s="154"/>
    </row>
    <row r="288">
      <c r="J288" s="154"/>
      <c r="K288" s="154"/>
      <c r="L288" s="154"/>
      <c r="M288" s="154"/>
    </row>
    <row r="289">
      <c r="J289" s="154"/>
      <c r="K289" s="154"/>
      <c r="L289" s="154"/>
      <c r="M289" s="154"/>
    </row>
    <row r="290">
      <c r="J290" s="154"/>
      <c r="K290" s="154"/>
      <c r="L290" s="154"/>
      <c r="M290" s="154"/>
    </row>
    <row r="291">
      <c r="J291" s="154"/>
      <c r="K291" s="154"/>
      <c r="L291" s="154"/>
      <c r="M291" s="154"/>
    </row>
    <row r="292">
      <c r="J292" s="154"/>
      <c r="K292" s="154"/>
      <c r="L292" s="154"/>
      <c r="M292" s="154"/>
    </row>
    <row r="293">
      <c r="J293" s="154"/>
      <c r="K293" s="154"/>
      <c r="L293" s="154"/>
      <c r="M293" s="154"/>
    </row>
    <row r="294">
      <c r="J294" s="154"/>
      <c r="K294" s="154"/>
      <c r="L294" s="154"/>
      <c r="M294" s="154"/>
    </row>
    <row r="295">
      <c r="J295" s="154"/>
      <c r="K295" s="154"/>
      <c r="L295" s="154"/>
      <c r="M295" s="154"/>
    </row>
    <row r="296">
      <c r="J296" s="154"/>
      <c r="K296" s="154"/>
      <c r="L296" s="154"/>
      <c r="M296" s="154"/>
    </row>
    <row r="297">
      <c r="J297" s="154"/>
      <c r="K297" s="154"/>
      <c r="L297" s="154"/>
      <c r="M297" s="154"/>
    </row>
    <row r="298">
      <c r="J298" s="154"/>
      <c r="K298" s="154"/>
      <c r="L298" s="154"/>
      <c r="M298" s="154"/>
    </row>
    <row r="299">
      <c r="J299" s="154"/>
      <c r="K299" s="154"/>
      <c r="L299" s="154"/>
      <c r="M299" s="154"/>
    </row>
    <row r="300">
      <c r="J300" s="154"/>
      <c r="K300" s="154"/>
      <c r="L300" s="154"/>
      <c r="M300" s="154"/>
    </row>
    <row r="301">
      <c r="J301" s="154"/>
      <c r="K301" s="154"/>
      <c r="L301" s="154"/>
      <c r="M301" s="154"/>
    </row>
    <row r="302">
      <c r="J302" s="154"/>
      <c r="K302" s="154"/>
      <c r="L302" s="154"/>
      <c r="M302" s="154"/>
    </row>
    <row r="303">
      <c r="J303" s="154"/>
      <c r="K303" s="154"/>
      <c r="L303" s="154"/>
      <c r="M303" s="154"/>
    </row>
    <row r="304">
      <c r="J304" s="154"/>
      <c r="K304" s="154"/>
      <c r="L304" s="154"/>
      <c r="M304" s="154"/>
    </row>
    <row r="305">
      <c r="J305" s="154"/>
      <c r="K305" s="154"/>
      <c r="L305" s="154"/>
      <c r="M305" s="154"/>
    </row>
    <row r="306">
      <c r="J306" s="154"/>
      <c r="K306" s="154"/>
      <c r="L306" s="154"/>
      <c r="M306" s="154"/>
    </row>
    <row r="307">
      <c r="J307" s="154"/>
      <c r="K307" s="154"/>
      <c r="L307" s="154"/>
      <c r="M307" s="154"/>
    </row>
    <row r="308">
      <c r="J308" s="154"/>
      <c r="K308" s="154"/>
      <c r="L308" s="154"/>
      <c r="M308" s="154"/>
    </row>
    <row r="309">
      <c r="J309" s="154"/>
      <c r="K309" s="154"/>
      <c r="L309" s="154"/>
      <c r="M309" s="154"/>
    </row>
    <row r="310">
      <c r="J310" s="154"/>
      <c r="K310" s="154"/>
      <c r="L310" s="154"/>
      <c r="M310" s="154"/>
    </row>
    <row r="311">
      <c r="J311" s="154"/>
      <c r="K311" s="154"/>
      <c r="L311" s="154"/>
      <c r="M311" s="154"/>
    </row>
    <row r="312">
      <c r="J312" s="154"/>
      <c r="K312" s="154"/>
      <c r="L312" s="154"/>
      <c r="M312" s="154"/>
    </row>
    <row r="313">
      <c r="J313" s="154"/>
      <c r="K313" s="154"/>
      <c r="L313" s="154"/>
      <c r="M313" s="154"/>
    </row>
    <row r="314">
      <c r="J314" s="154"/>
      <c r="K314" s="154"/>
      <c r="L314" s="154"/>
      <c r="M314" s="154"/>
    </row>
    <row r="315">
      <c r="J315" s="154"/>
      <c r="K315" s="154"/>
      <c r="L315" s="154"/>
      <c r="M315" s="154"/>
    </row>
    <row r="316">
      <c r="J316" s="154"/>
      <c r="K316" s="154"/>
      <c r="L316" s="154"/>
      <c r="M316" s="154"/>
    </row>
    <row r="317">
      <c r="J317" s="154"/>
      <c r="K317" s="154"/>
      <c r="L317" s="154"/>
      <c r="M317" s="154"/>
    </row>
    <row r="318">
      <c r="J318" s="154"/>
      <c r="K318" s="154"/>
      <c r="L318" s="154"/>
      <c r="M318" s="154"/>
    </row>
    <row r="319">
      <c r="J319" s="154"/>
      <c r="K319" s="154"/>
      <c r="L319" s="154"/>
      <c r="M319" s="154"/>
    </row>
    <row r="320">
      <c r="J320" s="154"/>
      <c r="K320" s="154"/>
      <c r="L320" s="154"/>
      <c r="M320" s="154"/>
    </row>
    <row r="321">
      <c r="J321" s="154"/>
      <c r="K321" s="154"/>
      <c r="L321" s="154"/>
      <c r="M321" s="154"/>
    </row>
    <row r="322">
      <c r="J322" s="154"/>
      <c r="K322" s="154"/>
      <c r="L322" s="154"/>
      <c r="M322" s="154"/>
    </row>
    <row r="323">
      <c r="J323" s="154"/>
      <c r="K323" s="154"/>
      <c r="L323" s="154"/>
      <c r="M323" s="154"/>
    </row>
    <row r="324">
      <c r="J324" s="154"/>
      <c r="K324" s="154"/>
      <c r="L324" s="154"/>
      <c r="M324" s="154"/>
    </row>
    <row r="325">
      <c r="J325" s="154"/>
      <c r="K325" s="154"/>
      <c r="L325" s="154"/>
      <c r="M325" s="154"/>
    </row>
    <row r="326">
      <c r="J326" s="154"/>
      <c r="K326" s="154"/>
      <c r="L326" s="154"/>
      <c r="M326" s="154"/>
    </row>
    <row r="327">
      <c r="J327" s="154"/>
      <c r="K327" s="154"/>
      <c r="L327" s="154"/>
      <c r="M327" s="154"/>
    </row>
    <row r="328">
      <c r="J328" s="154"/>
      <c r="K328" s="154"/>
      <c r="L328" s="154"/>
      <c r="M328" s="154"/>
    </row>
    <row r="329">
      <c r="J329" s="154"/>
      <c r="K329" s="154"/>
      <c r="L329" s="154"/>
      <c r="M329" s="154"/>
    </row>
    <row r="330">
      <c r="J330" s="154"/>
      <c r="K330" s="154"/>
      <c r="L330" s="154"/>
      <c r="M330" s="154"/>
    </row>
    <row r="331">
      <c r="J331" s="154"/>
      <c r="K331" s="154"/>
      <c r="L331" s="154"/>
      <c r="M331" s="154"/>
    </row>
    <row r="332">
      <c r="J332" s="154"/>
      <c r="K332" s="154"/>
      <c r="L332" s="154"/>
      <c r="M332" s="154"/>
    </row>
    <row r="333">
      <c r="J333" s="154"/>
      <c r="K333" s="154"/>
      <c r="L333" s="154"/>
      <c r="M333" s="154"/>
    </row>
    <row r="334">
      <c r="J334" s="154"/>
      <c r="K334" s="154"/>
      <c r="L334" s="154"/>
      <c r="M334" s="154"/>
    </row>
    <row r="335">
      <c r="J335" s="154"/>
      <c r="K335" s="154"/>
      <c r="L335" s="154"/>
      <c r="M335" s="154"/>
    </row>
    <row r="336">
      <c r="J336" s="154"/>
      <c r="K336" s="154"/>
      <c r="L336" s="154"/>
      <c r="M336" s="154"/>
    </row>
    <row r="337">
      <c r="J337" s="154"/>
      <c r="K337" s="154"/>
      <c r="L337" s="154"/>
      <c r="M337" s="154"/>
    </row>
    <row r="338">
      <c r="J338" s="154"/>
      <c r="K338" s="154"/>
      <c r="L338" s="154"/>
      <c r="M338" s="154"/>
    </row>
    <row r="339">
      <c r="J339" s="154"/>
      <c r="K339" s="154"/>
      <c r="L339" s="154"/>
      <c r="M339" s="154"/>
    </row>
    <row r="340">
      <c r="J340" s="154"/>
      <c r="K340" s="154"/>
      <c r="L340" s="154"/>
      <c r="M340" s="154"/>
    </row>
    <row r="341">
      <c r="J341" s="154"/>
      <c r="K341" s="154"/>
      <c r="L341" s="154"/>
      <c r="M341" s="154"/>
    </row>
    <row r="342">
      <c r="J342" s="154"/>
      <c r="K342" s="154"/>
      <c r="L342" s="154"/>
      <c r="M342" s="154"/>
    </row>
    <row r="343">
      <c r="J343" s="154"/>
      <c r="K343" s="154"/>
      <c r="L343" s="154"/>
      <c r="M343" s="154"/>
    </row>
    <row r="344">
      <c r="J344" s="154"/>
      <c r="K344" s="154"/>
      <c r="L344" s="154"/>
      <c r="M344" s="154"/>
    </row>
    <row r="345">
      <c r="J345" s="154"/>
      <c r="K345" s="154"/>
      <c r="L345" s="154"/>
      <c r="M345" s="154"/>
    </row>
    <row r="346">
      <c r="J346" s="154"/>
      <c r="K346" s="154"/>
      <c r="L346" s="154"/>
      <c r="M346" s="154"/>
    </row>
    <row r="347">
      <c r="J347" s="154"/>
      <c r="K347" s="154"/>
      <c r="L347" s="154"/>
      <c r="M347" s="154"/>
    </row>
    <row r="348">
      <c r="J348" s="154"/>
      <c r="K348" s="154"/>
      <c r="L348" s="154"/>
      <c r="M348" s="154"/>
    </row>
    <row r="349">
      <c r="J349" s="154"/>
      <c r="K349" s="154"/>
      <c r="L349" s="154"/>
      <c r="M349" s="154"/>
    </row>
    <row r="350">
      <c r="J350" s="154"/>
      <c r="K350" s="154"/>
      <c r="L350" s="154"/>
      <c r="M350" s="154"/>
    </row>
    <row r="351">
      <c r="J351" s="154"/>
      <c r="K351" s="154"/>
      <c r="L351" s="154"/>
      <c r="M351" s="154"/>
    </row>
    <row r="352">
      <c r="J352" s="154"/>
      <c r="K352" s="154"/>
      <c r="L352" s="154"/>
      <c r="M352" s="154"/>
    </row>
    <row r="353">
      <c r="J353" s="154"/>
      <c r="K353" s="154"/>
      <c r="L353" s="154"/>
      <c r="M353" s="154"/>
    </row>
    <row r="354">
      <c r="J354" s="154"/>
      <c r="K354" s="154"/>
      <c r="L354" s="154"/>
      <c r="M354" s="154"/>
    </row>
    <row r="355">
      <c r="J355" s="154"/>
      <c r="K355" s="154"/>
      <c r="L355" s="154"/>
      <c r="M355" s="154"/>
    </row>
    <row r="356">
      <c r="J356" s="154"/>
      <c r="K356" s="154"/>
      <c r="L356" s="154"/>
      <c r="M356" s="154"/>
    </row>
    <row r="357">
      <c r="J357" s="154"/>
      <c r="K357" s="154"/>
      <c r="L357" s="154"/>
      <c r="M357" s="154"/>
    </row>
    <row r="358">
      <c r="J358" s="154"/>
      <c r="K358" s="154"/>
      <c r="L358" s="154"/>
      <c r="M358" s="154"/>
    </row>
    <row r="359">
      <c r="J359" s="154"/>
      <c r="K359" s="154"/>
      <c r="L359" s="154"/>
      <c r="M359" s="154"/>
    </row>
    <row r="360">
      <c r="J360" s="154"/>
      <c r="K360" s="154"/>
      <c r="L360" s="154"/>
      <c r="M360" s="154"/>
    </row>
    <row r="361">
      <c r="J361" s="154"/>
      <c r="K361" s="154"/>
      <c r="L361" s="154"/>
      <c r="M361" s="154"/>
    </row>
    <row r="362">
      <c r="J362" s="154"/>
      <c r="K362" s="154"/>
      <c r="L362" s="154"/>
      <c r="M362" s="154"/>
    </row>
    <row r="363">
      <c r="J363" s="154"/>
      <c r="K363" s="154"/>
      <c r="L363" s="154"/>
      <c r="M363" s="154"/>
    </row>
    <row r="364">
      <c r="J364" s="154"/>
      <c r="K364" s="154"/>
      <c r="L364" s="154"/>
      <c r="M364" s="154"/>
    </row>
    <row r="365">
      <c r="J365" s="154"/>
      <c r="K365" s="154"/>
      <c r="L365" s="154"/>
      <c r="M365" s="154"/>
    </row>
    <row r="366">
      <c r="J366" s="154"/>
      <c r="K366" s="154"/>
      <c r="L366" s="154"/>
      <c r="M366" s="154"/>
    </row>
    <row r="367">
      <c r="J367" s="154"/>
      <c r="K367" s="154"/>
      <c r="L367" s="154"/>
      <c r="M367" s="154"/>
    </row>
    <row r="368">
      <c r="J368" s="154"/>
      <c r="K368" s="154"/>
      <c r="L368" s="154"/>
      <c r="M368" s="154"/>
    </row>
    <row r="369">
      <c r="J369" s="154"/>
      <c r="K369" s="154"/>
      <c r="L369" s="154"/>
      <c r="M369" s="154"/>
    </row>
    <row r="370">
      <c r="J370" s="154"/>
      <c r="K370" s="154"/>
      <c r="L370" s="154"/>
      <c r="M370" s="154"/>
    </row>
    <row r="371">
      <c r="J371" s="154"/>
      <c r="K371" s="154"/>
      <c r="L371" s="154"/>
      <c r="M371" s="154"/>
    </row>
    <row r="372">
      <c r="J372" s="154"/>
      <c r="K372" s="154"/>
      <c r="L372" s="154"/>
      <c r="M372" s="154"/>
    </row>
    <row r="373">
      <c r="J373" s="154"/>
      <c r="K373" s="154"/>
      <c r="L373" s="154"/>
      <c r="M373" s="154"/>
    </row>
    <row r="374">
      <c r="J374" s="154"/>
      <c r="K374" s="154"/>
      <c r="L374" s="154"/>
      <c r="M374" s="154"/>
    </row>
    <row r="375">
      <c r="J375" s="154"/>
      <c r="K375" s="154"/>
      <c r="L375" s="154"/>
      <c r="M375" s="154"/>
    </row>
    <row r="376">
      <c r="J376" s="154"/>
      <c r="K376" s="154"/>
      <c r="L376" s="154"/>
      <c r="M376" s="154"/>
    </row>
    <row r="377">
      <c r="J377" s="154"/>
      <c r="K377" s="154"/>
      <c r="L377" s="154"/>
      <c r="M377" s="154"/>
    </row>
    <row r="378">
      <c r="J378" s="154"/>
      <c r="K378" s="154"/>
      <c r="L378" s="154"/>
      <c r="M378" s="154"/>
    </row>
    <row r="379">
      <c r="J379" s="154"/>
      <c r="K379" s="154"/>
      <c r="L379" s="154"/>
      <c r="M379" s="154"/>
    </row>
    <row r="380">
      <c r="J380" s="154"/>
      <c r="K380" s="154"/>
      <c r="L380" s="154"/>
      <c r="M380" s="154"/>
    </row>
    <row r="381">
      <c r="J381" s="154"/>
      <c r="K381" s="154"/>
      <c r="L381" s="154"/>
      <c r="M381" s="154"/>
    </row>
    <row r="382">
      <c r="J382" s="154"/>
      <c r="K382" s="154"/>
      <c r="L382" s="154"/>
      <c r="M382" s="154"/>
    </row>
    <row r="383">
      <c r="J383" s="154"/>
      <c r="K383" s="154"/>
      <c r="L383" s="154"/>
      <c r="M383" s="154"/>
    </row>
    <row r="384">
      <c r="J384" s="154"/>
      <c r="K384" s="154"/>
      <c r="L384" s="154"/>
      <c r="M384" s="154"/>
    </row>
    <row r="385">
      <c r="J385" s="154"/>
      <c r="K385" s="154"/>
      <c r="L385" s="154"/>
      <c r="M385" s="154"/>
    </row>
    <row r="386">
      <c r="J386" s="154"/>
      <c r="K386" s="154"/>
      <c r="L386" s="154"/>
      <c r="M386" s="154"/>
    </row>
    <row r="387">
      <c r="J387" s="154"/>
      <c r="K387" s="154"/>
      <c r="L387" s="154"/>
      <c r="M387" s="154"/>
    </row>
    <row r="388">
      <c r="J388" s="154"/>
      <c r="K388" s="154"/>
      <c r="L388" s="154"/>
      <c r="M388" s="154"/>
    </row>
    <row r="389">
      <c r="J389" s="154"/>
      <c r="K389" s="154"/>
      <c r="L389" s="154"/>
      <c r="M389" s="154"/>
    </row>
    <row r="390">
      <c r="J390" s="154"/>
      <c r="K390" s="154"/>
      <c r="L390" s="154"/>
      <c r="M390" s="154"/>
    </row>
    <row r="391">
      <c r="J391" s="154"/>
      <c r="K391" s="154"/>
      <c r="L391" s="154"/>
      <c r="M391" s="154"/>
    </row>
    <row r="392">
      <c r="J392" s="154"/>
      <c r="K392" s="154"/>
      <c r="L392" s="154"/>
      <c r="M392" s="154"/>
    </row>
    <row r="393">
      <c r="J393" s="154"/>
      <c r="K393" s="154"/>
      <c r="L393" s="154"/>
      <c r="M393" s="154"/>
    </row>
    <row r="394">
      <c r="J394" s="154"/>
      <c r="K394" s="154"/>
      <c r="L394" s="154"/>
      <c r="M394" s="154"/>
    </row>
    <row r="395">
      <c r="J395" s="154"/>
      <c r="K395" s="154"/>
      <c r="L395" s="154"/>
      <c r="M395" s="154"/>
    </row>
    <row r="396">
      <c r="J396" s="154"/>
      <c r="K396" s="154"/>
      <c r="L396" s="154"/>
      <c r="M396" s="154"/>
    </row>
    <row r="397">
      <c r="J397" s="154"/>
      <c r="K397" s="154"/>
      <c r="L397" s="154"/>
      <c r="M397" s="154"/>
    </row>
    <row r="398">
      <c r="J398" s="154"/>
      <c r="K398" s="154"/>
      <c r="L398" s="154"/>
      <c r="M398" s="154"/>
    </row>
    <row r="399">
      <c r="J399" s="154"/>
      <c r="K399" s="154"/>
      <c r="L399" s="154"/>
      <c r="M399" s="154"/>
    </row>
    <row r="400">
      <c r="J400" s="154"/>
      <c r="K400" s="154"/>
      <c r="L400" s="154"/>
      <c r="M400" s="154"/>
    </row>
    <row r="401">
      <c r="J401" s="154"/>
      <c r="K401" s="154"/>
      <c r="L401" s="154"/>
      <c r="M401" s="154"/>
    </row>
    <row r="402">
      <c r="J402" s="154"/>
      <c r="K402" s="154"/>
      <c r="L402" s="154"/>
      <c r="M402" s="154"/>
    </row>
    <row r="403">
      <c r="J403" s="154"/>
      <c r="K403" s="154"/>
      <c r="L403" s="154"/>
      <c r="M403" s="154"/>
    </row>
    <row r="404">
      <c r="J404" s="154"/>
      <c r="K404" s="154"/>
      <c r="L404" s="154"/>
      <c r="M404" s="154"/>
    </row>
    <row r="405">
      <c r="J405" s="154"/>
      <c r="K405" s="154"/>
      <c r="L405" s="154"/>
      <c r="M405" s="154"/>
    </row>
    <row r="406">
      <c r="J406" s="154"/>
      <c r="K406" s="154"/>
      <c r="L406" s="154"/>
      <c r="M406" s="154"/>
    </row>
    <row r="407">
      <c r="J407" s="154"/>
      <c r="K407" s="154"/>
      <c r="L407" s="154"/>
      <c r="M407" s="154"/>
    </row>
    <row r="408">
      <c r="J408" s="154"/>
      <c r="K408" s="154"/>
      <c r="L408" s="154"/>
      <c r="M408" s="154"/>
    </row>
    <row r="409">
      <c r="J409" s="154"/>
      <c r="K409" s="154"/>
      <c r="L409" s="154"/>
      <c r="M409" s="154"/>
    </row>
    <row r="410">
      <c r="J410" s="154"/>
      <c r="K410" s="154"/>
      <c r="L410" s="154"/>
      <c r="M410" s="154"/>
    </row>
    <row r="411">
      <c r="J411" s="154"/>
      <c r="K411" s="154"/>
      <c r="L411" s="154"/>
      <c r="M411" s="154"/>
    </row>
    <row r="412">
      <c r="J412" s="154"/>
      <c r="K412" s="154"/>
      <c r="L412" s="154"/>
      <c r="M412" s="154"/>
    </row>
    <row r="413">
      <c r="J413" s="154"/>
      <c r="K413" s="154"/>
      <c r="L413" s="154"/>
      <c r="M413" s="154"/>
    </row>
    <row r="414">
      <c r="J414" s="154"/>
      <c r="K414" s="154"/>
      <c r="L414" s="154"/>
      <c r="M414" s="154"/>
    </row>
    <row r="415">
      <c r="J415" s="154"/>
      <c r="K415" s="154"/>
      <c r="L415" s="154"/>
      <c r="M415" s="154"/>
    </row>
    <row r="416">
      <c r="J416" s="154"/>
      <c r="K416" s="154"/>
      <c r="L416" s="154"/>
      <c r="M416" s="154"/>
    </row>
    <row r="417">
      <c r="J417" s="154"/>
      <c r="K417" s="154"/>
      <c r="L417" s="154"/>
      <c r="M417" s="154"/>
    </row>
    <row r="418">
      <c r="J418" s="154"/>
      <c r="K418" s="154"/>
      <c r="L418" s="154"/>
      <c r="M418" s="154"/>
    </row>
    <row r="419">
      <c r="J419" s="154"/>
      <c r="K419" s="154"/>
      <c r="L419" s="154"/>
      <c r="M419" s="154"/>
    </row>
    <row r="420">
      <c r="J420" s="154"/>
      <c r="K420" s="154"/>
      <c r="L420" s="154"/>
      <c r="M420" s="154"/>
    </row>
    <row r="421">
      <c r="J421" s="154"/>
      <c r="K421" s="154"/>
      <c r="L421" s="154"/>
      <c r="M421" s="154"/>
    </row>
    <row r="422">
      <c r="J422" s="154"/>
      <c r="K422" s="154"/>
      <c r="L422" s="154"/>
      <c r="M422" s="154"/>
    </row>
    <row r="423">
      <c r="J423" s="154"/>
      <c r="K423" s="154"/>
      <c r="L423" s="154"/>
      <c r="M423" s="154"/>
    </row>
    <row r="424">
      <c r="J424" s="154"/>
      <c r="K424" s="154"/>
      <c r="L424" s="154"/>
      <c r="M424" s="154"/>
    </row>
    <row r="425">
      <c r="J425" s="154"/>
      <c r="K425" s="154"/>
      <c r="L425" s="154"/>
      <c r="M425" s="154"/>
    </row>
    <row r="426">
      <c r="J426" s="154"/>
      <c r="K426" s="154"/>
      <c r="L426" s="154"/>
      <c r="M426" s="154"/>
    </row>
    <row r="427">
      <c r="J427" s="154"/>
      <c r="K427" s="154"/>
      <c r="L427" s="154"/>
      <c r="M427" s="154"/>
    </row>
    <row r="428">
      <c r="J428" s="154"/>
      <c r="K428" s="154"/>
      <c r="L428" s="154"/>
      <c r="M428" s="154"/>
    </row>
    <row r="429">
      <c r="J429" s="154"/>
      <c r="K429" s="154"/>
      <c r="L429" s="154"/>
      <c r="M429" s="154"/>
    </row>
    <row r="430">
      <c r="J430" s="154"/>
      <c r="K430" s="154"/>
      <c r="L430" s="154"/>
      <c r="M430" s="154"/>
    </row>
    <row r="431">
      <c r="J431" s="154"/>
      <c r="K431" s="154"/>
      <c r="L431" s="154"/>
      <c r="M431" s="154"/>
    </row>
    <row r="432">
      <c r="J432" s="154"/>
      <c r="K432" s="154"/>
      <c r="L432" s="154"/>
      <c r="M432" s="154"/>
    </row>
    <row r="433">
      <c r="J433" s="154"/>
      <c r="K433" s="154"/>
      <c r="L433" s="154"/>
      <c r="M433" s="154"/>
    </row>
    <row r="434">
      <c r="J434" s="154"/>
      <c r="K434" s="154"/>
      <c r="L434" s="154"/>
      <c r="M434" s="154"/>
    </row>
    <row r="435">
      <c r="J435" s="154"/>
      <c r="K435" s="154"/>
      <c r="L435" s="154"/>
      <c r="M435" s="154"/>
    </row>
    <row r="436">
      <c r="J436" s="154"/>
      <c r="K436" s="154"/>
      <c r="L436" s="154"/>
      <c r="M436" s="154"/>
    </row>
    <row r="437">
      <c r="J437" s="154"/>
      <c r="K437" s="154"/>
      <c r="L437" s="154"/>
      <c r="M437" s="154"/>
    </row>
    <row r="438">
      <c r="J438" s="154"/>
      <c r="K438" s="154"/>
      <c r="L438" s="154"/>
      <c r="M438" s="154"/>
    </row>
    <row r="439">
      <c r="J439" s="154"/>
      <c r="K439" s="154"/>
      <c r="L439" s="154"/>
      <c r="M439" s="154"/>
    </row>
    <row r="440">
      <c r="J440" s="154"/>
      <c r="K440" s="154"/>
      <c r="L440" s="154"/>
      <c r="M440" s="154"/>
    </row>
    <row r="441">
      <c r="J441" s="154"/>
      <c r="K441" s="154"/>
      <c r="L441" s="154"/>
      <c r="M441" s="154"/>
    </row>
    <row r="442">
      <c r="J442" s="154"/>
      <c r="K442" s="154"/>
      <c r="L442" s="154"/>
      <c r="M442" s="154"/>
    </row>
    <row r="443">
      <c r="J443" s="154"/>
      <c r="K443" s="154"/>
      <c r="L443" s="154"/>
      <c r="M443" s="154"/>
    </row>
    <row r="444">
      <c r="J444" s="154"/>
      <c r="K444" s="154"/>
      <c r="L444" s="154"/>
      <c r="M444" s="154"/>
    </row>
    <row r="445">
      <c r="J445" s="154"/>
      <c r="K445" s="154"/>
      <c r="L445" s="154"/>
      <c r="M445" s="154"/>
    </row>
    <row r="446">
      <c r="J446" s="154"/>
      <c r="K446" s="154"/>
      <c r="L446" s="154"/>
      <c r="M446" s="154"/>
    </row>
    <row r="447">
      <c r="J447" s="154"/>
      <c r="K447" s="154"/>
      <c r="L447" s="154"/>
      <c r="M447" s="154"/>
    </row>
    <row r="448">
      <c r="J448" s="154"/>
      <c r="K448" s="154"/>
      <c r="L448" s="154"/>
      <c r="M448" s="154"/>
    </row>
    <row r="449">
      <c r="J449" s="154"/>
      <c r="K449" s="154"/>
      <c r="L449" s="154"/>
      <c r="M449" s="154"/>
    </row>
    <row r="450">
      <c r="J450" s="154"/>
      <c r="K450" s="154"/>
      <c r="L450" s="154"/>
      <c r="M450" s="154"/>
    </row>
    <row r="451">
      <c r="J451" s="154"/>
      <c r="K451" s="154"/>
      <c r="L451" s="154"/>
      <c r="M451" s="154"/>
    </row>
    <row r="452">
      <c r="J452" s="154"/>
      <c r="K452" s="154"/>
      <c r="L452" s="154"/>
      <c r="M452" s="154"/>
    </row>
    <row r="453">
      <c r="J453" s="154"/>
      <c r="K453" s="154"/>
      <c r="L453" s="154"/>
      <c r="M453" s="154"/>
    </row>
    <row r="454">
      <c r="J454" s="154"/>
      <c r="K454" s="154"/>
      <c r="L454" s="154"/>
      <c r="M454" s="154"/>
    </row>
    <row r="455">
      <c r="J455" s="154"/>
      <c r="K455" s="154"/>
      <c r="L455" s="154"/>
      <c r="M455" s="154"/>
    </row>
    <row r="456">
      <c r="J456" s="154"/>
      <c r="K456" s="154"/>
      <c r="L456" s="154"/>
      <c r="M456" s="154"/>
    </row>
    <row r="457">
      <c r="J457" s="154"/>
      <c r="K457" s="154"/>
      <c r="L457" s="154"/>
      <c r="M457" s="154"/>
    </row>
    <row r="458">
      <c r="J458" s="154"/>
      <c r="K458" s="154"/>
      <c r="L458" s="154"/>
      <c r="M458" s="154"/>
    </row>
    <row r="459">
      <c r="J459" s="154"/>
      <c r="K459" s="154"/>
      <c r="L459" s="154"/>
      <c r="M459" s="154"/>
    </row>
    <row r="460">
      <c r="J460" s="154"/>
      <c r="K460" s="154"/>
      <c r="L460" s="154"/>
      <c r="M460" s="154"/>
    </row>
    <row r="461">
      <c r="J461" s="154"/>
      <c r="K461" s="154"/>
      <c r="L461" s="154"/>
      <c r="M461" s="154"/>
    </row>
    <row r="462">
      <c r="J462" s="154"/>
      <c r="K462" s="154"/>
      <c r="L462" s="154"/>
      <c r="M462" s="154"/>
    </row>
    <row r="463">
      <c r="J463" s="154"/>
      <c r="K463" s="154"/>
      <c r="L463" s="154"/>
      <c r="M463" s="154"/>
    </row>
    <row r="464">
      <c r="J464" s="154"/>
      <c r="K464" s="154"/>
      <c r="L464" s="154"/>
      <c r="M464" s="154"/>
    </row>
    <row r="465">
      <c r="J465" s="154"/>
      <c r="K465" s="154"/>
      <c r="L465" s="154"/>
      <c r="M465" s="154"/>
    </row>
    <row r="466">
      <c r="J466" s="154"/>
      <c r="K466" s="154"/>
      <c r="L466" s="154"/>
      <c r="M466" s="154"/>
    </row>
    <row r="467">
      <c r="J467" s="154"/>
      <c r="K467" s="154"/>
      <c r="L467" s="154"/>
      <c r="M467" s="154"/>
    </row>
    <row r="468">
      <c r="J468" s="154"/>
      <c r="K468" s="154"/>
      <c r="L468" s="154"/>
      <c r="M468" s="154"/>
    </row>
    <row r="469">
      <c r="J469" s="154"/>
      <c r="K469" s="154"/>
      <c r="L469" s="154"/>
      <c r="M469" s="154"/>
    </row>
    <row r="470">
      <c r="J470" s="154"/>
      <c r="K470" s="154"/>
      <c r="L470" s="154"/>
      <c r="M470" s="154"/>
    </row>
    <row r="471">
      <c r="J471" s="154"/>
      <c r="K471" s="154"/>
      <c r="L471" s="154"/>
      <c r="M471" s="154"/>
    </row>
    <row r="472">
      <c r="J472" s="154"/>
      <c r="K472" s="154"/>
      <c r="L472" s="154"/>
      <c r="M472" s="154"/>
    </row>
    <row r="473">
      <c r="J473" s="154"/>
      <c r="K473" s="154"/>
      <c r="L473" s="154"/>
      <c r="M473" s="154"/>
    </row>
    <row r="474">
      <c r="J474" s="154"/>
      <c r="K474" s="154"/>
      <c r="L474" s="154"/>
      <c r="M474" s="154"/>
    </row>
    <row r="475">
      <c r="J475" s="154"/>
      <c r="K475" s="154"/>
      <c r="L475" s="154"/>
      <c r="M475" s="154"/>
    </row>
    <row r="476">
      <c r="J476" s="154"/>
      <c r="K476" s="154"/>
      <c r="L476" s="154"/>
      <c r="M476" s="154"/>
    </row>
    <row r="477">
      <c r="J477" s="154"/>
      <c r="K477" s="154"/>
      <c r="L477" s="154"/>
      <c r="M477" s="154"/>
    </row>
    <row r="478">
      <c r="J478" s="154"/>
      <c r="K478" s="154"/>
      <c r="L478" s="154"/>
      <c r="M478" s="154"/>
    </row>
    <row r="479">
      <c r="J479" s="154"/>
      <c r="K479" s="154"/>
      <c r="L479" s="154"/>
      <c r="M479" s="154"/>
    </row>
    <row r="480">
      <c r="J480" s="154"/>
      <c r="K480" s="154"/>
      <c r="L480" s="154"/>
      <c r="M480" s="154"/>
    </row>
    <row r="481">
      <c r="J481" s="154"/>
      <c r="K481" s="154"/>
      <c r="L481" s="154"/>
      <c r="M481" s="154"/>
    </row>
    <row r="482">
      <c r="J482" s="154"/>
      <c r="K482" s="154"/>
      <c r="L482" s="154"/>
      <c r="M482" s="154"/>
    </row>
    <row r="483">
      <c r="J483" s="154"/>
      <c r="K483" s="154"/>
      <c r="L483" s="154"/>
      <c r="M483" s="154"/>
    </row>
    <row r="484">
      <c r="J484" s="154"/>
      <c r="K484" s="154"/>
      <c r="L484" s="154"/>
      <c r="M484" s="154"/>
    </row>
    <row r="485">
      <c r="J485" s="154"/>
      <c r="K485" s="154"/>
      <c r="L485" s="154"/>
      <c r="M485" s="154"/>
    </row>
    <row r="486">
      <c r="J486" s="154"/>
      <c r="K486" s="154"/>
      <c r="L486" s="154"/>
      <c r="M486" s="154"/>
    </row>
    <row r="487">
      <c r="J487" s="154"/>
      <c r="K487" s="154"/>
      <c r="L487" s="154"/>
      <c r="M487" s="154"/>
    </row>
    <row r="488">
      <c r="J488" s="154"/>
      <c r="K488" s="154"/>
      <c r="L488" s="154"/>
      <c r="M488" s="154"/>
    </row>
    <row r="489">
      <c r="J489" s="154"/>
      <c r="K489" s="154"/>
      <c r="L489" s="154"/>
      <c r="M489" s="154"/>
    </row>
    <row r="490">
      <c r="J490" s="154"/>
      <c r="K490" s="154"/>
      <c r="L490" s="154"/>
      <c r="M490" s="154"/>
    </row>
    <row r="491">
      <c r="J491" s="154"/>
      <c r="K491" s="154"/>
      <c r="L491" s="154"/>
      <c r="M491" s="154"/>
    </row>
    <row r="492">
      <c r="J492" s="154"/>
      <c r="K492" s="154"/>
      <c r="L492" s="154"/>
      <c r="M492" s="154"/>
    </row>
    <row r="493">
      <c r="J493" s="154"/>
      <c r="K493" s="154"/>
      <c r="L493" s="154"/>
      <c r="M493" s="154"/>
    </row>
    <row r="494">
      <c r="J494" s="154"/>
      <c r="K494" s="154"/>
      <c r="L494" s="154"/>
      <c r="M494" s="154"/>
    </row>
    <row r="495">
      <c r="J495" s="154"/>
      <c r="K495" s="154"/>
      <c r="L495" s="154"/>
      <c r="M495" s="154"/>
    </row>
    <row r="496">
      <c r="J496" s="154"/>
      <c r="K496" s="154"/>
      <c r="L496" s="154"/>
      <c r="M496" s="154"/>
    </row>
    <row r="497">
      <c r="J497" s="154"/>
      <c r="K497" s="154"/>
      <c r="L497" s="154"/>
      <c r="M497" s="154"/>
    </row>
    <row r="498">
      <c r="J498" s="154"/>
      <c r="K498" s="154"/>
      <c r="L498" s="154"/>
      <c r="M498" s="154"/>
    </row>
    <row r="499">
      <c r="J499" s="154"/>
      <c r="K499" s="154"/>
      <c r="L499" s="154"/>
      <c r="M499" s="154"/>
    </row>
    <row r="500">
      <c r="J500" s="154"/>
      <c r="K500" s="154"/>
      <c r="L500" s="154"/>
      <c r="M500" s="154"/>
    </row>
    <row r="501">
      <c r="J501" s="154"/>
      <c r="K501" s="154"/>
      <c r="L501" s="154"/>
      <c r="M501" s="154"/>
    </row>
    <row r="502">
      <c r="J502" s="154"/>
      <c r="K502" s="154"/>
      <c r="L502" s="154"/>
      <c r="M502" s="154"/>
    </row>
    <row r="503">
      <c r="J503" s="154"/>
      <c r="K503" s="154"/>
      <c r="L503" s="154"/>
      <c r="M503" s="154"/>
    </row>
    <row r="504">
      <c r="J504" s="154"/>
      <c r="K504" s="154"/>
      <c r="L504" s="154"/>
      <c r="M504" s="154"/>
    </row>
    <row r="505">
      <c r="J505" s="154"/>
      <c r="K505" s="154"/>
      <c r="L505" s="154"/>
      <c r="M505" s="154"/>
    </row>
    <row r="506">
      <c r="J506" s="154"/>
      <c r="K506" s="154"/>
      <c r="L506" s="154"/>
      <c r="M506" s="154"/>
    </row>
    <row r="507">
      <c r="J507" s="154"/>
      <c r="K507" s="154"/>
      <c r="L507" s="154"/>
      <c r="M507" s="154"/>
    </row>
    <row r="508">
      <c r="J508" s="154"/>
      <c r="K508" s="154"/>
      <c r="L508" s="154"/>
      <c r="M508" s="154"/>
    </row>
    <row r="509">
      <c r="J509" s="154"/>
      <c r="K509" s="154"/>
      <c r="L509" s="154"/>
      <c r="M509" s="154"/>
    </row>
    <row r="510">
      <c r="J510" s="154"/>
      <c r="K510" s="154"/>
      <c r="L510" s="154"/>
      <c r="M510" s="154"/>
    </row>
    <row r="511">
      <c r="J511" s="154"/>
      <c r="K511" s="154"/>
      <c r="L511" s="154"/>
      <c r="M511" s="154"/>
    </row>
    <row r="512">
      <c r="J512" s="154"/>
      <c r="K512" s="154"/>
      <c r="L512" s="154"/>
      <c r="M512" s="154"/>
    </row>
    <row r="513">
      <c r="J513" s="154"/>
      <c r="K513" s="154"/>
      <c r="L513" s="154"/>
      <c r="M513" s="154"/>
    </row>
    <row r="514">
      <c r="J514" s="154"/>
      <c r="K514" s="154"/>
      <c r="L514" s="154"/>
      <c r="M514" s="154"/>
    </row>
    <row r="515">
      <c r="J515" s="154"/>
      <c r="K515" s="154"/>
      <c r="L515" s="154"/>
      <c r="M515" s="154"/>
    </row>
    <row r="516">
      <c r="J516" s="154"/>
      <c r="K516" s="154"/>
      <c r="L516" s="154"/>
      <c r="M516" s="154"/>
    </row>
    <row r="517">
      <c r="J517" s="154"/>
      <c r="K517" s="154"/>
      <c r="L517" s="154"/>
      <c r="M517" s="154"/>
    </row>
    <row r="518">
      <c r="J518" s="154"/>
      <c r="K518" s="154"/>
      <c r="L518" s="154"/>
      <c r="M518" s="154"/>
    </row>
    <row r="519">
      <c r="J519" s="154"/>
      <c r="K519" s="154"/>
      <c r="L519" s="154"/>
      <c r="M519" s="154"/>
    </row>
    <row r="520">
      <c r="J520" s="154"/>
      <c r="K520" s="154"/>
      <c r="L520" s="154"/>
      <c r="M520" s="154"/>
    </row>
    <row r="521">
      <c r="J521" s="154"/>
      <c r="K521" s="154"/>
      <c r="L521" s="154"/>
      <c r="M521" s="154"/>
    </row>
    <row r="522">
      <c r="J522" s="154"/>
      <c r="K522" s="154"/>
      <c r="L522" s="154"/>
      <c r="M522" s="154"/>
    </row>
    <row r="523">
      <c r="J523" s="154"/>
      <c r="K523" s="154"/>
      <c r="L523" s="154"/>
      <c r="M523" s="154"/>
    </row>
    <row r="524">
      <c r="J524" s="154"/>
      <c r="K524" s="154"/>
      <c r="L524" s="154"/>
      <c r="M524" s="154"/>
    </row>
    <row r="525">
      <c r="J525" s="154"/>
      <c r="K525" s="154"/>
      <c r="L525" s="154"/>
      <c r="M525" s="154"/>
    </row>
    <row r="526">
      <c r="J526" s="154"/>
      <c r="K526" s="154"/>
      <c r="L526" s="154"/>
      <c r="M526" s="154"/>
    </row>
    <row r="527">
      <c r="J527" s="154"/>
      <c r="K527" s="154"/>
      <c r="L527" s="154"/>
      <c r="M527" s="154"/>
    </row>
    <row r="528">
      <c r="J528" s="154"/>
      <c r="K528" s="154"/>
      <c r="L528" s="154"/>
      <c r="M528" s="154"/>
    </row>
    <row r="529">
      <c r="J529" s="154"/>
      <c r="K529" s="154"/>
      <c r="L529" s="154"/>
      <c r="M529" s="154"/>
    </row>
    <row r="530">
      <c r="J530" s="154"/>
      <c r="K530" s="154"/>
      <c r="L530" s="154"/>
      <c r="M530" s="154"/>
    </row>
    <row r="531">
      <c r="J531" s="154"/>
      <c r="K531" s="154"/>
      <c r="L531" s="154"/>
      <c r="M531" s="154"/>
    </row>
    <row r="532">
      <c r="J532" s="154"/>
      <c r="K532" s="154"/>
      <c r="L532" s="154"/>
      <c r="M532" s="154"/>
    </row>
    <row r="533">
      <c r="J533" s="154"/>
      <c r="K533" s="154"/>
      <c r="L533" s="154"/>
      <c r="M533" s="154"/>
    </row>
    <row r="534">
      <c r="J534" s="154"/>
      <c r="K534" s="154"/>
      <c r="L534" s="154"/>
      <c r="M534" s="154"/>
    </row>
    <row r="535">
      <c r="J535" s="154"/>
      <c r="K535" s="154"/>
      <c r="L535" s="154"/>
      <c r="M535" s="154"/>
    </row>
    <row r="536">
      <c r="J536" s="154"/>
      <c r="K536" s="154"/>
      <c r="L536" s="154"/>
      <c r="M536" s="154"/>
    </row>
    <row r="537">
      <c r="J537" s="154"/>
      <c r="K537" s="154"/>
      <c r="L537" s="154"/>
      <c r="M537" s="154"/>
    </row>
    <row r="538">
      <c r="J538" s="154"/>
      <c r="K538" s="154"/>
      <c r="L538" s="154"/>
      <c r="M538" s="154"/>
    </row>
    <row r="539">
      <c r="J539" s="154"/>
      <c r="K539" s="154"/>
      <c r="L539" s="154"/>
      <c r="M539" s="154"/>
    </row>
    <row r="540">
      <c r="J540" s="154"/>
      <c r="K540" s="154"/>
      <c r="L540" s="154"/>
      <c r="M540" s="154"/>
    </row>
    <row r="541">
      <c r="J541" s="154"/>
      <c r="K541" s="154"/>
      <c r="L541" s="154"/>
      <c r="M541" s="154"/>
    </row>
    <row r="542">
      <c r="J542" s="154"/>
      <c r="K542" s="154"/>
      <c r="L542" s="154"/>
      <c r="M542" s="154"/>
    </row>
    <row r="543">
      <c r="J543" s="154"/>
      <c r="K543" s="154"/>
      <c r="L543" s="154"/>
      <c r="M543" s="154"/>
    </row>
    <row r="544">
      <c r="J544" s="154"/>
      <c r="K544" s="154"/>
      <c r="L544" s="154"/>
      <c r="M544" s="154"/>
    </row>
    <row r="545">
      <c r="J545" s="154"/>
      <c r="K545" s="154"/>
      <c r="L545" s="154"/>
      <c r="M545" s="154"/>
    </row>
    <row r="546">
      <c r="J546" s="154"/>
      <c r="K546" s="154"/>
      <c r="L546" s="154"/>
      <c r="M546" s="154"/>
    </row>
    <row r="547">
      <c r="J547" s="154"/>
      <c r="K547" s="154"/>
      <c r="L547" s="154"/>
      <c r="M547" s="154"/>
    </row>
    <row r="548">
      <c r="J548" s="154"/>
      <c r="K548" s="154"/>
      <c r="L548" s="154"/>
      <c r="M548" s="154"/>
    </row>
    <row r="549">
      <c r="J549" s="154"/>
      <c r="K549" s="154"/>
      <c r="L549" s="154"/>
      <c r="M549" s="154"/>
    </row>
    <row r="550">
      <c r="J550" s="154"/>
      <c r="K550" s="154"/>
      <c r="L550" s="154"/>
      <c r="M550" s="154"/>
    </row>
    <row r="551">
      <c r="J551" s="154"/>
      <c r="K551" s="154"/>
      <c r="L551" s="154"/>
      <c r="M551" s="154"/>
    </row>
    <row r="552">
      <c r="J552" s="154"/>
      <c r="K552" s="154"/>
      <c r="L552" s="154"/>
      <c r="M552" s="154"/>
    </row>
    <row r="553">
      <c r="J553" s="154"/>
      <c r="K553" s="154"/>
      <c r="L553" s="154"/>
      <c r="M553" s="154"/>
    </row>
    <row r="554">
      <c r="J554" s="154"/>
      <c r="K554" s="154"/>
      <c r="L554" s="154"/>
      <c r="M554" s="154"/>
    </row>
    <row r="555">
      <c r="J555" s="154"/>
      <c r="K555" s="154"/>
      <c r="L555" s="154"/>
      <c r="M555" s="154"/>
    </row>
    <row r="556">
      <c r="J556" s="154"/>
      <c r="K556" s="154"/>
      <c r="L556" s="154"/>
      <c r="M556" s="154"/>
    </row>
    <row r="557">
      <c r="J557" s="154"/>
      <c r="K557" s="154"/>
      <c r="L557" s="154"/>
      <c r="M557" s="154"/>
    </row>
    <row r="558">
      <c r="J558" s="154"/>
      <c r="K558" s="154"/>
      <c r="L558" s="154"/>
      <c r="M558" s="154"/>
    </row>
    <row r="559">
      <c r="J559" s="154"/>
      <c r="K559" s="154"/>
      <c r="L559" s="154"/>
      <c r="M559" s="154"/>
    </row>
    <row r="560">
      <c r="J560" s="154"/>
      <c r="K560" s="154"/>
      <c r="L560" s="154"/>
      <c r="M560" s="154"/>
    </row>
    <row r="561">
      <c r="J561" s="154"/>
      <c r="K561" s="154"/>
      <c r="L561" s="154"/>
      <c r="M561" s="154"/>
    </row>
    <row r="562">
      <c r="J562" s="154"/>
      <c r="K562" s="154"/>
      <c r="L562" s="154"/>
      <c r="M562" s="154"/>
    </row>
    <row r="563">
      <c r="J563" s="154"/>
      <c r="K563" s="154"/>
      <c r="L563" s="154"/>
      <c r="M563" s="154"/>
    </row>
    <row r="564">
      <c r="J564" s="154"/>
      <c r="K564" s="154"/>
      <c r="L564" s="154"/>
      <c r="M564" s="154"/>
    </row>
    <row r="565">
      <c r="J565" s="154"/>
      <c r="K565" s="154"/>
      <c r="L565" s="154"/>
      <c r="M565" s="154"/>
    </row>
    <row r="566">
      <c r="J566" s="154"/>
      <c r="K566" s="154"/>
      <c r="L566" s="154"/>
      <c r="M566" s="154"/>
    </row>
    <row r="567">
      <c r="J567" s="154"/>
      <c r="K567" s="154"/>
      <c r="L567" s="154"/>
      <c r="M567" s="154"/>
    </row>
    <row r="568">
      <c r="J568" s="154"/>
      <c r="K568" s="154"/>
      <c r="L568" s="154"/>
      <c r="M568" s="154"/>
    </row>
    <row r="569">
      <c r="J569" s="154"/>
      <c r="K569" s="154"/>
      <c r="L569" s="154"/>
      <c r="M569" s="154"/>
    </row>
    <row r="570">
      <c r="J570" s="154"/>
      <c r="K570" s="154"/>
      <c r="L570" s="154"/>
      <c r="M570" s="154"/>
    </row>
    <row r="571">
      <c r="J571" s="154"/>
      <c r="K571" s="154"/>
      <c r="L571" s="154"/>
      <c r="M571" s="154"/>
    </row>
    <row r="572">
      <c r="J572" s="154"/>
      <c r="K572" s="154"/>
      <c r="L572" s="154"/>
      <c r="M572" s="154"/>
    </row>
    <row r="573">
      <c r="J573" s="154"/>
      <c r="K573" s="154"/>
      <c r="L573" s="154"/>
      <c r="M573" s="154"/>
    </row>
    <row r="574">
      <c r="J574" s="154"/>
      <c r="K574" s="154"/>
      <c r="L574" s="154"/>
      <c r="M574" s="154"/>
    </row>
    <row r="575">
      <c r="J575" s="154"/>
      <c r="K575" s="154"/>
      <c r="L575" s="154"/>
      <c r="M575" s="154"/>
    </row>
    <row r="576">
      <c r="J576" s="154"/>
      <c r="K576" s="154"/>
      <c r="L576" s="154"/>
      <c r="M576" s="154"/>
    </row>
    <row r="577">
      <c r="J577" s="154"/>
      <c r="K577" s="154"/>
      <c r="L577" s="154"/>
      <c r="M577" s="154"/>
    </row>
    <row r="578">
      <c r="J578" s="154"/>
      <c r="K578" s="154"/>
      <c r="L578" s="154"/>
      <c r="M578" s="154"/>
    </row>
    <row r="579">
      <c r="J579" s="154"/>
      <c r="K579" s="154"/>
      <c r="L579" s="154"/>
      <c r="M579" s="154"/>
    </row>
    <row r="580">
      <c r="J580" s="154"/>
      <c r="K580" s="154"/>
      <c r="L580" s="154"/>
      <c r="M580" s="154"/>
    </row>
    <row r="581">
      <c r="J581" s="154"/>
      <c r="K581" s="154"/>
      <c r="L581" s="154"/>
      <c r="M581" s="154"/>
    </row>
    <row r="582">
      <c r="J582" s="154"/>
      <c r="K582" s="154"/>
      <c r="L582" s="154"/>
      <c r="M582" s="154"/>
    </row>
    <row r="583">
      <c r="J583" s="154"/>
      <c r="K583" s="154"/>
      <c r="L583" s="154"/>
      <c r="M583" s="154"/>
    </row>
    <row r="584">
      <c r="J584" s="154"/>
      <c r="K584" s="154"/>
      <c r="L584" s="154"/>
      <c r="M584" s="154"/>
    </row>
    <row r="585">
      <c r="J585" s="154"/>
      <c r="K585" s="154"/>
      <c r="L585" s="154"/>
      <c r="M585" s="154"/>
    </row>
    <row r="586">
      <c r="J586" s="154"/>
      <c r="K586" s="154"/>
      <c r="L586" s="154"/>
      <c r="M586" s="154"/>
    </row>
    <row r="587">
      <c r="J587" s="154"/>
      <c r="K587" s="154"/>
      <c r="L587" s="154"/>
      <c r="M587" s="154"/>
    </row>
    <row r="588">
      <c r="J588" s="154"/>
      <c r="K588" s="154"/>
      <c r="L588" s="154"/>
      <c r="M588" s="154"/>
    </row>
    <row r="589">
      <c r="J589" s="154"/>
      <c r="K589" s="154"/>
      <c r="L589" s="154"/>
      <c r="M589" s="154"/>
    </row>
    <row r="590">
      <c r="J590" s="154"/>
      <c r="K590" s="154"/>
      <c r="L590" s="154"/>
      <c r="M590" s="154"/>
    </row>
    <row r="591">
      <c r="J591" s="154"/>
      <c r="K591" s="154"/>
      <c r="L591" s="154"/>
      <c r="M591" s="154"/>
    </row>
    <row r="592">
      <c r="J592" s="154"/>
      <c r="K592" s="154"/>
      <c r="L592" s="154"/>
      <c r="M592" s="154"/>
    </row>
    <row r="593">
      <c r="J593" s="154"/>
      <c r="K593" s="154"/>
      <c r="L593" s="154"/>
      <c r="M593" s="154"/>
    </row>
    <row r="594">
      <c r="J594" s="154"/>
      <c r="K594" s="154"/>
      <c r="L594" s="154"/>
      <c r="M594" s="154"/>
    </row>
    <row r="595">
      <c r="J595" s="154"/>
      <c r="K595" s="154"/>
      <c r="L595" s="154"/>
      <c r="M595" s="154"/>
    </row>
    <row r="596">
      <c r="J596" s="154"/>
      <c r="K596" s="154"/>
      <c r="L596" s="154"/>
      <c r="M596" s="154"/>
    </row>
    <row r="597">
      <c r="J597" s="154"/>
      <c r="K597" s="154"/>
      <c r="L597" s="154"/>
      <c r="M597" s="154"/>
    </row>
    <row r="598">
      <c r="J598" s="154"/>
      <c r="K598" s="154"/>
      <c r="L598" s="154"/>
      <c r="M598" s="154"/>
    </row>
    <row r="599">
      <c r="J599" s="154"/>
      <c r="K599" s="154"/>
      <c r="L599" s="154"/>
      <c r="M599" s="154"/>
    </row>
    <row r="600">
      <c r="J600" s="154"/>
      <c r="K600" s="154"/>
      <c r="L600" s="154"/>
      <c r="M600" s="154"/>
    </row>
    <row r="601">
      <c r="J601" s="154"/>
      <c r="K601" s="154"/>
      <c r="L601" s="154"/>
      <c r="M601" s="154"/>
    </row>
    <row r="602">
      <c r="J602" s="154"/>
      <c r="K602" s="154"/>
      <c r="L602" s="154"/>
      <c r="M602" s="154"/>
    </row>
    <row r="603">
      <c r="J603" s="154"/>
      <c r="K603" s="154"/>
      <c r="L603" s="154"/>
      <c r="M603" s="154"/>
    </row>
    <row r="604">
      <c r="J604" s="154"/>
      <c r="K604" s="154"/>
      <c r="L604" s="154"/>
      <c r="M604" s="154"/>
    </row>
    <row r="605">
      <c r="J605" s="154"/>
      <c r="K605" s="154"/>
      <c r="L605" s="154"/>
      <c r="M605" s="154"/>
    </row>
    <row r="606">
      <c r="J606" s="154"/>
      <c r="K606" s="154"/>
      <c r="L606" s="154"/>
      <c r="M606" s="154"/>
    </row>
    <row r="607">
      <c r="J607" s="154"/>
      <c r="K607" s="154"/>
      <c r="L607" s="154"/>
      <c r="M607" s="154"/>
    </row>
    <row r="608">
      <c r="J608" s="154"/>
      <c r="K608" s="154"/>
      <c r="L608" s="154"/>
      <c r="M608" s="154"/>
    </row>
    <row r="609">
      <c r="J609" s="154"/>
      <c r="K609" s="154"/>
      <c r="L609" s="154"/>
      <c r="M609" s="154"/>
    </row>
    <row r="610">
      <c r="J610" s="154"/>
      <c r="K610" s="154"/>
      <c r="L610" s="154"/>
      <c r="M610" s="154"/>
    </row>
    <row r="611">
      <c r="J611" s="154"/>
      <c r="K611" s="154"/>
      <c r="L611" s="154"/>
      <c r="M611" s="154"/>
    </row>
    <row r="612">
      <c r="J612" s="154"/>
      <c r="K612" s="154"/>
      <c r="L612" s="154"/>
      <c r="M612" s="154"/>
    </row>
    <row r="613">
      <c r="J613" s="154"/>
      <c r="K613" s="154"/>
      <c r="L613" s="154"/>
      <c r="M613" s="154"/>
    </row>
    <row r="614">
      <c r="J614" s="154"/>
      <c r="K614" s="154"/>
      <c r="L614" s="154"/>
      <c r="M614" s="154"/>
    </row>
    <row r="615">
      <c r="J615" s="154"/>
      <c r="K615" s="154"/>
      <c r="L615" s="154"/>
      <c r="M615" s="154"/>
    </row>
    <row r="616">
      <c r="J616" s="154"/>
      <c r="K616" s="154"/>
      <c r="L616" s="154"/>
      <c r="M616" s="154"/>
    </row>
    <row r="617">
      <c r="J617" s="154"/>
      <c r="K617" s="154"/>
      <c r="L617" s="154"/>
      <c r="M617" s="154"/>
    </row>
    <row r="618">
      <c r="J618" s="154"/>
      <c r="K618" s="154"/>
      <c r="L618" s="154"/>
      <c r="M618" s="154"/>
    </row>
    <row r="619">
      <c r="J619" s="154"/>
      <c r="K619" s="154"/>
      <c r="L619" s="154"/>
      <c r="M619" s="154"/>
    </row>
    <row r="620">
      <c r="J620" s="154"/>
      <c r="K620" s="154"/>
      <c r="L620" s="154"/>
      <c r="M620" s="154"/>
    </row>
    <row r="621">
      <c r="J621" s="154"/>
      <c r="K621" s="154"/>
      <c r="L621" s="154"/>
      <c r="M621" s="154"/>
    </row>
    <row r="622">
      <c r="J622" s="154"/>
      <c r="K622" s="154"/>
      <c r="L622" s="154"/>
      <c r="M622" s="154"/>
    </row>
    <row r="623">
      <c r="J623" s="154"/>
      <c r="K623" s="154"/>
      <c r="L623" s="154"/>
      <c r="M623" s="154"/>
    </row>
    <row r="624">
      <c r="J624" s="154"/>
      <c r="K624" s="154"/>
      <c r="L624" s="154"/>
      <c r="M624" s="154"/>
    </row>
    <row r="625">
      <c r="J625" s="154"/>
      <c r="K625" s="154"/>
      <c r="L625" s="154"/>
      <c r="M625" s="154"/>
    </row>
    <row r="626">
      <c r="J626" s="154"/>
      <c r="K626" s="154"/>
      <c r="L626" s="154"/>
      <c r="M626" s="154"/>
    </row>
    <row r="627">
      <c r="J627" s="154"/>
      <c r="K627" s="154"/>
      <c r="L627" s="154"/>
      <c r="M627" s="154"/>
    </row>
    <row r="628">
      <c r="J628" s="154"/>
      <c r="K628" s="154"/>
      <c r="L628" s="154"/>
      <c r="M628" s="154"/>
    </row>
    <row r="629">
      <c r="J629" s="154"/>
      <c r="K629" s="154"/>
      <c r="L629" s="154"/>
      <c r="M629" s="154"/>
    </row>
    <row r="630">
      <c r="J630" s="154"/>
      <c r="K630" s="154"/>
      <c r="L630" s="154"/>
      <c r="M630" s="154"/>
    </row>
    <row r="631">
      <c r="J631" s="154"/>
      <c r="K631" s="154"/>
      <c r="L631" s="154"/>
      <c r="M631" s="154"/>
    </row>
    <row r="632">
      <c r="J632" s="154"/>
      <c r="K632" s="154"/>
      <c r="L632" s="154"/>
      <c r="M632" s="154"/>
    </row>
    <row r="633">
      <c r="J633" s="154"/>
      <c r="K633" s="154"/>
      <c r="L633" s="154"/>
      <c r="M633" s="154"/>
    </row>
    <row r="634">
      <c r="J634" s="154"/>
      <c r="K634" s="154"/>
      <c r="L634" s="154"/>
      <c r="M634" s="154"/>
    </row>
    <row r="635">
      <c r="J635" s="154"/>
      <c r="K635" s="154"/>
      <c r="L635" s="154"/>
      <c r="M635" s="154"/>
    </row>
    <row r="636">
      <c r="J636" s="154"/>
      <c r="K636" s="154"/>
      <c r="L636" s="154"/>
      <c r="M636" s="154"/>
    </row>
    <row r="637">
      <c r="J637" s="154"/>
      <c r="K637" s="154"/>
      <c r="L637" s="154"/>
      <c r="M637" s="154"/>
    </row>
    <row r="638">
      <c r="J638" s="154"/>
      <c r="K638" s="154"/>
      <c r="L638" s="154"/>
      <c r="M638" s="154"/>
    </row>
    <row r="639">
      <c r="J639" s="154"/>
      <c r="K639" s="154"/>
      <c r="L639" s="154"/>
      <c r="M639" s="154"/>
    </row>
    <row r="640">
      <c r="J640" s="154"/>
      <c r="K640" s="154"/>
      <c r="L640" s="154"/>
      <c r="M640" s="154"/>
    </row>
    <row r="641">
      <c r="J641" s="154"/>
      <c r="K641" s="154"/>
      <c r="L641" s="154"/>
      <c r="M641" s="154"/>
    </row>
    <row r="642">
      <c r="J642" s="154"/>
      <c r="K642" s="154"/>
      <c r="L642" s="154"/>
      <c r="M642" s="154"/>
    </row>
    <row r="643">
      <c r="J643" s="154"/>
      <c r="K643" s="154"/>
      <c r="L643" s="154"/>
      <c r="M643" s="154"/>
    </row>
    <row r="644">
      <c r="J644" s="154"/>
      <c r="K644" s="154"/>
      <c r="L644" s="154"/>
      <c r="M644" s="154"/>
    </row>
    <row r="645">
      <c r="J645" s="154"/>
      <c r="K645" s="154"/>
      <c r="L645" s="154"/>
      <c r="M645" s="154"/>
    </row>
    <row r="646">
      <c r="J646" s="154"/>
      <c r="K646" s="154"/>
      <c r="L646" s="154"/>
      <c r="M646" s="154"/>
    </row>
    <row r="647">
      <c r="J647" s="154"/>
      <c r="K647" s="154"/>
      <c r="L647" s="154"/>
      <c r="M647" s="154"/>
    </row>
    <row r="648">
      <c r="J648" s="154"/>
      <c r="K648" s="154"/>
      <c r="L648" s="154"/>
      <c r="M648" s="154"/>
    </row>
    <row r="649">
      <c r="J649" s="154"/>
      <c r="K649" s="154"/>
      <c r="L649" s="154"/>
      <c r="M649" s="154"/>
    </row>
    <row r="650">
      <c r="J650" s="154"/>
      <c r="K650" s="154"/>
      <c r="L650" s="154"/>
      <c r="M650" s="154"/>
    </row>
    <row r="651">
      <c r="J651" s="154"/>
      <c r="K651" s="154"/>
      <c r="L651" s="154"/>
      <c r="M651" s="154"/>
    </row>
    <row r="652">
      <c r="J652" s="154"/>
      <c r="K652" s="154"/>
      <c r="L652" s="154"/>
      <c r="M652" s="154"/>
    </row>
    <row r="653">
      <c r="J653" s="154"/>
      <c r="K653" s="154"/>
      <c r="L653" s="154"/>
      <c r="M653" s="154"/>
    </row>
    <row r="654">
      <c r="J654" s="154"/>
      <c r="K654" s="154"/>
      <c r="L654" s="154"/>
      <c r="M654" s="154"/>
    </row>
    <row r="655">
      <c r="J655" s="154"/>
      <c r="K655" s="154"/>
      <c r="L655" s="154"/>
      <c r="M655" s="154"/>
    </row>
    <row r="656">
      <c r="J656" s="154"/>
      <c r="K656" s="154"/>
      <c r="L656" s="154"/>
      <c r="M656" s="154"/>
    </row>
    <row r="657">
      <c r="J657" s="154"/>
      <c r="K657" s="154"/>
      <c r="L657" s="154"/>
      <c r="M657" s="154"/>
    </row>
    <row r="658">
      <c r="J658" s="154"/>
      <c r="K658" s="154"/>
      <c r="L658" s="154"/>
      <c r="M658" s="154"/>
    </row>
    <row r="659">
      <c r="J659" s="154"/>
      <c r="K659" s="154"/>
      <c r="L659" s="154"/>
      <c r="M659" s="154"/>
    </row>
    <row r="660">
      <c r="J660" s="154"/>
      <c r="K660" s="154"/>
      <c r="L660" s="154"/>
      <c r="M660" s="154"/>
    </row>
    <row r="661">
      <c r="J661" s="154"/>
      <c r="K661" s="154"/>
      <c r="L661" s="154"/>
      <c r="M661" s="154"/>
    </row>
    <row r="662">
      <c r="J662" s="154"/>
      <c r="K662" s="154"/>
      <c r="L662" s="154"/>
      <c r="M662" s="154"/>
    </row>
    <row r="663">
      <c r="J663" s="154"/>
      <c r="K663" s="154"/>
      <c r="L663" s="154"/>
      <c r="M663" s="154"/>
    </row>
    <row r="664">
      <c r="J664" s="154"/>
      <c r="K664" s="154"/>
      <c r="L664" s="154"/>
      <c r="M664" s="154"/>
    </row>
    <row r="665">
      <c r="J665" s="154"/>
      <c r="K665" s="154"/>
      <c r="L665" s="154"/>
      <c r="M665" s="154"/>
    </row>
    <row r="666">
      <c r="J666" s="154"/>
      <c r="K666" s="154"/>
      <c r="L666" s="154"/>
      <c r="M666" s="154"/>
    </row>
    <row r="667">
      <c r="J667" s="154"/>
      <c r="K667" s="154"/>
      <c r="L667" s="154"/>
      <c r="M667" s="154"/>
    </row>
    <row r="668">
      <c r="J668" s="154"/>
      <c r="K668" s="154"/>
      <c r="L668" s="154"/>
      <c r="M668" s="154"/>
    </row>
    <row r="669">
      <c r="J669" s="154"/>
      <c r="K669" s="154"/>
      <c r="L669" s="154"/>
      <c r="M669" s="154"/>
    </row>
    <row r="670">
      <c r="J670" s="154"/>
      <c r="K670" s="154"/>
      <c r="L670" s="154"/>
      <c r="M670" s="154"/>
    </row>
    <row r="671">
      <c r="J671" s="154"/>
      <c r="K671" s="154"/>
      <c r="L671" s="154"/>
      <c r="M671" s="154"/>
    </row>
    <row r="672">
      <c r="J672" s="154"/>
      <c r="K672" s="154"/>
      <c r="L672" s="154"/>
      <c r="M672" s="154"/>
    </row>
    <row r="673">
      <c r="J673" s="154"/>
      <c r="K673" s="154"/>
      <c r="L673" s="154"/>
      <c r="M673" s="154"/>
    </row>
    <row r="674">
      <c r="J674" s="154"/>
      <c r="K674" s="154"/>
      <c r="L674" s="154"/>
      <c r="M674" s="154"/>
    </row>
    <row r="675">
      <c r="J675" s="154"/>
      <c r="K675" s="154"/>
      <c r="L675" s="154"/>
      <c r="M675" s="154"/>
    </row>
    <row r="676">
      <c r="J676" s="154"/>
      <c r="K676" s="154"/>
      <c r="L676" s="154"/>
      <c r="M676" s="154"/>
    </row>
    <row r="677">
      <c r="J677" s="154"/>
      <c r="K677" s="154"/>
      <c r="L677" s="154"/>
      <c r="M677" s="154"/>
    </row>
    <row r="678">
      <c r="J678" s="154"/>
      <c r="K678" s="154"/>
      <c r="L678" s="154"/>
      <c r="M678" s="154"/>
    </row>
    <row r="679">
      <c r="J679" s="154"/>
      <c r="K679" s="154"/>
      <c r="L679" s="154"/>
      <c r="M679" s="154"/>
    </row>
    <row r="680">
      <c r="J680" s="154"/>
      <c r="K680" s="154"/>
      <c r="L680" s="154"/>
      <c r="M680" s="154"/>
    </row>
    <row r="681">
      <c r="J681" s="154"/>
      <c r="K681" s="154"/>
      <c r="L681" s="154"/>
      <c r="M681" s="154"/>
    </row>
    <row r="682">
      <c r="J682" s="154"/>
      <c r="K682" s="154"/>
      <c r="L682" s="154"/>
      <c r="M682" s="154"/>
    </row>
    <row r="683">
      <c r="J683" s="154"/>
      <c r="K683" s="154"/>
      <c r="L683" s="154"/>
      <c r="M683" s="154"/>
    </row>
    <row r="684">
      <c r="J684" s="154"/>
      <c r="K684" s="154"/>
      <c r="L684" s="154"/>
      <c r="M684" s="154"/>
    </row>
    <row r="685">
      <c r="J685" s="154"/>
      <c r="K685" s="154"/>
      <c r="L685" s="154"/>
      <c r="M685" s="154"/>
    </row>
    <row r="686">
      <c r="J686" s="154"/>
      <c r="K686" s="154"/>
      <c r="L686" s="154"/>
      <c r="M686" s="154"/>
    </row>
    <row r="687">
      <c r="J687" s="154"/>
      <c r="K687" s="154"/>
      <c r="L687" s="154"/>
      <c r="M687" s="154"/>
    </row>
    <row r="688">
      <c r="J688" s="154"/>
      <c r="K688" s="154"/>
      <c r="L688" s="154"/>
      <c r="M688" s="154"/>
    </row>
    <row r="689">
      <c r="J689" s="154"/>
      <c r="K689" s="154"/>
      <c r="L689" s="154"/>
      <c r="M689" s="154"/>
    </row>
    <row r="690">
      <c r="J690" s="154"/>
      <c r="K690" s="154"/>
      <c r="L690" s="154"/>
      <c r="M690" s="154"/>
    </row>
    <row r="691">
      <c r="J691" s="154"/>
      <c r="K691" s="154"/>
      <c r="L691" s="154"/>
      <c r="M691" s="154"/>
    </row>
    <row r="692">
      <c r="J692" s="154"/>
      <c r="K692" s="154"/>
      <c r="L692" s="154"/>
      <c r="M692" s="154"/>
    </row>
    <row r="693">
      <c r="J693" s="154"/>
      <c r="K693" s="154"/>
      <c r="L693" s="154"/>
      <c r="M693" s="154"/>
    </row>
    <row r="694">
      <c r="J694" s="154"/>
      <c r="K694" s="154"/>
      <c r="L694" s="154"/>
      <c r="M694" s="154"/>
    </row>
    <row r="695">
      <c r="J695" s="154"/>
      <c r="K695" s="154"/>
      <c r="L695" s="154"/>
      <c r="M695" s="154"/>
    </row>
    <row r="696">
      <c r="J696" s="154"/>
      <c r="K696" s="154"/>
      <c r="L696" s="154"/>
      <c r="M696" s="154"/>
    </row>
    <row r="697">
      <c r="J697" s="154"/>
      <c r="K697" s="154"/>
      <c r="L697" s="154"/>
      <c r="M697" s="154"/>
    </row>
    <row r="698">
      <c r="J698" s="154"/>
      <c r="K698" s="154"/>
      <c r="L698" s="154"/>
      <c r="M698" s="154"/>
    </row>
    <row r="699">
      <c r="J699" s="154"/>
      <c r="K699" s="154"/>
      <c r="L699" s="154"/>
      <c r="M699" s="154"/>
    </row>
    <row r="700">
      <c r="J700" s="154"/>
      <c r="K700" s="154"/>
      <c r="L700" s="154"/>
      <c r="M700" s="154"/>
    </row>
    <row r="701">
      <c r="J701" s="154"/>
      <c r="K701" s="154"/>
      <c r="L701" s="154"/>
      <c r="M701" s="154"/>
    </row>
    <row r="702">
      <c r="J702" s="154"/>
      <c r="K702" s="154"/>
      <c r="L702" s="154"/>
      <c r="M702" s="154"/>
    </row>
    <row r="703">
      <c r="J703" s="154"/>
      <c r="K703" s="154"/>
      <c r="L703" s="154"/>
      <c r="M703" s="154"/>
    </row>
    <row r="704">
      <c r="J704" s="154"/>
      <c r="K704" s="154"/>
      <c r="L704" s="154"/>
      <c r="M704" s="154"/>
    </row>
    <row r="705">
      <c r="J705" s="154"/>
      <c r="K705" s="154"/>
      <c r="L705" s="154"/>
      <c r="M705" s="154"/>
    </row>
    <row r="706">
      <c r="J706" s="154"/>
      <c r="K706" s="154"/>
      <c r="L706" s="154"/>
      <c r="M706" s="154"/>
    </row>
    <row r="707">
      <c r="J707" s="154"/>
      <c r="K707" s="154"/>
      <c r="L707" s="154"/>
      <c r="M707" s="154"/>
    </row>
    <row r="708">
      <c r="J708" s="154"/>
      <c r="K708" s="154"/>
      <c r="L708" s="154"/>
      <c r="M708" s="154"/>
    </row>
    <row r="709">
      <c r="J709" s="154"/>
      <c r="K709" s="154"/>
      <c r="L709" s="154"/>
      <c r="M709" s="154"/>
    </row>
    <row r="710">
      <c r="J710" s="154"/>
      <c r="K710" s="154"/>
      <c r="L710" s="154"/>
      <c r="M710" s="154"/>
    </row>
    <row r="711">
      <c r="J711" s="154"/>
      <c r="K711" s="154"/>
      <c r="L711" s="154"/>
      <c r="M711" s="154"/>
    </row>
    <row r="712">
      <c r="J712" s="154"/>
      <c r="K712" s="154"/>
      <c r="L712" s="154"/>
      <c r="M712" s="154"/>
    </row>
    <row r="713">
      <c r="J713" s="154"/>
      <c r="K713" s="154"/>
      <c r="L713" s="154"/>
      <c r="M713" s="154"/>
    </row>
    <row r="714">
      <c r="J714" s="154"/>
      <c r="K714" s="154"/>
      <c r="L714" s="154"/>
      <c r="M714" s="154"/>
    </row>
    <row r="715">
      <c r="J715" s="154"/>
      <c r="K715" s="154"/>
      <c r="L715" s="154"/>
      <c r="M715" s="154"/>
    </row>
    <row r="716">
      <c r="J716" s="154"/>
      <c r="K716" s="154"/>
      <c r="L716" s="154"/>
      <c r="M716" s="154"/>
    </row>
    <row r="717">
      <c r="J717" s="154"/>
      <c r="K717" s="154"/>
      <c r="L717" s="154"/>
      <c r="M717" s="154"/>
    </row>
    <row r="718">
      <c r="J718" s="154"/>
      <c r="K718" s="154"/>
      <c r="L718" s="154"/>
      <c r="M718" s="154"/>
    </row>
    <row r="719">
      <c r="J719" s="154"/>
      <c r="K719" s="154"/>
      <c r="L719" s="154"/>
      <c r="M719" s="154"/>
    </row>
    <row r="720">
      <c r="J720" s="154"/>
      <c r="K720" s="154"/>
      <c r="L720" s="154"/>
      <c r="M720" s="154"/>
    </row>
    <row r="721">
      <c r="J721" s="154"/>
      <c r="K721" s="154"/>
      <c r="L721" s="154"/>
      <c r="M721" s="154"/>
    </row>
    <row r="722">
      <c r="J722" s="154"/>
      <c r="K722" s="154"/>
      <c r="L722" s="154"/>
      <c r="M722" s="154"/>
    </row>
    <row r="723">
      <c r="J723" s="154"/>
      <c r="K723" s="154"/>
      <c r="L723" s="154"/>
      <c r="M723" s="154"/>
    </row>
    <row r="724">
      <c r="J724" s="154"/>
      <c r="K724" s="154"/>
      <c r="L724" s="154"/>
      <c r="M724" s="154"/>
    </row>
    <row r="725">
      <c r="J725" s="154"/>
      <c r="K725" s="154"/>
      <c r="L725" s="154"/>
      <c r="M725" s="154"/>
    </row>
    <row r="726">
      <c r="J726" s="154"/>
      <c r="K726" s="154"/>
      <c r="L726" s="154"/>
      <c r="M726" s="154"/>
    </row>
    <row r="727">
      <c r="J727" s="154"/>
      <c r="K727" s="154"/>
      <c r="L727" s="154"/>
      <c r="M727" s="154"/>
    </row>
    <row r="728">
      <c r="J728" s="154"/>
      <c r="K728" s="154"/>
      <c r="L728" s="154"/>
      <c r="M728" s="154"/>
    </row>
    <row r="729">
      <c r="J729" s="154"/>
      <c r="K729" s="154"/>
      <c r="L729" s="154"/>
      <c r="M729" s="154"/>
    </row>
    <row r="730">
      <c r="J730" s="154"/>
      <c r="K730" s="154"/>
      <c r="L730" s="154"/>
      <c r="M730" s="154"/>
    </row>
    <row r="731">
      <c r="J731" s="154"/>
      <c r="K731" s="154"/>
      <c r="L731" s="154"/>
      <c r="M731" s="154"/>
    </row>
    <row r="732">
      <c r="J732" s="154"/>
      <c r="K732" s="154"/>
      <c r="L732" s="154"/>
      <c r="M732" s="154"/>
    </row>
    <row r="733">
      <c r="J733" s="154"/>
      <c r="K733" s="154"/>
      <c r="L733" s="154"/>
      <c r="M733" s="154"/>
    </row>
    <row r="734">
      <c r="J734" s="154"/>
      <c r="K734" s="154"/>
      <c r="L734" s="154"/>
      <c r="M734" s="154"/>
    </row>
    <row r="735">
      <c r="J735" s="154"/>
      <c r="K735" s="154"/>
      <c r="L735" s="154"/>
      <c r="M735" s="154"/>
    </row>
    <row r="736">
      <c r="J736" s="154"/>
      <c r="K736" s="154"/>
      <c r="L736" s="154"/>
      <c r="M736" s="154"/>
    </row>
    <row r="737">
      <c r="J737" s="154"/>
      <c r="K737" s="154"/>
      <c r="L737" s="154"/>
      <c r="M737" s="154"/>
    </row>
    <row r="738">
      <c r="J738" s="154"/>
      <c r="K738" s="154"/>
      <c r="L738" s="154"/>
      <c r="M738" s="154"/>
    </row>
    <row r="739">
      <c r="J739" s="154"/>
      <c r="K739" s="154"/>
      <c r="L739" s="154"/>
      <c r="M739" s="154"/>
    </row>
    <row r="740">
      <c r="J740" s="154"/>
      <c r="K740" s="154"/>
      <c r="L740" s="154"/>
      <c r="M740" s="154"/>
    </row>
    <row r="741">
      <c r="J741" s="154"/>
      <c r="K741" s="154"/>
      <c r="L741" s="154"/>
      <c r="M741" s="154"/>
    </row>
    <row r="742">
      <c r="J742" s="154"/>
      <c r="K742" s="154"/>
      <c r="L742" s="154"/>
      <c r="M742" s="154"/>
    </row>
    <row r="743">
      <c r="J743" s="154"/>
      <c r="K743" s="154"/>
      <c r="L743" s="154"/>
      <c r="M743" s="154"/>
    </row>
    <row r="744">
      <c r="J744" s="154"/>
      <c r="K744" s="154"/>
      <c r="L744" s="154"/>
      <c r="M744" s="154"/>
    </row>
    <row r="745">
      <c r="J745" s="154"/>
      <c r="K745" s="154"/>
      <c r="L745" s="154"/>
      <c r="M745" s="154"/>
    </row>
    <row r="746">
      <c r="J746" s="154"/>
      <c r="K746" s="154"/>
      <c r="L746" s="154"/>
      <c r="M746" s="154"/>
    </row>
    <row r="747">
      <c r="J747" s="154"/>
      <c r="K747" s="154"/>
      <c r="L747" s="154"/>
      <c r="M747" s="154"/>
    </row>
    <row r="748">
      <c r="J748" s="154"/>
      <c r="K748" s="154"/>
      <c r="L748" s="154"/>
      <c r="M748" s="154"/>
    </row>
    <row r="749">
      <c r="J749" s="154"/>
      <c r="K749" s="154"/>
      <c r="L749" s="154"/>
      <c r="M749" s="154"/>
    </row>
    <row r="750">
      <c r="J750" s="154"/>
      <c r="K750" s="154"/>
      <c r="L750" s="154"/>
      <c r="M750" s="154"/>
    </row>
    <row r="751">
      <c r="J751" s="154"/>
      <c r="K751" s="154"/>
      <c r="L751" s="154"/>
      <c r="M751" s="154"/>
    </row>
    <row r="752">
      <c r="J752" s="154"/>
      <c r="K752" s="154"/>
      <c r="L752" s="154"/>
      <c r="M752" s="154"/>
    </row>
    <row r="753">
      <c r="J753" s="154"/>
      <c r="K753" s="154"/>
      <c r="L753" s="154"/>
      <c r="M753" s="154"/>
    </row>
    <row r="754">
      <c r="J754" s="154"/>
      <c r="K754" s="154"/>
      <c r="L754" s="154"/>
      <c r="M754" s="154"/>
    </row>
    <row r="755">
      <c r="J755" s="154"/>
      <c r="K755" s="154"/>
      <c r="L755" s="154"/>
      <c r="M755" s="154"/>
    </row>
    <row r="756">
      <c r="J756" s="154"/>
      <c r="K756" s="154"/>
      <c r="L756" s="154"/>
      <c r="M756" s="154"/>
    </row>
    <row r="757">
      <c r="J757" s="154"/>
      <c r="K757" s="154"/>
      <c r="L757" s="154"/>
      <c r="M757" s="154"/>
    </row>
    <row r="758">
      <c r="J758" s="154"/>
      <c r="K758" s="154"/>
      <c r="L758" s="154"/>
      <c r="M758" s="154"/>
    </row>
    <row r="759">
      <c r="J759" s="154"/>
      <c r="K759" s="154"/>
      <c r="L759" s="154"/>
      <c r="M759" s="154"/>
    </row>
    <row r="760">
      <c r="J760" s="154"/>
      <c r="K760" s="154"/>
      <c r="L760" s="154"/>
      <c r="M760" s="154"/>
    </row>
    <row r="761">
      <c r="J761" s="154"/>
      <c r="K761" s="154"/>
      <c r="L761" s="154"/>
      <c r="M761" s="154"/>
    </row>
    <row r="762">
      <c r="J762" s="154"/>
      <c r="K762" s="154"/>
      <c r="L762" s="154"/>
      <c r="M762" s="154"/>
    </row>
    <row r="763">
      <c r="J763" s="154"/>
      <c r="K763" s="154"/>
      <c r="L763" s="154"/>
      <c r="M763" s="154"/>
    </row>
    <row r="764">
      <c r="J764" s="154"/>
      <c r="K764" s="154"/>
      <c r="L764" s="154"/>
      <c r="M764" s="154"/>
    </row>
    <row r="765">
      <c r="J765" s="154"/>
      <c r="K765" s="154"/>
      <c r="L765" s="154"/>
      <c r="M765" s="154"/>
    </row>
    <row r="766">
      <c r="J766" s="154"/>
      <c r="K766" s="154"/>
      <c r="L766" s="154"/>
      <c r="M766" s="154"/>
    </row>
    <row r="767">
      <c r="J767" s="154"/>
      <c r="K767" s="154"/>
      <c r="L767" s="154"/>
      <c r="M767" s="154"/>
    </row>
    <row r="768">
      <c r="J768" s="154"/>
      <c r="K768" s="154"/>
      <c r="L768" s="154"/>
      <c r="M768" s="154"/>
    </row>
    <row r="769">
      <c r="J769" s="154"/>
      <c r="K769" s="154"/>
      <c r="L769" s="154"/>
      <c r="M769" s="154"/>
    </row>
    <row r="770">
      <c r="J770" s="154"/>
      <c r="K770" s="154"/>
      <c r="L770" s="154"/>
      <c r="M770" s="154"/>
    </row>
    <row r="771">
      <c r="J771" s="154"/>
      <c r="K771" s="154"/>
      <c r="L771" s="154"/>
      <c r="M771" s="154"/>
    </row>
    <row r="772">
      <c r="J772" s="154"/>
      <c r="K772" s="154"/>
      <c r="L772" s="154"/>
      <c r="M772" s="154"/>
    </row>
    <row r="773">
      <c r="J773" s="154"/>
      <c r="K773" s="154"/>
      <c r="L773" s="154"/>
      <c r="M773" s="154"/>
    </row>
    <row r="774">
      <c r="J774" s="154"/>
      <c r="K774" s="154"/>
      <c r="L774" s="154"/>
      <c r="M774" s="154"/>
    </row>
    <row r="775">
      <c r="J775" s="154"/>
      <c r="K775" s="154"/>
      <c r="L775" s="154"/>
      <c r="M775" s="154"/>
    </row>
    <row r="776">
      <c r="J776" s="154"/>
      <c r="K776" s="154"/>
      <c r="L776" s="154"/>
      <c r="M776" s="154"/>
    </row>
    <row r="777">
      <c r="J777" s="154"/>
      <c r="K777" s="154"/>
      <c r="L777" s="154"/>
      <c r="M777" s="154"/>
    </row>
    <row r="778">
      <c r="J778" s="154"/>
      <c r="K778" s="154"/>
      <c r="L778" s="154"/>
      <c r="M778" s="154"/>
    </row>
    <row r="779">
      <c r="J779" s="154"/>
      <c r="K779" s="154"/>
      <c r="L779" s="154"/>
      <c r="M779" s="154"/>
    </row>
    <row r="780">
      <c r="J780" s="154"/>
      <c r="K780" s="154"/>
      <c r="L780" s="154"/>
      <c r="M780" s="154"/>
    </row>
    <row r="781">
      <c r="J781" s="154"/>
      <c r="K781" s="154"/>
      <c r="L781" s="154"/>
      <c r="M781" s="154"/>
    </row>
    <row r="782">
      <c r="J782" s="154"/>
      <c r="K782" s="154"/>
      <c r="L782" s="154"/>
      <c r="M782" s="154"/>
    </row>
    <row r="783">
      <c r="J783" s="154"/>
      <c r="K783" s="154"/>
      <c r="L783" s="154"/>
      <c r="M783" s="154"/>
    </row>
    <row r="784">
      <c r="J784" s="154"/>
      <c r="K784" s="154"/>
      <c r="L784" s="154"/>
      <c r="M784" s="154"/>
    </row>
    <row r="785">
      <c r="J785" s="154"/>
      <c r="K785" s="154"/>
      <c r="L785" s="154"/>
      <c r="M785" s="154"/>
    </row>
    <row r="786">
      <c r="J786" s="154"/>
      <c r="K786" s="154"/>
      <c r="L786" s="154"/>
      <c r="M786" s="154"/>
    </row>
    <row r="787">
      <c r="J787" s="154"/>
      <c r="K787" s="154"/>
      <c r="L787" s="154"/>
      <c r="M787" s="154"/>
    </row>
    <row r="788">
      <c r="J788" s="154"/>
      <c r="K788" s="154"/>
      <c r="L788" s="154"/>
      <c r="M788" s="154"/>
    </row>
    <row r="789">
      <c r="J789" s="154"/>
      <c r="K789" s="154"/>
      <c r="L789" s="154"/>
      <c r="M789" s="154"/>
    </row>
    <row r="790">
      <c r="J790" s="154"/>
      <c r="K790" s="154"/>
      <c r="L790" s="154"/>
      <c r="M790" s="154"/>
    </row>
    <row r="791">
      <c r="J791" s="154"/>
      <c r="K791" s="154"/>
      <c r="L791" s="154"/>
      <c r="M791" s="154"/>
    </row>
    <row r="792">
      <c r="J792" s="154"/>
      <c r="K792" s="154"/>
      <c r="L792" s="154"/>
      <c r="M792" s="154"/>
    </row>
    <row r="793">
      <c r="J793" s="154"/>
      <c r="K793" s="154"/>
      <c r="L793" s="154"/>
      <c r="M793" s="154"/>
    </row>
    <row r="794">
      <c r="J794" s="154"/>
      <c r="K794" s="154"/>
      <c r="L794" s="154"/>
      <c r="M794" s="154"/>
    </row>
    <row r="795">
      <c r="J795" s="154"/>
      <c r="K795" s="154"/>
      <c r="L795" s="154"/>
      <c r="M795" s="154"/>
    </row>
    <row r="796">
      <c r="J796" s="154"/>
      <c r="K796" s="154"/>
      <c r="L796" s="154"/>
      <c r="M796" s="154"/>
    </row>
    <row r="797">
      <c r="J797" s="154"/>
      <c r="K797" s="154"/>
      <c r="L797" s="154"/>
      <c r="M797" s="154"/>
    </row>
    <row r="798">
      <c r="J798" s="154"/>
      <c r="K798" s="154"/>
      <c r="L798" s="154"/>
      <c r="M798" s="154"/>
    </row>
    <row r="799">
      <c r="J799" s="154"/>
      <c r="K799" s="154"/>
      <c r="L799" s="154"/>
      <c r="M799" s="154"/>
    </row>
    <row r="800">
      <c r="J800" s="154"/>
      <c r="K800" s="154"/>
      <c r="L800" s="154"/>
      <c r="M800" s="154"/>
    </row>
    <row r="801">
      <c r="J801" s="154"/>
      <c r="K801" s="154"/>
      <c r="L801" s="154"/>
      <c r="M801" s="154"/>
    </row>
    <row r="802">
      <c r="J802" s="154"/>
      <c r="K802" s="154"/>
      <c r="L802" s="154"/>
      <c r="M802" s="154"/>
    </row>
    <row r="803">
      <c r="J803" s="154"/>
      <c r="K803" s="154"/>
      <c r="L803" s="154"/>
      <c r="M803" s="154"/>
    </row>
    <row r="804">
      <c r="J804" s="154"/>
      <c r="K804" s="154"/>
      <c r="L804" s="154"/>
      <c r="M804" s="154"/>
    </row>
    <row r="805">
      <c r="J805" s="154"/>
      <c r="K805" s="154"/>
      <c r="L805" s="154"/>
      <c r="M805" s="154"/>
    </row>
    <row r="806">
      <c r="J806" s="154"/>
      <c r="K806" s="154"/>
      <c r="L806" s="154"/>
      <c r="M806" s="154"/>
    </row>
    <row r="807">
      <c r="J807" s="154"/>
      <c r="K807" s="154"/>
      <c r="L807" s="154"/>
      <c r="M807" s="154"/>
    </row>
    <row r="808">
      <c r="J808" s="154"/>
      <c r="K808" s="154"/>
      <c r="L808" s="154"/>
      <c r="M808" s="154"/>
    </row>
    <row r="809">
      <c r="J809" s="154"/>
      <c r="K809" s="154"/>
      <c r="L809" s="154"/>
      <c r="M809" s="154"/>
    </row>
    <row r="810">
      <c r="J810" s="154"/>
      <c r="K810" s="154"/>
      <c r="L810" s="154"/>
      <c r="M810" s="154"/>
    </row>
    <row r="811">
      <c r="J811" s="154"/>
      <c r="K811" s="154"/>
      <c r="L811" s="154"/>
      <c r="M811" s="154"/>
    </row>
    <row r="812">
      <c r="J812" s="154"/>
      <c r="K812" s="154"/>
      <c r="L812" s="154"/>
      <c r="M812" s="154"/>
    </row>
    <row r="813">
      <c r="J813" s="154"/>
      <c r="K813" s="154"/>
      <c r="L813" s="154"/>
      <c r="M813" s="154"/>
    </row>
    <row r="814">
      <c r="J814" s="154"/>
      <c r="K814" s="154"/>
      <c r="L814" s="154"/>
      <c r="M814" s="154"/>
    </row>
    <row r="815">
      <c r="J815" s="154"/>
      <c r="K815" s="154"/>
      <c r="L815" s="154"/>
      <c r="M815" s="154"/>
    </row>
    <row r="816">
      <c r="J816" s="154"/>
      <c r="K816" s="154"/>
      <c r="L816" s="154"/>
      <c r="M816" s="154"/>
    </row>
    <row r="817">
      <c r="J817" s="154"/>
      <c r="K817" s="154"/>
      <c r="L817" s="154"/>
      <c r="M817" s="154"/>
    </row>
    <row r="818">
      <c r="J818" s="154"/>
      <c r="K818" s="154"/>
      <c r="L818" s="154"/>
      <c r="M818" s="154"/>
    </row>
    <row r="819">
      <c r="J819" s="154"/>
      <c r="K819" s="154"/>
      <c r="L819" s="154"/>
      <c r="M819" s="154"/>
    </row>
    <row r="820">
      <c r="J820" s="154"/>
      <c r="K820" s="154"/>
      <c r="L820" s="154"/>
      <c r="M820" s="154"/>
    </row>
    <row r="821">
      <c r="J821" s="154"/>
      <c r="K821" s="154"/>
      <c r="L821" s="154"/>
      <c r="M821" s="154"/>
    </row>
    <row r="822">
      <c r="J822" s="154"/>
      <c r="K822" s="154"/>
      <c r="L822" s="154"/>
      <c r="M822" s="154"/>
    </row>
    <row r="823">
      <c r="J823" s="154"/>
      <c r="K823" s="154"/>
      <c r="L823" s="154"/>
      <c r="M823" s="154"/>
    </row>
    <row r="824">
      <c r="J824" s="154"/>
      <c r="K824" s="154"/>
      <c r="L824" s="154"/>
      <c r="M824" s="154"/>
    </row>
    <row r="825">
      <c r="J825" s="154"/>
      <c r="K825" s="154"/>
      <c r="L825" s="154"/>
      <c r="M825" s="154"/>
    </row>
    <row r="826">
      <c r="J826" s="154"/>
      <c r="K826" s="154"/>
      <c r="L826" s="154"/>
      <c r="M826" s="154"/>
    </row>
    <row r="827">
      <c r="J827" s="154"/>
      <c r="K827" s="154"/>
      <c r="L827" s="154"/>
      <c r="M827" s="154"/>
    </row>
    <row r="828">
      <c r="J828" s="154"/>
      <c r="K828" s="154"/>
      <c r="L828" s="154"/>
      <c r="M828" s="154"/>
    </row>
    <row r="829">
      <c r="J829" s="154"/>
      <c r="K829" s="154"/>
      <c r="L829" s="154"/>
      <c r="M829" s="154"/>
    </row>
    <row r="830">
      <c r="J830" s="154"/>
      <c r="K830" s="154"/>
      <c r="L830" s="154"/>
      <c r="M830" s="154"/>
    </row>
    <row r="831">
      <c r="J831" s="154"/>
      <c r="K831" s="154"/>
      <c r="L831" s="154"/>
      <c r="M831" s="154"/>
    </row>
    <row r="832">
      <c r="J832" s="154"/>
      <c r="K832" s="154"/>
      <c r="L832" s="154"/>
      <c r="M832" s="154"/>
    </row>
    <row r="833">
      <c r="J833" s="154"/>
      <c r="K833" s="154"/>
      <c r="L833" s="154"/>
      <c r="M833" s="154"/>
    </row>
    <row r="834">
      <c r="J834" s="154"/>
      <c r="K834" s="154"/>
      <c r="L834" s="154"/>
      <c r="M834" s="154"/>
    </row>
    <row r="835">
      <c r="J835" s="154"/>
      <c r="K835" s="154"/>
      <c r="L835" s="154"/>
      <c r="M835" s="154"/>
    </row>
    <row r="836">
      <c r="J836" s="154"/>
      <c r="K836" s="154"/>
      <c r="L836" s="154"/>
      <c r="M836" s="154"/>
    </row>
    <row r="837">
      <c r="J837" s="154"/>
      <c r="K837" s="154"/>
      <c r="L837" s="154"/>
      <c r="M837" s="154"/>
    </row>
    <row r="838">
      <c r="J838" s="154"/>
      <c r="K838" s="154"/>
      <c r="L838" s="154"/>
      <c r="M838" s="154"/>
    </row>
    <row r="839">
      <c r="J839" s="154"/>
      <c r="K839" s="154"/>
      <c r="L839" s="154"/>
      <c r="M839" s="154"/>
    </row>
    <row r="840">
      <c r="J840" s="154"/>
      <c r="K840" s="154"/>
      <c r="L840" s="154"/>
      <c r="M840" s="154"/>
    </row>
    <row r="841">
      <c r="J841" s="154"/>
      <c r="K841" s="154"/>
      <c r="L841" s="154"/>
      <c r="M841" s="154"/>
    </row>
    <row r="842">
      <c r="J842" s="154"/>
      <c r="K842" s="154"/>
      <c r="L842" s="154"/>
      <c r="M842" s="154"/>
    </row>
    <row r="843">
      <c r="J843" s="154"/>
      <c r="K843" s="154"/>
      <c r="L843" s="154"/>
      <c r="M843" s="154"/>
    </row>
    <row r="844">
      <c r="J844" s="154"/>
      <c r="K844" s="154"/>
      <c r="L844" s="154"/>
      <c r="M844" s="154"/>
    </row>
    <row r="845">
      <c r="J845" s="154"/>
      <c r="K845" s="154"/>
      <c r="L845" s="154"/>
      <c r="M845" s="154"/>
    </row>
    <row r="846">
      <c r="J846" s="154"/>
      <c r="K846" s="154"/>
      <c r="L846" s="154"/>
      <c r="M846" s="154"/>
    </row>
    <row r="847">
      <c r="J847" s="154"/>
      <c r="K847" s="154"/>
      <c r="L847" s="154"/>
      <c r="M847" s="154"/>
    </row>
    <row r="848">
      <c r="J848" s="154"/>
      <c r="K848" s="154"/>
      <c r="L848" s="154"/>
      <c r="M848" s="154"/>
    </row>
    <row r="849">
      <c r="J849" s="154"/>
      <c r="K849" s="154"/>
      <c r="L849" s="154"/>
      <c r="M849" s="154"/>
    </row>
    <row r="850">
      <c r="J850" s="154"/>
      <c r="K850" s="154"/>
      <c r="L850" s="154"/>
      <c r="M850" s="154"/>
    </row>
    <row r="851">
      <c r="J851" s="154"/>
      <c r="K851" s="154"/>
      <c r="L851" s="154"/>
      <c r="M851" s="154"/>
    </row>
    <row r="852">
      <c r="J852" s="154"/>
      <c r="K852" s="154"/>
      <c r="L852" s="154"/>
      <c r="M852" s="154"/>
    </row>
    <row r="853">
      <c r="J853" s="154"/>
      <c r="K853" s="154"/>
      <c r="L853" s="154"/>
      <c r="M853" s="154"/>
    </row>
    <row r="854">
      <c r="J854" s="154"/>
      <c r="K854" s="154"/>
      <c r="L854" s="154"/>
      <c r="M854" s="154"/>
    </row>
    <row r="855">
      <c r="J855" s="154"/>
      <c r="K855" s="154"/>
      <c r="L855" s="154"/>
      <c r="M855" s="154"/>
    </row>
    <row r="856">
      <c r="J856" s="154"/>
      <c r="K856" s="154"/>
      <c r="L856" s="154"/>
      <c r="M856" s="154"/>
    </row>
    <row r="857">
      <c r="J857" s="154"/>
      <c r="K857" s="154"/>
      <c r="L857" s="154"/>
      <c r="M857" s="154"/>
    </row>
    <row r="858">
      <c r="J858" s="154"/>
      <c r="K858" s="154"/>
      <c r="L858" s="154"/>
      <c r="M858" s="154"/>
    </row>
    <row r="859">
      <c r="J859" s="154"/>
      <c r="K859" s="154"/>
      <c r="L859" s="154"/>
      <c r="M859" s="154"/>
    </row>
    <row r="860">
      <c r="J860" s="154"/>
      <c r="K860" s="154"/>
      <c r="L860" s="154"/>
      <c r="M860" s="154"/>
    </row>
    <row r="861">
      <c r="J861" s="154"/>
      <c r="K861" s="154"/>
      <c r="L861" s="154"/>
      <c r="M861" s="154"/>
    </row>
    <row r="862">
      <c r="J862" s="154"/>
      <c r="K862" s="154"/>
      <c r="L862" s="154"/>
      <c r="M862" s="154"/>
    </row>
    <row r="863">
      <c r="J863" s="154"/>
      <c r="K863" s="154"/>
      <c r="L863" s="154"/>
      <c r="M863" s="154"/>
    </row>
    <row r="864">
      <c r="J864" s="154"/>
      <c r="K864" s="154"/>
      <c r="L864" s="154"/>
      <c r="M864" s="154"/>
    </row>
    <row r="865">
      <c r="J865" s="154"/>
      <c r="K865" s="154"/>
      <c r="L865" s="154"/>
      <c r="M865" s="154"/>
    </row>
    <row r="866">
      <c r="J866" s="154"/>
      <c r="K866" s="154"/>
      <c r="L866" s="154"/>
      <c r="M866" s="154"/>
    </row>
    <row r="867">
      <c r="J867" s="154"/>
      <c r="K867" s="154"/>
      <c r="L867" s="154"/>
      <c r="M867" s="154"/>
    </row>
    <row r="868">
      <c r="J868" s="154"/>
      <c r="K868" s="154"/>
      <c r="L868" s="154"/>
      <c r="M868" s="154"/>
    </row>
    <row r="869">
      <c r="J869" s="154"/>
      <c r="K869" s="154"/>
      <c r="L869" s="154"/>
      <c r="M869" s="154"/>
    </row>
    <row r="870">
      <c r="J870" s="154"/>
      <c r="K870" s="154"/>
      <c r="L870" s="154"/>
      <c r="M870" s="154"/>
    </row>
    <row r="871">
      <c r="J871" s="154"/>
      <c r="K871" s="154"/>
      <c r="L871" s="154"/>
      <c r="M871" s="154"/>
    </row>
    <row r="872">
      <c r="J872" s="154"/>
      <c r="K872" s="154"/>
      <c r="L872" s="154"/>
      <c r="M872" s="154"/>
    </row>
    <row r="873">
      <c r="J873" s="154"/>
      <c r="K873" s="154"/>
      <c r="L873" s="154"/>
      <c r="M873" s="154"/>
    </row>
    <row r="874">
      <c r="J874" s="154"/>
      <c r="K874" s="154"/>
      <c r="L874" s="154"/>
      <c r="M874" s="154"/>
    </row>
    <row r="875">
      <c r="J875" s="154"/>
      <c r="K875" s="154"/>
      <c r="L875" s="154"/>
      <c r="M875" s="154"/>
    </row>
    <row r="876">
      <c r="J876" s="154"/>
      <c r="K876" s="154"/>
      <c r="L876" s="154"/>
      <c r="M876" s="154"/>
    </row>
    <row r="877">
      <c r="J877" s="154"/>
      <c r="K877" s="154"/>
      <c r="L877" s="154"/>
      <c r="M877" s="154"/>
    </row>
    <row r="878">
      <c r="J878" s="154"/>
      <c r="K878" s="154"/>
      <c r="L878" s="154"/>
      <c r="M878" s="154"/>
    </row>
    <row r="879">
      <c r="J879" s="154"/>
      <c r="K879" s="154"/>
      <c r="L879" s="154"/>
      <c r="M879" s="154"/>
    </row>
    <row r="880">
      <c r="J880" s="154"/>
      <c r="K880" s="154"/>
      <c r="L880" s="154"/>
      <c r="M880" s="154"/>
    </row>
    <row r="881">
      <c r="J881" s="154"/>
      <c r="K881" s="154"/>
      <c r="L881" s="154"/>
      <c r="M881" s="154"/>
    </row>
    <row r="882">
      <c r="J882" s="154"/>
      <c r="K882" s="154"/>
      <c r="L882" s="154"/>
      <c r="M882" s="154"/>
    </row>
    <row r="883">
      <c r="J883" s="154"/>
      <c r="K883" s="154"/>
      <c r="L883" s="154"/>
      <c r="M883" s="154"/>
    </row>
    <row r="884">
      <c r="J884" s="154"/>
      <c r="K884" s="154"/>
      <c r="L884" s="154"/>
      <c r="M884" s="154"/>
    </row>
    <row r="885">
      <c r="J885" s="154"/>
      <c r="K885" s="154"/>
      <c r="L885" s="154"/>
      <c r="M885" s="154"/>
    </row>
    <row r="886">
      <c r="J886" s="154"/>
      <c r="K886" s="154"/>
      <c r="L886" s="154"/>
      <c r="M886" s="154"/>
    </row>
    <row r="887">
      <c r="J887" s="154"/>
      <c r="K887" s="154"/>
      <c r="L887" s="154"/>
      <c r="M887" s="154"/>
    </row>
    <row r="888">
      <c r="J888" s="154"/>
      <c r="K888" s="154"/>
      <c r="L888" s="154"/>
      <c r="M888" s="154"/>
    </row>
    <row r="889">
      <c r="J889" s="154"/>
      <c r="K889" s="154"/>
      <c r="L889" s="154"/>
      <c r="M889" s="154"/>
    </row>
    <row r="890">
      <c r="J890" s="154"/>
      <c r="K890" s="154"/>
      <c r="L890" s="154"/>
      <c r="M890" s="154"/>
    </row>
    <row r="891">
      <c r="J891" s="154"/>
      <c r="K891" s="154"/>
      <c r="L891" s="154"/>
      <c r="M891" s="154"/>
    </row>
    <row r="892">
      <c r="J892" s="154"/>
      <c r="K892" s="154"/>
      <c r="L892" s="154"/>
      <c r="M892" s="154"/>
    </row>
    <row r="893">
      <c r="J893" s="154"/>
      <c r="K893" s="154"/>
      <c r="L893" s="154"/>
      <c r="M893" s="154"/>
    </row>
    <row r="894">
      <c r="J894" s="154"/>
      <c r="K894" s="154"/>
      <c r="L894" s="154"/>
      <c r="M894" s="154"/>
    </row>
    <row r="895">
      <c r="J895" s="154"/>
      <c r="K895" s="154"/>
      <c r="L895" s="154"/>
      <c r="M895" s="154"/>
    </row>
    <row r="896">
      <c r="J896" s="154"/>
      <c r="K896" s="154"/>
      <c r="L896" s="154"/>
      <c r="M896" s="154"/>
    </row>
    <row r="897">
      <c r="J897" s="154"/>
      <c r="K897" s="154"/>
      <c r="L897" s="154"/>
      <c r="M897" s="154"/>
    </row>
    <row r="898">
      <c r="J898" s="154"/>
      <c r="K898" s="154"/>
      <c r="L898" s="154"/>
      <c r="M898" s="154"/>
    </row>
    <row r="899">
      <c r="J899" s="154"/>
      <c r="K899" s="154"/>
      <c r="L899" s="154"/>
      <c r="M899" s="154"/>
    </row>
    <row r="900">
      <c r="J900" s="154"/>
      <c r="K900" s="154"/>
      <c r="L900" s="154"/>
      <c r="M900" s="154"/>
    </row>
    <row r="901">
      <c r="J901" s="154"/>
      <c r="K901" s="154"/>
      <c r="L901" s="154"/>
      <c r="M901" s="154"/>
    </row>
    <row r="902">
      <c r="J902" s="154"/>
      <c r="K902" s="154"/>
      <c r="L902" s="154"/>
      <c r="M902" s="154"/>
    </row>
    <row r="903">
      <c r="J903" s="154"/>
      <c r="K903" s="154"/>
      <c r="L903" s="154"/>
      <c r="M903" s="154"/>
    </row>
    <row r="904">
      <c r="J904" s="154"/>
      <c r="K904" s="154"/>
      <c r="L904" s="154"/>
      <c r="M904" s="154"/>
    </row>
    <row r="905">
      <c r="J905" s="154"/>
      <c r="K905" s="154"/>
      <c r="L905" s="154"/>
      <c r="M905" s="154"/>
    </row>
    <row r="906">
      <c r="J906" s="154"/>
      <c r="K906" s="154"/>
      <c r="L906" s="154"/>
      <c r="M906" s="154"/>
    </row>
    <row r="907">
      <c r="J907" s="154"/>
      <c r="K907" s="154"/>
      <c r="L907" s="154"/>
      <c r="M907" s="154"/>
    </row>
    <row r="908">
      <c r="J908" s="154"/>
      <c r="K908" s="154"/>
      <c r="L908" s="154"/>
      <c r="M908" s="154"/>
    </row>
    <row r="909">
      <c r="J909" s="154"/>
      <c r="K909" s="154"/>
      <c r="L909" s="154"/>
      <c r="M909" s="154"/>
    </row>
    <row r="910">
      <c r="J910" s="154"/>
      <c r="K910" s="154"/>
      <c r="L910" s="154"/>
      <c r="M910" s="154"/>
    </row>
    <row r="911">
      <c r="J911" s="154"/>
      <c r="K911" s="154"/>
      <c r="L911" s="154"/>
      <c r="M911" s="154"/>
    </row>
    <row r="912">
      <c r="J912" s="154"/>
      <c r="K912" s="154"/>
      <c r="L912" s="154"/>
      <c r="M912" s="154"/>
    </row>
    <row r="913">
      <c r="J913" s="154"/>
      <c r="K913" s="154"/>
      <c r="L913" s="154"/>
      <c r="M913" s="154"/>
    </row>
    <row r="914">
      <c r="J914" s="154"/>
      <c r="K914" s="154"/>
      <c r="L914" s="154"/>
      <c r="M914" s="154"/>
    </row>
    <row r="915">
      <c r="J915" s="154"/>
      <c r="K915" s="154"/>
      <c r="L915" s="154"/>
      <c r="M915" s="154"/>
    </row>
    <row r="916">
      <c r="J916" s="154"/>
      <c r="K916" s="154"/>
      <c r="L916" s="154"/>
      <c r="M916" s="154"/>
    </row>
    <row r="917">
      <c r="J917" s="154"/>
      <c r="K917" s="154"/>
      <c r="L917" s="154"/>
      <c r="M917" s="154"/>
    </row>
    <row r="918">
      <c r="J918" s="154"/>
      <c r="K918" s="154"/>
      <c r="L918" s="154"/>
      <c r="M918" s="154"/>
    </row>
    <row r="919">
      <c r="J919" s="154"/>
      <c r="K919" s="154"/>
      <c r="L919" s="154"/>
      <c r="M919" s="154"/>
    </row>
    <row r="920">
      <c r="J920" s="154"/>
      <c r="K920" s="154"/>
      <c r="L920" s="154"/>
      <c r="M920" s="154"/>
    </row>
    <row r="921">
      <c r="J921" s="154"/>
      <c r="K921" s="154"/>
      <c r="L921" s="154"/>
      <c r="M921" s="154"/>
    </row>
    <row r="922">
      <c r="J922" s="154"/>
      <c r="K922" s="154"/>
      <c r="L922" s="154"/>
      <c r="M922" s="154"/>
    </row>
    <row r="923">
      <c r="J923" s="154"/>
      <c r="K923" s="154"/>
      <c r="L923" s="154"/>
      <c r="M923" s="154"/>
    </row>
    <row r="924">
      <c r="J924" s="154"/>
      <c r="K924" s="154"/>
      <c r="L924" s="154"/>
      <c r="M924" s="154"/>
    </row>
    <row r="925">
      <c r="J925" s="154"/>
      <c r="K925" s="154"/>
      <c r="L925" s="154"/>
      <c r="M925" s="154"/>
    </row>
    <row r="926">
      <c r="J926" s="154"/>
      <c r="K926" s="154"/>
      <c r="L926" s="154"/>
      <c r="M926" s="154"/>
    </row>
    <row r="927">
      <c r="J927" s="154"/>
      <c r="K927" s="154"/>
      <c r="L927" s="154"/>
      <c r="M927" s="154"/>
    </row>
    <row r="928">
      <c r="J928" s="154"/>
      <c r="K928" s="154"/>
      <c r="L928" s="154"/>
      <c r="M928" s="154"/>
    </row>
    <row r="929">
      <c r="J929" s="154"/>
      <c r="K929" s="154"/>
      <c r="L929" s="154"/>
      <c r="M929" s="154"/>
    </row>
    <row r="930">
      <c r="J930" s="154"/>
      <c r="K930" s="154"/>
      <c r="L930" s="154"/>
      <c r="M930" s="154"/>
    </row>
    <row r="931">
      <c r="J931" s="154"/>
      <c r="K931" s="154"/>
      <c r="L931" s="154"/>
      <c r="M931" s="154"/>
    </row>
    <row r="932">
      <c r="J932" s="154"/>
      <c r="K932" s="154"/>
      <c r="L932" s="154"/>
      <c r="M932" s="154"/>
    </row>
    <row r="933">
      <c r="J933" s="154"/>
      <c r="K933" s="154"/>
      <c r="L933" s="154"/>
      <c r="M933" s="154"/>
    </row>
    <row r="934">
      <c r="J934" s="154"/>
      <c r="K934" s="154"/>
      <c r="L934" s="154"/>
      <c r="M934" s="154"/>
    </row>
    <row r="935">
      <c r="J935" s="154"/>
      <c r="K935" s="154"/>
      <c r="L935" s="154"/>
      <c r="M935" s="154"/>
    </row>
    <row r="936">
      <c r="J936" s="154"/>
      <c r="K936" s="154"/>
      <c r="L936" s="154"/>
      <c r="M936" s="154"/>
    </row>
    <row r="937">
      <c r="J937" s="154"/>
      <c r="K937" s="154"/>
      <c r="L937" s="154"/>
      <c r="M937" s="154"/>
    </row>
    <row r="938">
      <c r="J938" s="154"/>
      <c r="K938" s="154"/>
      <c r="L938" s="154"/>
      <c r="M938" s="154"/>
    </row>
    <row r="939">
      <c r="J939" s="154"/>
      <c r="K939" s="154"/>
      <c r="L939" s="154"/>
      <c r="M939" s="154"/>
    </row>
    <row r="940">
      <c r="J940" s="154"/>
      <c r="K940" s="154"/>
      <c r="L940" s="154"/>
      <c r="M940" s="154"/>
    </row>
    <row r="941">
      <c r="J941" s="154"/>
      <c r="K941" s="154"/>
      <c r="L941" s="154"/>
      <c r="M941" s="154"/>
    </row>
    <row r="942">
      <c r="J942" s="154"/>
      <c r="K942" s="154"/>
      <c r="L942" s="154"/>
      <c r="M942" s="154"/>
    </row>
    <row r="943">
      <c r="J943" s="154"/>
      <c r="K943" s="154"/>
      <c r="L943" s="154"/>
      <c r="M943" s="154"/>
    </row>
    <row r="944">
      <c r="J944" s="154"/>
      <c r="K944" s="154"/>
      <c r="L944" s="154"/>
      <c r="M944" s="154"/>
    </row>
    <row r="945">
      <c r="J945" s="154"/>
      <c r="K945" s="154"/>
      <c r="L945" s="154"/>
      <c r="M945" s="154"/>
    </row>
    <row r="946">
      <c r="J946" s="154"/>
      <c r="K946" s="154"/>
      <c r="L946" s="154"/>
      <c r="M946" s="154"/>
    </row>
    <row r="947">
      <c r="J947" s="154"/>
      <c r="K947" s="154"/>
      <c r="L947" s="154"/>
      <c r="M947" s="154"/>
    </row>
    <row r="948">
      <c r="J948" s="154"/>
      <c r="K948" s="154"/>
      <c r="L948" s="154"/>
      <c r="M948" s="154"/>
    </row>
    <row r="949">
      <c r="J949" s="154"/>
      <c r="K949" s="154"/>
      <c r="L949" s="154"/>
      <c r="M949" s="154"/>
    </row>
    <row r="950">
      <c r="J950" s="154"/>
      <c r="K950" s="154"/>
      <c r="L950" s="154"/>
      <c r="M950" s="154"/>
    </row>
    <row r="951">
      <c r="J951" s="154"/>
      <c r="K951" s="154"/>
      <c r="L951" s="154"/>
      <c r="M951" s="154"/>
    </row>
    <row r="952">
      <c r="J952" s="154"/>
      <c r="K952" s="154"/>
      <c r="L952" s="154"/>
      <c r="M952" s="154"/>
    </row>
    <row r="953">
      <c r="J953" s="154"/>
      <c r="K953" s="154"/>
      <c r="L953" s="154"/>
      <c r="M953" s="154"/>
    </row>
    <row r="954">
      <c r="J954" s="154"/>
      <c r="K954" s="154"/>
      <c r="L954" s="154"/>
      <c r="M954" s="154"/>
    </row>
    <row r="955">
      <c r="J955" s="154"/>
      <c r="K955" s="154"/>
      <c r="L955" s="154"/>
      <c r="M955" s="154"/>
    </row>
    <row r="956">
      <c r="J956" s="154"/>
      <c r="K956" s="154"/>
      <c r="L956" s="154"/>
      <c r="M956" s="154"/>
    </row>
    <row r="957">
      <c r="J957" s="154"/>
      <c r="K957" s="154"/>
      <c r="L957" s="154"/>
      <c r="M957" s="154"/>
    </row>
    <row r="958">
      <c r="J958" s="154"/>
      <c r="K958" s="154"/>
      <c r="L958" s="154"/>
      <c r="M958" s="154"/>
    </row>
    <row r="959">
      <c r="J959" s="154"/>
      <c r="K959" s="154"/>
      <c r="L959" s="154"/>
      <c r="M959" s="154"/>
    </row>
    <row r="960">
      <c r="J960" s="154"/>
      <c r="K960" s="154"/>
      <c r="L960" s="154"/>
      <c r="M960" s="154"/>
    </row>
    <row r="961">
      <c r="J961" s="154"/>
      <c r="K961" s="154"/>
      <c r="L961" s="154"/>
      <c r="M961" s="154"/>
    </row>
    <row r="962">
      <c r="J962" s="154"/>
      <c r="K962" s="154"/>
      <c r="L962" s="154"/>
      <c r="M962" s="154"/>
    </row>
    <row r="963">
      <c r="J963" s="154"/>
      <c r="K963" s="154"/>
      <c r="L963" s="154"/>
      <c r="M963" s="154"/>
    </row>
    <row r="964">
      <c r="J964" s="154"/>
      <c r="K964" s="154"/>
      <c r="L964" s="154"/>
      <c r="M964" s="154"/>
    </row>
    <row r="965">
      <c r="J965" s="154"/>
      <c r="K965" s="154"/>
      <c r="L965" s="154"/>
      <c r="M965" s="154"/>
    </row>
    <row r="966">
      <c r="J966" s="154"/>
      <c r="K966" s="154"/>
      <c r="L966" s="154"/>
      <c r="M966" s="154"/>
    </row>
    <row r="967">
      <c r="J967" s="154"/>
      <c r="K967" s="154"/>
      <c r="L967" s="154"/>
      <c r="M967" s="154"/>
    </row>
    <row r="968">
      <c r="J968" s="154"/>
      <c r="K968" s="154"/>
      <c r="L968" s="154"/>
      <c r="M968" s="154"/>
    </row>
    <row r="969">
      <c r="J969" s="154"/>
      <c r="K969" s="154"/>
      <c r="L969" s="154"/>
      <c r="M969" s="154"/>
    </row>
    <row r="970">
      <c r="J970" s="154"/>
      <c r="K970" s="154"/>
      <c r="L970" s="154"/>
      <c r="M970" s="154"/>
    </row>
    <row r="971">
      <c r="J971" s="154"/>
      <c r="K971" s="154"/>
      <c r="L971" s="154"/>
      <c r="M971" s="154"/>
    </row>
    <row r="972">
      <c r="J972" s="154"/>
      <c r="K972" s="154"/>
      <c r="L972" s="154"/>
      <c r="M972" s="154"/>
    </row>
    <row r="973">
      <c r="J973" s="154"/>
      <c r="K973" s="154"/>
      <c r="L973" s="154"/>
      <c r="M973" s="154"/>
    </row>
    <row r="974">
      <c r="J974" s="154"/>
      <c r="K974" s="154"/>
      <c r="L974" s="154"/>
      <c r="M974" s="154"/>
    </row>
    <row r="975">
      <c r="J975" s="154"/>
      <c r="K975" s="154"/>
      <c r="L975" s="154"/>
      <c r="M975" s="154"/>
    </row>
    <row r="976">
      <c r="J976" s="154"/>
      <c r="K976" s="154"/>
      <c r="L976" s="154"/>
      <c r="M976" s="154"/>
    </row>
    <row r="977">
      <c r="J977" s="154"/>
      <c r="K977" s="154"/>
      <c r="L977" s="154"/>
      <c r="M977" s="154"/>
    </row>
    <row r="978">
      <c r="J978" s="154"/>
      <c r="K978" s="154"/>
      <c r="L978" s="154"/>
      <c r="M978" s="154"/>
    </row>
    <row r="979">
      <c r="J979" s="154"/>
      <c r="K979" s="154"/>
      <c r="L979" s="154"/>
      <c r="M979" s="154"/>
    </row>
    <row r="980">
      <c r="J980" s="154"/>
      <c r="K980" s="154"/>
      <c r="L980" s="154"/>
      <c r="M980" s="154"/>
    </row>
    <row r="981">
      <c r="J981" s="154"/>
      <c r="K981" s="154"/>
      <c r="L981" s="154"/>
      <c r="M981" s="154"/>
    </row>
    <row r="982">
      <c r="J982" s="154"/>
      <c r="K982" s="154"/>
      <c r="L982" s="154"/>
      <c r="M982" s="154"/>
    </row>
    <row r="983">
      <c r="J983" s="154"/>
      <c r="K983" s="154"/>
      <c r="L983" s="154"/>
      <c r="M983" s="154"/>
    </row>
    <row r="984">
      <c r="J984" s="154"/>
      <c r="K984" s="154"/>
      <c r="L984" s="154"/>
      <c r="M984" s="154"/>
    </row>
    <row r="985">
      <c r="J985" s="154"/>
      <c r="K985" s="154"/>
      <c r="L985" s="154"/>
      <c r="M985" s="154"/>
    </row>
    <row r="986">
      <c r="J986" s="154"/>
      <c r="K986" s="154"/>
      <c r="L986" s="154"/>
      <c r="M986" s="154"/>
    </row>
    <row r="987">
      <c r="J987" s="154"/>
      <c r="K987" s="154"/>
      <c r="L987" s="154"/>
      <c r="M987" s="154"/>
    </row>
    <row r="988">
      <c r="J988" s="154"/>
      <c r="K988" s="154"/>
      <c r="L988" s="154"/>
      <c r="M988" s="154"/>
    </row>
    <row r="989">
      <c r="J989" s="154"/>
      <c r="K989" s="154"/>
      <c r="L989" s="154"/>
      <c r="M989" s="154"/>
    </row>
    <row r="990">
      <c r="J990" s="154"/>
      <c r="K990" s="154"/>
      <c r="L990" s="154"/>
      <c r="M990" s="154"/>
    </row>
    <row r="991">
      <c r="J991" s="154"/>
      <c r="K991" s="154"/>
      <c r="L991" s="154"/>
      <c r="M991" s="154"/>
    </row>
    <row r="992">
      <c r="J992" s="154"/>
      <c r="K992" s="154"/>
      <c r="L992" s="154"/>
      <c r="M992" s="154"/>
    </row>
    <row r="993">
      <c r="J993" s="154"/>
      <c r="K993" s="154"/>
      <c r="L993" s="154"/>
      <c r="M993" s="154"/>
    </row>
    <row r="994">
      <c r="J994" s="154"/>
      <c r="K994" s="154"/>
      <c r="L994" s="154"/>
      <c r="M994" s="154"/>
    </row>
    <row r="995">
      <c r="J995" s="154"/>
      <c r="K995" s="154"/>
      <c r="L995" s="154"/>
      <c r="M995" s="154"/>
    </row>
    <row r="996">
      <c r="J996" s="154"/>
      <c r="K996" s="154"/>
      <c r="L996" s="154"/>
      <c r="M996" s="154"/>
    </row>
    <row r="997">
      <c r="J997" s="154"/>
      <c r="K997" s="154"/>
      <c r="L997" s="154"/>
      <c r="M997" s="154"/>
    </row>
    <row r="998">
      <c r="J998" s="154"/>
      <c r="K998" s="154"/>
      <c r="L998" s="154"/>
      <c r="M998" s="154"/>
    </row>
    <row r="999">
      <c r="J999" s="154"/>
      <c r="K999" s="154"/>
      <c r="L999" s="154"/>
      <c r="M999" s="154"/>
    </row>
    <row r="1000">
      <c r="J1000" s="154"/>
      <c r="K1000" s="154"/>
      <c r="L1000" s="154"/>
      <c r="M1000" s="154"/>
    </row>
  </sheetData>
  <autoFilter ref="$A$1:$AZ$38">
    <filterColumn colId="8">
      <filters>
        <filter val="MH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45" t="s">
        <v>6286</v>
      </c>
      <c r="C3" s="45" t="s">
        <v>6287</v>
      </c>
    </row>
    <row r="4">
      <c r="A4" s="45" t="s">
        <v>3470</v>
      </c>
      <c r="B4" s="28">
        <f>COUNTIFS(Sheet9!H:H,"MS",Sheet9!I:I,"MS",Sheet9!K:K,"Qualified",Sheet9!M:M,"qualified")</f>
        <v>1</v>
      </c>
    </row>
    <row r="5">
      <c r="A5" s="45" t="s">
        <v>3491</v>
      </c>
      <c r="B5" s="28">
        <f>COUNTIFS(Sheet9!H:H,"MS",Sheet9!I:I,"Mh",Sheet9!K:K,"Qualified",Sheet9!M:M,"qualified")</f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5" t="s">
        <v>6288</v>
      </c>
      <c r="K1" s="45" t="s">
        <v>6289</v>
      </c>
    </row>
    <row r="2" hidden="1">
      <c r="A2" s="155" t="s">
        <v>428</v>
      </c>
      <c r="B2" s="28">
        <f>VLOOKUP(A2,'Analysis data'!B:K,9,false)</f>
        <v>0</v>
      </c>
      <c r="I2" s="156" t="s">
        <v>282</v>
      </c>
      <c r="J2" s="28">
        <f>VLOOKUP(I2,'Analysis data'!B:E,4,false)</f>
        <v>8.61</v>
      </c>
      <c r="K2" s="28">
        <f>VLOOKUP(I2,'Analysis data'!B:K,9,false)</f>
        <v>0</v>
      </c>
    </row>
    <row r="3" hidden="1">
      <c r="A3" s="157" t="s">
        <v>444</v>
      </c>
      <c r="B3" s="28">
        <f>VLOOKUP(A3,'Analysis data'!B:K,9,false)</f>
        <v>0</v>
      </c>
      <c r="I3" s="158" t="s">
        <v>379</v>
      </c>
      <c r="J3" s="28">
        <f>VLOOKUP(I3,'Analysis data'!B:E,4,false)</f>
        <v>8.21</v>
      </c>
      <c r="K3" s="28">
        <f>VLOOKUP(I3,'Analysis data'!B:K,9,false)</f>
        <v>0</v>
      </c>
    </row>
    <row r="4">
      <c r="A4" s="157" t="s">
        <v>719</v>
      </c>
      <c r="B4" s="28">
        <f>VLOOKUP(A4,'Analysis data'!B:K,9,false)</f>
        <v>0</v>
      </c>
      <c r="I4" s="156" t="s">
        <v>4597</v>
      </c>
      <c r="J4" s="28">
        <f>VLOOKUP(I4,'Analysis data'!B:E,4,false)</f>
        <v>7.62</v>
      </c>
      <c r="K4" s="28">
        <f>VLOOKUP(I4,'Analysis data'!B:K,9,false)</f>
        <v>0</v>
      </c>
    </row>
    <row r="5">
      <c r="A5" s="157" t="s">
        <v>536</v>
      </c>
      <c r="B5" s="28">
        <f>VLOOKUP(A5,'Analysis data'!B:K,9,false)</f>
        <v>0</v>
      </c>
      <c r="I5" s="159" t="s">
        <v>92</v>
      </c>
      <c r="J5" s="28">
        <f>VLOOKUP(I5,'Analysis data'!B:E,4,false)</f>
        <v>8.04</v>
      </c>
      <c r="K5" s="28">
        <f>VLOOKUP(I5,'Analysis data'!B:K,9,false)</f>
        <v>0</v>
      </c>
    </row>
    <row r="6" hidden="1">
      <c r="A6" s="157" t="s">
        <v>814</v>
      </c>
      <c r="B6" s="28">
        <f>VLOOKUP(A6,'Analysis data'!B:K,9,false)</f>
        <v>0</v>
      </c>
      <c r="I6" s="156" t="s">
        <v>383</v>
      </c>
      <c r="J6" s="28">
        <f>VLOOKUP(I6,'Analysis data'!B:E,4,false)</f>
        <v>9.21</v>
      </c>
      <c r="K6" s="28">
        <f>VLOOKUP(I6,'Analysis data'!B:K,9,false)</f>
        <v>0</v>
      </c>
    </row>
    <row r="7" hidden="1">
      <c r="A7" s="157" t="s">
        <v>6290</v>
      </c>
      <c r="B7" s="28">
        <f>VLOOKUP(A7,'Analysis data'!B:K,9,false)</f>
        <v>0</v>
      </c>
      <c r="I7" s="159" t="s">
        <v>49</v>
      </c>
      <c r="J7" s="28">
        <f>VLOOKUP(I7,'Analysis data'!B:E,4,false)</f>
        <v>7.92</v>
      </c>
      <c r="K7" s="28">
        <f>VLOOKUP(I7,'Analysis data'!B:K,9,false)</f>
        <v>0</v>
      </c>
    </row>
    <row r="8" hidden="1">
      <c r="A8" s="157" t="s">
        <v>627</v>
      </c>
      <c r="B8" s="28">
        <f>VLOOKUP(A8,'Analysis data'!B:K,9,false)</f>
        <v>0</v>
      </c>
      <c r="I8" s="160" t="s">
        <v>6291</v>
      </c>
      <c r="J8" s="28">
        <f>VLOOKUP(I8,'Analysis data'!B:E,4,false)</f>
        <v>8.6</v>
      </c>
      <c r="K8" s="28">
        <f>VLOOKUP(I8,'Analysis data'!B:K,9,false)</f>
        <v>0</v>
      </c>
    </row>
    <row r="9" hidden="1">
      <c r="A9" s="157" t="s">
        <v>446</v>
      </c>
      <c r="B9" s="28">
        <f>VLOOKUP(A9,'Analysis data'!B:K,9,false)</f>
        <v>0</v>
      </c>
      <c r="I9" s="159" t="s">
        <v>123</v>
      </c>
      <c r="J9" s="28">
        <f>VLOOKUP(I9,'Analysis data'!B:E,4,false)</f>
        <v>9.16</v>
      </c>
      <c r="K9" s="28">
        <f>VLOOKUP(I9,'Analysis data'!B:K,9,false)</f>
        <v>0</v>
      </c>
    </row>
    <row r="10" hidden="1">
      <c r="A10" s="157" t="s">
        <v>285</v>
      </c>
      <c r="B10" s="28">
        <f>VLOOKUP(A10,'Analysis data'!B:K,9,false)</f>
        <v>0</v>
      </c>
      <c r="I10" s="160" t="s">
        <v>6292</v>
      </c>
      <c r="J10" s="28" t="str">
        <f>VLOOKUP(I10,'Analysis data'!B:E,4,false)</f>
        <v/>
      </c>
      <c r="K10" s="28" t="str">
        <f>VLOOKUP(I10,'Analysis data'!B:K,9,false)</f>
        <v>SKILL DUNIA</v>
      </c>
    </row>
    <row r="11" hidden="1">
      <c r="A11" s="157" t="s">
        <v>301</v>
      </c>
      <c r="B11" s="28">
        <f>VLOOKUP(A11,'Analysis data'!B:K,9,false)</f>
        <v>0</v>
      </c>
      <c r="I11" s="159" t="s">
        <v>808</v>
      </c>
      <c r="J11" s="28">
        <f>VLOOKUP(I11,'Analysis data'!B:E,4,false)</f>
        <v>9.09</v>
      </c>
      <c r="K11" s="28">
        <f>VLOOKUP(I11,'Analysis data'!B:K,9,false)</f>
        <v>0</v>
      </c>
    </row>
    <row r="12">
      <c r="A12" s="157" t="s">
        <v>781</v>
      </c>
      <c r="B12" s="28">
        <f>VLOOKUP(A12,'Analysis data'!B:K,9,false)</f>
        <v>0</v>
      </c>
      <c r="I12" s="156" t="s">
        <v>6293</v>
      </c>
      <c r="J12" s="28">
        <f>VLOOKUP(I12,'Analysis data'!B:E,4,false)</f>
        <v>8.28</v>
      </c>
      <c r="K12" s="28">
        <f>VLOOKUP(I12,'Analysis data'!B:K,9,false)</f>
        <v>0</v>
      </c>
    </row>
    <row r="13" hidden="1">
      <c r="A13" s="157" t="s">
        <v>311</v>
      </c>
      <c r="B13" s="28">
        <f>VLOOKUP(A13,'Analysis data'!B:K,9,false)</f>
        <v>0</v>
      </c>
      <c r="I13" s="159" t="s">
        <v>311</v>
      </c>
      <c r="J13" s="28">
        <f>VLOOKUP(I13,'Analysis data'!B:E,4,false)</f>
        <v>9.18</v>
      </c>
      <c r="K13" s="28">
        <f>VLOOKUP(I13,'Analysis data'!B:K,9,false)</f>
        <v>0</v>
      </c>
    </row>
    <row r="14">
      <c r="A14" s="157" t="s">
        <v>895</v>
      </c>
      <c r="B14" s="28">
        <f>VLOOKUP(A14,'Analysis data'!B:K,9,false)</f>
        <v>0</v>
      </c>
      <c r="I14" s="160" t="s">
        <v>832</v>
      </c>
      <c r="J14" s="28">
        <f>VLOOKUP(I14,'Analysis data'!B:E,4,false)</f>
        <v>7.22</v>
      </c>
      <c r="K14" s="28" t="str">
        <f>VLOOKUP(I14,'Analysis data'!B:K,9,false)</f>
        <v>SKILL DUNIA</v>
      </c>
    </row>
    <row r="15" hidden="1">
      <c r="A15" s="157" t="s">
        <v>200</v>
      </c>
      <c r="B15" s="28">
        <f>VLOOKUP(A15,'Analysis data'!B:K,9,false)</f>
        <v>0</v>
      </c>
      <c r="I15" s="158" t="s">
        <v>329</v>
      </c>
      <c r="J15" s="28">
        <f>VLOOKUP(I15,'Analysis data'!B:E,4,false)</f>
        <v>9.04</v>
      </c>
      <c r="K15" s="28">
        <f>VLOOKUP(I15,'Analysis data'!B:K,9,false)</f>
        <v>0</v>
      </c>
    </row>
    <row r="16" hidden="1">
      <c r="A16" s="157" t="s">
        <v>705</v>
      </c>
      <c r="B16" s="28">
        <f>VLOOKUP(A16,'Analysis data'!B:K,9,false)</f>
        <v>0</v>
      </c>
      <c r="I16" s="160" t="s">
        <v>863</v>
      </c>
      <c r="J16" s="28">
        <f>VLOOKUP(I16,'Analysis data'!B:E,4,false)</f>
        <v>8.97</v>
      </c>
      <c r="K16" s="28">
        <f>VLOOKUP(I16,'Analysis data'!B:K,9,false)</f>
        <v>0</v>
      </c>
    </row>
    <row r="17">
      <c r="A17" s="157" t="s">
        <v>555</v>
      </c>
      <c r="B17" s="28">
        <f>VLOOKUP(A17,'Analysis data'!B:K,9,false)</f>
        <v>0</v>
      </c>
      <c r="I17" s="159" t="s">
        <v>4668</v>
      </c>
      <c r="J17" s="28">
        <f>VLOOKUP(I17,'Analysis data'!B:E,4,false)</f>
        <v>7.46</v>
      </c>
      <c r="K17" s="28">
        <f>VLOOKUP(I17,'Analysis data'!B:K,9,false)</f>
        <v>0</v>
      </c>
    </row>
    <row r="18">
      <c r="A18" s="157" t="s">
        <v>454</v>
      </c>
      <c r="B18" s="28">
        <f>VLOOKUP(A18,'Analysis data'!B:K,9,false)</f>
        <v>0</v>
      </c>
      <c r="I18" s="156" t="s">
        <v>549</v>
      </c>
      <c r="J18" s="28">
        <f>VLOOKUP(I18,'Analysis data'!B:E,4,false)</f>
        <v>8.14</v>
      </c>
      <c r="K18" s="28">
        <f>VLOOKUP(I18,'Analysis data'!B:K,9,false)</f>
        <v>0</v>
      </c>
    </row>
    <row r="19" hidden="1">
      <c r="A19" s="157" t="s">
        <v>334</v>
      </c>
      <c r="B19" s="28">
        <f>VLOOKUP(A19,'Analysis data'!B:K,9,false)</f>
        <v>0</v>
      </c>
      <c r="I19" s="158" t="s">
        <v>667</v>
      </c>
      <c r="J19" s="28">
        <f>VLOOKUP(I19,'Analysis data'!B:E,4,false)</f>
        <v>8.45</v>
      </c>
      <c r="K19" s="28" t="str">
        <f>VLOOKUP(I19,'Analysis data'!B:K,9,false)</f>
        <v>SKILL DUNIA &amp; VIDYANTH</v>
      </c>
    </row>
    <row r="20" hidden="1">
      <c r="A20" s="157" t="s">
        <v>6292</v>
      </c>
      <c r="B20" s="28" t="str">
        <f>VLOOKUP(A20,'Analysis data'!B:K,9,false)</f>
        <v>SKILL DUNIA</v>
      </c>
      <c r="I20" s="160" t="s">
        <v>211</v>
      </c>
      <c r="J20" s="28">
        <f>VLOOKUP(I20,'Analysis data'!B:E,4,false)</f>
        <v>8.69</v>
      </c>
      <c r="K20" s="28">
        <f>VLOOKUP(I20,'Analysis data'!B:K,9,false)</f>
        <v>0</v>
      </c>
    </row>
    <row r="21">
      <c r="A21" s="157" t="s">
        <v>452</v>
      </c>
      <c r="B21" s="28">
        <f>VLOOKUP(A21,'Analysis data'!B:K,9,false)</f>
        <v>0</v>
      </c>
      <c r="I21" s="158" t="s">
        <v>4691</v>
      </c>
      <c r="J21" s="28">
        <f>VLOOKUP(I21,'Analysis data'!B:E,4,false)</f>
        <v>7.71</v>
      </c>
      <c r="K21" s="28">
        <f>VLOOKUP(I21,'Analysis data'!B:K,9,false)</f>
        <v>0</v>
      </c>
    </row>
    <row r="22">
      <c r="A22" s="157" t="s">
        <v>660</v>
      </c>
      <c r="B22" s="28">
        <f>VLOOKUP(A22,'Analysis data'!B:K,9,false)</f>
        <v>0</v>
      </c>
      <c r="I22" s="160" t="s">
        <v>134</v>
      </c>
      <c r="J22" s="28">
        <f>VLOOKUP(I22,'Analysis data'!B:E,4,false)</f>
        <v>8.25</v>
      </c>
      <c r="K22" s="28">
        <f>VLOOKUP(I22,'Analysis data'!B:K,9,false)</f>
        <v>0</v>
      </c>
    </row>
    <row r="23">
      <c r="A23" s="157" t="s">
        <v>3911</v>
      </c>
      <c r="B23" s="28">
        <f>VLOOKUP(A23,'Analysis data'!B:K,9,false)</f>
        <v>0</v>
      </c>
      <c r="I23" s="158" t="s">
        <v>4522</v>
      </c>
      <c r="J23" s="28">
        <f>VLOOKUP(I23,'Analysis data'!B:E,4,false)</f>
        <v>7.93</v>
      </c>
      <c r="K23" s="28">
        <f>VLOOKUP(I23,'Analysis data'!B:K,9,false)</f>
        <v>0</v>
      </c>
    </row>
    <row r="24">
      <c r="A24" s="157" t="s">
        <v>120</v>
      </c>
      <c r="B24" s="28">
        <f>VLOOKUP(A24,'Analysis data'!B:K,9,false)</f>
        <v>0</v>
      </c>
      <c r="I24" s="160" t="s">
        <v>6294</v>
      </c>
      <c r="J24" s="28" t="str">
        <f>VLOOKUP(I24,'Analysis data'!B:E,4,false)</f>
        <v/>
      </c>
      <c r="K24" s="28">
        <f>VLOOKUP(I24,'Analysis data'!B:K,9,false)</f>
        <v>0</v>
      </c>
    </row>
    <row r="25">
      <c r="A25" s="157" t="s">
        <v>586</v>
      </c>
      <c r="B25" s="28">
        <f>VLOOKUP(A25,'Analysis data'!B:K,9,false)</f>
        <v>0</v>
      </c>
      <c r="I25" s="159" t="s">
        <v>3911</v>
      </c>
      <c r="J25" s="28">
        <f>VLOOKUP(I25,'Analysis data'!B:E,4,false)</f>
        <v>8.49</v>
      </c>
      <c r="K25" s="28">
        <f>VLOOKUP(I25,'Analysis data'!B:K,9,false)</f>
        <v>0</v>
      </c>
    </row>
    <row r="26" hidden="1">
      <c r="A26" s="157" t="s">
        <v>506</v>
      </c>
      <c r="B26" s="28">
        <f>VLOOKUP(A26,'Analysis data'!B:K,9,false)</f>
        <v>0</v>
      </c>
      <c r="I26" s="156" t="s">
        <v>3914</v>
      </c>
      <c r="J26" s="28">
        <f>VLOOKUP(I26,'Analysis data'!B:E,4,false)</f>
        <v>8.26</v>
      </c>
      <c r="K26" s="28">
        <f>VLOOKUP(I26,'Analysis data'!B:K,9,false)</f>
        <v>0</v>
      </c>
    </row>
    <row r="27">
      <c r="A27" s="157" t="s">
        <v>741</v>
      </c>
      <c r="B27" s="28">
        <f>VLOOKUP(A27,'Analysis data'!B:K,9,false)</f>
        <v>0</v>
      </c>
      <c r="I27" s="158" t="s">
        <v>4468</v>
      </c>
      <c r="J27" s="28">
        <f>VLOOKUP(I27,'Analysis data'!B:E,4,false)</f>
        <v>7.69</v>
      </c>
      <c r="K27" s="28">
        <f>VLOOKUP(I27,'Analysis data'!B:K,9,false)</f>
        <v>0</v>
      </c>
    </row>
    <row r="28" hidden="1">
      <c r="A28" s="157" t="s">
        <v>779</v>
      </c>
      <c r="B28" s="28">
        <f>VLOOKUP(A28,'Analysis data'!B:K,9,false)</f>
        <v>0</v>
      </c>
      <c r="I28" s="156" t="s">
        <v>6295</v>
      </c>
      <c r="J28" s="28">
        <f>VLOOKUP(I28,'Analysis data'!B:E,4,false)</f>
        <v>8.25</v>
      </c>
      <c r="K28" s="28">
        <f>VLOOKUP(I28,'Analysis data'!B:K,9,false)</f>
        <v>0</v>
      </c>
    </row>
    <row r="29" hidden="1">
      <c r="A29" s="157" t="s">
        <v>458</v>
      </c>
      <c r="B29" s="28">
        <f>VLOOKUP(A29,'Analysis data'!B:K,9,false)</f>
        <v>0</v>
      </c>
      <c r="I29" s="159" t="s">
        <v>6296</v>
      </c>
      <c r="J29" s="28" t="str">
        <f>VLOOKUP(I29,'Analysis data'!B:E,4,false)</f>
        <v/>
      </c>
      <c r="K29" s="28">
        <f>VLOOKUP(I29,'Analysis data'!B:K,9,false)</f>
        <v>0</v>
      </c>
    </row>
    <row r="30" hidden="1">
      <c r="A30" s="157" t="s">
        <v>235</v>
      </c>
      <c r="B30" s="28">
        <f>VLOOKUP(A30,'Analysis data'!B:K,9,false)</f>
        <v>0</v>
      </c>
      <c r="I30" s="156" t="s">
        <v>612</v>
      </c>
      <c r="J30" s="28">
        <f>VLOOKUP(I30,'Analysis data'!B:E,4,false)</f>
        <v>8.77</v>
      </c>
      <c r="K30" s="28">
        <f>VLOOKUP(I30,'Analysis data'!B:K,9,false)</f>
        <v>0</v>
      </c>
    </row>
    <row r="31" hidden="1">
      <c r="A31" s="157" t="s">
        <v>887</v>
      </c>
      <c r="B31" s="28">
        <f>VLOOKUP(A31,'Analysis data'!B:K,9,false)</f>
        <v>0</v>
      </c>
      <c r="I31" s="159" t="s">
        <v>895</v>
      </c>
      <c r="J31" s="28">
        <f>VLOOKUP(I31,'Analysis data'!B:E,4,false)</f>
        <v>8.57</v>
      </c>
      <c r="K31" s="28">
        <f>VLOOKUP(I31,'Analysis data'!B:K,9,false)</f>
        <v>0</v>
      </c>
    </row>
    <row r="32">
      <c r="A32" s="157" t="s">
        <v>562</v>
      </c>
      <c r="B32" s="28">
        <f>VLOOKUP(A32,'Analysis data'!B:K,9,false)</f>
        <v>0</v>
      </c>
      <c r="I32" s="160" t="s">
        <v>6297</v>
      </c>
      <c r="J32" s="28">
        <f>VLOOKUP(I32,'Analysis data'!B:E,4,false)</f>
        <v>7.52</v>
      </c>
      <c r="K32" s="28">
        <f>VLOOKUP(I32,'Analysis data'!B:K,9,false)</f>
        <v>0</v>
      </c>
    </row>
    <row r="33">
      <c r="A33" s="157" t="s">
        <v>162</v>
      </c>
      <c r="B33" s="28">
        <f>VLOOKUP(A33,'Analysis data'!B:K,9,false)</f>
        <v>0</v>
      </c>
      <c r="I33" s="159" t="s">
        <v>3259</v>
      </c>
      <c r="J33" s="28" t="str">
        <f>VLOOKUP(I33,'Analysis data'!B:E,4,false)</f>
        <v>#N/A</v>
      </c>
      <c r="K33" s="28" t="str">
        <f>VLOOKUP(I33,'Analysis data'!B:K,9,false)</f>
        <v>#N/A</v>
      </c>
    </row>
    <row r="34" hidden="1">
      <c r="A34" s="157" t="s">
        <v>6298</v>
      </c>
      <c r="B34" s="28">
        <f>VLOOKUP(A34,'Analysis data'!B:K,9,false)</f>
        <v>0</v>
      </c>
      <c r="I34" s="156" t="s">
        <v>155</v>
      </c>
      <c r="J34" s="28">
        <f>VLOOKUP(I34,'Analysis data'!B:E,4,false)</f>
        <v>8.19</v>
      </c>
      <c r="K34" s="28">
        <f>VLOOKUP(I34,'Analysis data'!B:K,9,false)</f>
        <v>0</v>
      </c>
    </row>
    <row r="35">
      <c r="A35" s="157" t="s">
        <v>287</v>
      </c>
      <c r="B35" s="28">
        <f>VLOOKUP(A35,'Analysis data'!B:K,9,false)</f>
        <v>0</v>
      </c>
      <c r="I35" s="159" t="s">
        <v>602</v>
      </c>
      <c r="J35" s="28">
        <f>VLOOKUP(I35,'Analysis data'!B:E,4,false)</f>
        <v>7.69</v>
      </c>
      <c r="K35" s="28">
        <f>VLOOKUP(I35,'Analysis data'!B:K,9,false)</f>
        <v>0</v>
      </c>
    </row>
    <row r="36" hidden="1">
      <c r="A36" s="157" t="s">
        <v>817</v>
      </c>
      <c r="B36" s="28">
        <f>VLOOKUP(A36,'Analysis data'!B:K,9,false)</f>
        <v>0</v>
      </c>
      <c r="I36" s="156" t="s">
        <v>142</v>
      </c>
      <c r="J36" s="28">
        <f>VLOOKUP(I36,'Analysis data'!B:E,4,false)</f>
        <v>8.74</v>
      </c>
      <c r="K36" s="28">
        <f>VLOOKUP(I36,'Analysis data'!B:K,9,false)</f>
        <v>0</v>
      </c>
    </row>
    <row r="37" hidden="1">
      <c r="A37" s="157" t="s">
        <v>345</v>
      </c>
      <c r="B37" s="28">
        <f>VLOOKUP(A37,'Analysis data'!B:K,9,false)</f>
        <v>0</v>
      </c>
      <c r="I37" s="159" t="s">
        <v>764</v>
      </c>
      <c r="J37" s="28">
        <f>VLOOKUP(I37,'Analysis data'!B:E,4,false)</f>
        <v>8.65</v>
      </c>
      <c r="K37" s="28">
        <f>VLOOKUP(I37,'Analysis data'!B:K,9,false)</f>
        <v>0</v>
      </c>
    </row>
    <row r="38" hidden="1">
      <c r="A38" s="157" t="s">
        <v>911</v>
      </c>
      <c r="B38" s="28" t="str">
        <f>VLOOKUP(A38,'Analysis data'!B:K,9,false)</f>
        <v>SKILL DUNIA</v>
      </c>
      <c r="I38" s="156" t="s">
        <v>6299</v>
      </c>
      <c r="J38" s="28" t="str">
        <f>VLOOKUP(I38,'Analysis data'!B:E,4,false)</f>
        <v/>
      </c>
      <c r="K38" s="28">
        <f>VLOOKUP(I38,'Analysis data'!B:K,9,false)</f>
        <v>0</v>
      </c>
    </row>
    <row r="39" hidden="1">
      <c r="A39" s="157" t="s">
        <v>419</v>
      </c>
      <c r="B39" s="28">
        <f>VLOOKUP(A39,'Analysis data'!B:K,9,false)</f>
        <v>0</v>
      </c>
      <c r="I39" s="158" t="s">
        <v>6300</v>
      </c>
      <c r="J39" s="28">
        <f>VLOOKUP(I39,'Analysis data'!B:E,4,false)</f>
        <v>7.73</v>
      </c>
      <c r="K39" s="28">
        <f>VLOOKUP(I39,'Analysis data'!B:K,9,false)</f>
        <v>0</v>
      </c>
    </row>
    <row r="40" hidden="1">
      <c r="A40" s="157" t="s">
        <v>893</v>
      </c>
      <c r="B40" s="28">
        <f>VLOOKUP(A40,'Analysis data'!B:K,9,false)</f>
        <v>0</v>
      </c>
      <c r="I40" s="160" t="s">
        <v>6301</v>
      </c>
      <c r="J40" s="28">
        <f>VLOOKUP(I40,'Analysis data'!B:E,4,false)</f>
        <v>8.95</v>
      </c>
      <c r="K40" s="28">
        <f>VLOOKUP(I40,'Analysis data'!B:K,9,false)</f>
        <v>0</v>
      </c>
    </row>
    <row r="41">
      <c r="A41" s="161"/>
      <c r="B41" s="28" t="str">
        <f>VLOOKUP(A41,'Analysis data'!B:K,9,false)</f>
        <v>#N/A</v>
      </c>
      <c r="I41" s="159" t="s">
        <v>3504</v>
      </c>
      <c r="J41" s="28">
        <f>VLOOKUP(I41,'Analysis data'!B:E,4,false)</f>
        <v>8.82</v>
      </c>
      <c r="K41" s="28">
        <f>VLOOKUP(I41,'Analysis data'!B:K,9,false)</f>
        <v>0</v>
      </c>
    </row>
    <row r="42" hidden="1">
      <c r="A42" s="161"/>
      <c r="B42" s="28" t="str">
        <f>VLOOKUP(A42,'Analysis data'!B:K,9,false)</f>
        <v>#N/A</v>
      </c>
      <c r="I42" s="156" t="s">
        <v>195</v>
      </c>
      <c r="J42" s="28">
        <f>VLOOKUP(I42,'Analysis data'!B:E,4,false)</f>
        <v>9.26</v>
      </c>
      <c r="K42" s="28">
        <f>VLOOKUP(I42,'Analysis data'!B:K,9,false)</f>
        <v>0</v>
      </c>
    </row>
    <row r="43" hidden="1">
      <c r="A43" s="161"/>
      <c r="B43" s="28" t="str">
        <f>VLOOKUP(A43,'Analysis data'!B:K,9,false)</f>
        <v>#N/A</v>
      </c>
      <c r="I43" s="159" t="s">
        <v>226</v>
      </c>
      <c r="J43" s="28">
        <f>VLOOKUP(I43,'Analysis data'!B:E,4,false)</f>
        <v>8.33</v>
      </c>
      <c r="K43" s="28">
        <f>VLOOKUP(I43,'Analysis data'!B:K,9,false)</f>
        <v>0</v>
      </c>
    </row>
    <row r="44">
      <c r="A44" s="161"/>
      <c r="B44" s="28" t="str">
        <f>VLOOKUP(A44,'Analysis data'!B:K,9,false)</f>
        <v>#N/A</v>
      </c>
      <c r="I44" s="160" t="s">
        <v>577</v>
      </c>
      <c r="J44" s="28">
        <f>VLOOKUP(I44,'Analysis data'!B:E,4,false)</f>
        <v>8.16</v>
      </c>
      <c r="K44" s="28">
        <f>VLOOKUP(I44,'Analysis data'!B:K,9,false)</f>
        <v>0</v>
      </c>
    </row>
    <row r="45" hidden="1">
      <c r="A45" s="161"/>
      <c r="B45" s="28" t="str">
        <f>VLOOKUP(A45,'Analysis data'!B:K,9,false)</f>
        <v>#N/A</v>
      </c>
      <c r="I45" s="158" t="s">
        <v>6302</v>
      </c>
      <c r="J45" s="28">
        <f>VLOOKUP(I45,'Analysis data'!B:E,4,false)</f>
        <v>8.07</v>
      </c>
      <c r="K45" s="28">
        <f>VLOOKUP(I45,'Analysis data'!B:K,9,false)</f>
        <v>0</v>
      </c>
    </row>
    <row r="46">
      <c r="A46" s="161"/>
      <c r="B46" s="28" t="str">
        <f>VLOOKUP(A46,'Analysis data'!B:K,9,false)</f>
        <v>#N/A</v>
      </c>
      <c r="I46" s="160" t="s">
        <v>410</v>
      </c>
      <c r="J46" s="28">
        <f>VLOOKUP(I46,'Analysis data'!B:E,4,false)</f>
        <v>8.83</v>
      </c>
      <c r="K46" s="28">
        <f>VLOOKUP(I46,'Analysis data'!B:K,9,false)</f>
        <v>0</v>
      </c>
    </row>
    <row r="47">
      <c r="A47" s="161"/>
      <c r="B47" s="28" t="str">
        <f>VLOOKUP(A47,'Analysis data'!B:K,9,false)</f>
        <v>#N/A</v>
      </c>
      <c r="I47" s="158" t="s">
        <v>244</v>
      </c>
      <c r="J47" s="28">
        <f>VLOOKUP(I47,'Analysis data'!B:E,4,false)</f>
        <v>7.47</v>
      </c>
      <c r="K47" s="28">
        <f>VLOOKUP(I47,'Analysis data'!B:K,9,false)</f>
        <v>0</v>
      </c>
    </row>
    <row r="48" hidden="1">
      <c r="A48" s="162"/>
      <c r="B48" s="28" t="str">
        <f>VLOOKUP(A48,'Analysis data'!B:K,9,false)</f>
        <v>#N/A</v>
      </c>
      <c r="I48" s="160" t="s">
        <v>6303</v>
      </c>
      <c r="J48" s="28">
        <f>VLOOKUP(I48,'Analysis data'!B:E,4,false)</f>
        <v>8.31</v>
      </c>
      <c r="K48" s="28" t="str">
        <f>VLOOKUP(I48,'Analysis data'!B:K,9,false)</f>
        <v>VIAPLUS</v>
      </c>
    </row>
    <row r="49" hidden="1">
      <c r="A49" s="162"/>
      <c r="B49" s="28" t="str">
        <f>VLOOKUP(A49,'Analysis data'!B:K,9,false)</f>
        <v>#N/A</v>
      </c>
      <c r="I49" s="158" t="s">
        <v>468</v>
      </c>
      <c r="J49" s="28">
        <f>VLOOKUP(I49,'Analysis data'!B:E,4,false)</f>
        <v>8.68</v>
      </c>
      <c r="K49" s="28">
        <f>VLOOKUP(I49,'Analysis data'!B:K,9,false)</f>
        <v>0</v>
      </c>
    </row>
    <row r="50" hidden="1">
      <c r="A50" s="163"/>
      <c r="B50" s="28" t="str">
        <f>VLOOKUP(A50,'Analysis data'!B:K,9,false)</f>
        <v>#N/A</v>
      </c>
      <c r="I50" s="160" t="s">
        <v>753</v>
      </c>
      <c r="J50" s="28">
        <f>VLOOKUP(I50,'Analysis data'!B:E,4,false)</f>
        <v>8.75</v>
      </c>
      <c r="K50" s="28">
        <f>VLOOKUP(I50,'Analysis data'!B:K,9,false)</f>
        <v>0</v>
      </c>
    </row>
    <row r="51" hidden="1">
      <c r="A51" s="162"/>
      <c r="B51" s="28" t="str">
        <f>VLOOKUP(A51,'Analysis data'!B:K,9,false)</f>
        <v>#N/A</v>
      </c>
      <c r="I51" s="158" t="s">
        <v>357</v>
      </c>
      <c r="J51" s="28">
        <f>VLOOKUP(I51,'Analysis data'!B:E,4,false)</f>
        <v>8.63</v>
      </c>
      <c r="K51" s="28" t="str">
        <f>VLOOKUP(I51,'Analysis data'!B:K,9,false)</f>
        <v>&amp; VIDYANTH</v>
      </c>
    </row>
    <row r="52" hidden="1">
      <c r="A52" s="163"/>
      <c r="B52" s="28" t="str">
        <f>VLOOKUP(A52,'Analysis data'!B:K,9,false)</f>
        <v>#N/A</v>
      </c>
      <c r="I52" s="156" t="s">
        <v>6304</v>
      </c>
      <c r="J52" s="28" t="str">
        <f>VLOOKUP(I52,'Analysis data'!B:E,4,false)</f>
        <v/>
      </c>
      <c r="K52" s="28">
        <f>VLOOKUP(I52,'Analysis data'!B:K,9,false)</f>
        <v>0</v>
      </c>
    </row>
    <row r="53" hidden="1">
      <c r="A53" s="163"/>
      <c r="B53" s="28" t="str">
        <f>VLOOKUP(A53,'Analysis data'!B:K,9,false)</f>
        <v>#N/A</v>
      </c>
      <c r="I53" s="159" t="s">
        <v>793</v>
      </c>
      <c r="J53" s="28">
        <f>VLOOKUP(I53,'Analysis data'!B:E,4,false)</f>
        <v>8.81</v>
      </c>
      <c r="K53" s="28">
        <f>VLOOKUP(I53,'Analysis data'!B:K,9,false)</f>
        <v>0</v>
      </c>
    </row>
    <row r="54" hidden="1">
      <c r="A54" s="163"/>
      <c r="B54" s="28" t="str">
        <f>VLOOKUP(A54,'Analysis data'!B:K,9,false)</f>
        <v>#N/A</v>
      </c>
      <c r="I54" s="156" t="s">
        <v>53</v>
      </c>
      <c r="J54" s="28">
        <f>VLOOKUP(I54,'Analysis data'!B:E,4,false)</f>
        <v>8.59</v>
      </c>
      <c r="K54" s="28">
        <f>VLOOKUP(I54,'Analysis data'!B:K,9,false)</f>
        <v>0</v>
      </c>
    </row>
    <row r="55" hidden="1">
      <c r="A55" s="163"/>
      <c r="B55" s="28" t="str">
        <f>VLOOKUP(A55,'Analysis data'!B:K,9,false)</f>
        <v>#N/A</v>
      </c>
      <c r="I55" s="159" t="s">
        <v>6305</v>
      </c>
      <c r="J55" s="28">
        <f>VLOOKUP(I55,'Analysis data'!B:E,4,false)</f>
        <v>8.74</v>
      </c>
      <c r="K55" s="28">
        <f>VLOOKUP(I55,'Analysis data'!B:K,9,false)</f>
        <v>0</v>
      </c>
    </row>
    <row r="56">
      <c r="A56" s="162"/>
      <c r="B56" s="28" t="str">
        <f>VLOOKUP(A56,'Analysis data'!B:K,9,false)</f>
        <v>#N/A</v>
      </c>
      <c r="I56" s="156" t="s">
        <v>4607</v>
      </c>
      <c r="J56" s="28" t="str">
        <f>VLOOKUP(I56,'Analysis data'!B:E,4,false)</f>
        <v/>
      </c>
      <c r="K56" s="28">
        <f>VLOOKUP(I56,'Analysis data'!B:K,9,false)</f>
        <v>0</v>
      </c>
    </row>
    <row r="57">
      <c r="A57" s="163"/>
      <c r="B57" s="28" t="str">
        <f>VLOOKUP(A57,'Analysis data'!B:K,9,false)</f>
        <v>#N/A</v>
      </c>
      <c r="I57" s="158" t="s">
        <v>3496</v>
      </c>
      <c r="J57" s="28">
        <f>VLOOKUP(I57,'Analysis data'!B:E,4,false)</f>
        <v>7.75</v>
      </c>
      <c r="K57" s="28">
        <f>VLOOKUP(I57,'Analysis data'!B:K,9,false)</f>
        <v>0</v>
      </c>
    </row>
    <row r="58">
      <c r="A58" s="162"/>
      <c r="B58" s="28" t="str">
        <f>VLOOKUP(A58,'Analysis data'!B:K,9,false)</f>
        <v>#N/A</v>
      </c>
      <c r="I58" s="160" t="s">
        <v>4476</v>
      </c>
      <c r="J58" s="28" t="str">
        <f>VLOOKUP(I58,'Analysis data'!B:E,4,false)</f>
        <v/>
      </c>
      <c r="K58" s="28">
        <f>VLOOKUP(I58,'Analysis data'!B:K,9,false)</f>
        <v>0</v>
      </c>
    </row>
    <row r="59">
      <c r="A59" s="163"/>
      <c r="B59" s="28" t="str">
        <f>VLOOKUP(A59,'Analysis data'!B:K,9,false)</f>
        <v>#N/A</v>
      </c>
      <c r="I59" s="158" t="s">
        <v>218</v>
      </c>
      <c r="J59" s="28">
        <f>VLOOKUP(I59,'Analysis data'!B:E,4,false)</f>
        <v>8.1</v>
      </c>
      <c r="K59" s="28">
        <f>VLOOKUP(I59,'Analysis data'!B:K,9,false)</f>
        <v>0</v>
      </c>
    </row>
    <row r="60" hidden="1">
      <c r="A60" s="162"/>
      <c r="B60" s="28" t="str">
        <f>VLOOKUP(A60,'Analysis data'!B:K,9,false)</f>
        <v>#N/A</v>
      </c>
      <c r="I60" s="160" t="s">
        <v>6306</v>
      </c>
      <c r="J60" s="28">
        <f>VLOOKUP(I60,'Analysis data'!B:E,4,false)</f>
        <v>8.12</v>
      </c>
      <c r="K60" s="28">
        <f>VLOOKUP(I60,'Analysis data'!B:K,9,false)</f>
        <v>0</v>
      </c>
    </row>
    <row r="61" hidden="1">
      <c r="A61" s="162"/>
      <c r="B61" s="28" t="str">
        <f>VLOOKUP(A61,'Analysis data'!B:K,9,false)</f>
        <v>#N/A</v>
      </c>
      <c r="I61" s="159" t="s">
        <v>6307</v>
      </c>
      <c r="J61" s="28">
        <f>VLOOKUP(I61,'Analysis data'!B:E,4,false)</f>
        <v>8.22</v>
      </c>
      <c r="K61" s="28">
        <f>VLOOKUP(I61,'Analysis data'!B:K,9,false)</f>
        <v>0</v>
      </c>
    </row>
    <row r="62" hidden="1">
      <c r="A62" s="162"/>
      <c r="B62" s="28" t="str">
        <f>VLOOKUP(A62,'Analysis data'!B:K,9,false)</f>
        <v>#N/A</v>
      </c>
      <c r="I62" s="156" t="s">
        <v>3505</v>
      </c>
      <c r="J62" s="28">
        <f>VLOOKUP(I62,'Analysis data'!B:E,4,false)</f>
        <v>8.05</v>
      </c>
      <c r="K62" s="28">
        <f>VLOOKUP(I62,'Analysis data'!B:K,9,false)</f>
        <v>0</v>
      </c>
    </row>
    <row r="63" hidden="1">
      <c r="A63" s="162"/>
      <c r="B63" s="28" t="str">
        <f>VLOOKUP(A63,'Analysis data'!B:K,9,false)</f>
        <v>#N/A</v>
      </c>
      <c r="I63" s="158" t="s">
        <v>642</v>
      </c>
      <c r="J63" s="28" t="str">
        <f>VLOOKUP(I63,'Analysis data'!B:E,4,false)</f>
        <v/>
      </c>
      <c r="K63" s="28" t="str">
        <f>VLOOKUP(I63,'Analysis data'!B:K,9,false)</f>
        <v>VIDYANTH</v>
      </c>
    </row>
    <row r="64">
      <c r="A64" s="163"/>
      <c r="B64" s="28" t="str">
        <f>VLOOKUP(A64,'Analysis data'!B:K,9,false)</f>
        <v>#N/A</v>
      </c>
      <c r="I64" s="156" t="s">
        <v>438</v>
      </c>
      <c r="J64" s="28">
        <f>VLOOKUP(I64,'Analysis data'!B:E,4,false)</f>
        <v>7.88</v>
      </c>
      <c r="K64" s="28" t="str">
        <f>VLOOKUP(I64,'Analysis data'!B:K,9,false)</f>
        <v>SKILL DUNIA</v>
      </c>
    </row>
    <row r="65" hidden="1">
      <c r="A65" s="162"/>
      <c r="B65" s="28" t="str">
        <f>VLOOKUP(A65,'Analysis data'!B:K,9,false)</f>
        <v>#N/A</v>
      </c>
      <c r="I65" s="159" t="s">
        <v>4538</v>
      </c>
      <c r="J65" s="28" t="str">
        <f>VLOOKUP(I65,'Analysis data'!B:E,4,false)</f>
        <v/>
      </c>
      <c r="K65" s="28">
        <f>VLOOKUP(I65,'Analysis data'!B:K,9,false)</f>
        <v>0</v>
      </c>
    </row>
    <row r="66" hidden="1">
      <c r="A66" s="163"/>
      <c r="B66" s="28" t="str">
        <f>VLOOKUP(A66,'Analysis data'!B:K,9,false)</f>
        <v>#N/A</v>
      </c>
      <c r="I66" s="160" t="s">
        <v>676</v>
      </c>
      <c r="J66" s="28">
        <f>VLOOKUP(I66,'Analysis data'!B:E,4,false)</f>
        <v>9.09</v>
      </c>
      <c r="K66" s="28">
        <f>VLOOKUP(I66,'Analysis data'!B:K,9,false)</f>
        <v>0</v>
      </c>
    </row>
    <row r="67" hidden="1">
      <c r="A67" s="162"/>
      <c r="B67" s="28" t="str">
        <f>VLOOKUP(A67,'Analysis data'!B:K,9,false)</f>
        <v>#N/A</v>
      </c>
      <c r="I67" s="158" t="s">
        <v>6308</v>
      </c>
      <c r="J67" s="28">
        <f>VLOOKUP(I67,'Analysis data'!B:E,4,false)</f>
        <v>8.6</v>
      </c>
      <c r="K67" s="28">
        <f>VLOOKUP(I67,'Analysis data'!B:K,9,false)</f>
        <v>0</v>
      </c>
    </row>
    <row r="68" hidden="1">
      <c r="A68" s="163"/>
      <c r="B68" s="28" t="str">
        <f>VLOOKUP(A68,'Analysis data'!B:K,9,false)</f>
        <v>#N/A</v>
      </c>
      <c r="I68" s="160" t="s">
        <v>6309</v>
      </c>
      <c r="J68" s="28">
        <f>VLOOKUP(I68,'Analysis data'!B:E,4,false)</f>
        <v>8.37</v>
      </c>
      <c r="K68" s="28">
        <f>VLOOKUP(I68,'Analysis data'!B:K,9,false)</f>
        <v>0</v>
      </c>
    </row>
    <row r="69" hidden="1">
      <c r="A69" s="162"/>
      <c r="B69" s="28" t="str">
        <f>VLOOKUP(A69,'Analysis data'!B:K,9,false)</f>
        <v>#N/A</v>
      </c>
      <c r="I69" s="158" t="s">
        <v>934</v>
      </c>
      <c r="J69" s="28">
        <f>VLOOKUP(I69,'Analysis data'!B:E,4,false)</f>
        <v>8.52</v>
      </c>
      <c r="K69" s="28">
        <f>VLOOKUP(I69,'Analysis data'!B:K,9,false)</f>
        <v>0</v>
      </c>
    </row>
    <row r="70">
      <c r="A70" s="162"/>
      <c r="B70" s="28" t="str">
        <f>VLOOKUP(A70,'Analysis data'!B:K,9,false)</f>
        <v>#N/A</v>
      </c>
      <c r="I70" s="156" t="s">
        <v>607</v>
      </c>
      <c r="J70" s="28">
        <f>VLOOKUP(I70,'Analysis data'!B:E,4,false)</f>
        <v>8.07</v>
      </c>
      <c r="K70" s="28">
        <f>VLOOKUP(I70,'Analysis data'!B:K,9,false)</f>
        <v>0</v>
      </c>
    </row>
    <row r="71" hidden="1">
      <c r="A71" s="163"/>
      <c r="B71" s="28" t="str">
        <f>VLOOKUP(A71,'Analysis data'!B:K,9,false)</f>
        <v>#N/A</v>
      </c>
      <c r="I71" s="159" t="s">
        <v>171</v>
      </c>
      <c r="J71" s="28">
        <f>VLOOKUP(I71,'Analysis data'!B:E,4,false)</f>
        <v>9.07</v>
      </c>
      <c r="K71" s="28" t="str">
        <f>VLOOKUP(I71,'Analysis data'!B:K,9,false)</f>
        <v>FRUGAL TESTING</v>
      </c>
    </row>
    <row r="72" hidden="1">
      <c r="A72" s="163"/>
      <c r="B72" s="28" t="str">
        <f>VLOOKUP(A72,'Analysis data'!B:K,9,false)</f>
        <v>#N/A</v>
      </c>
      <c r="I72" s="156" t="s">
        <v>719</v>
      </c>
      <c r="J72" s="28">
        <f>VLOOKUP(I72,'Analysis data'!B:E,4,false)</f>
        <v>8.78</v>
      </c>
      <c r="K72" s="28">
        <f>VLOOKUP(I72,'Analysis data'!B:K,9,false)</f>
        <v>0</v>
      </c>
    </row>
    <row r="73">
      <c r="A73" s="163"/>
      <c r="B73" s="28" t="str">
        <f>VLOOKUP(A73,'Analysis data'!B:K,9,false)</f>
        <v>#N/A</v>
      </c>
      <c r="I73" s="159" t="s">
        <v>202</v>
      </c>
      <c r="J73" s="28">
        <f>VLOOKUP(I73,'Analysis data'!B:E,4,false)</f>
        <v>7.75</v>
      </c>
      <c r="K73" s="28">
        <f>VLOOKUP(I73,'Analysis data'!B:K,9,false)</f>
        <v>0</v>
      </c>
    </row>
    <row r="74" hidden="1">
      <c r="A74" s="162"/>
      <c r="B74" s="28" t="str">
        <f>VLOOKUP(A74,'Analysis data'!B:K,9,false)</f>
        <v>#N/A</v>
      </c>
      <c r="I74" s="156" t="s">
        <v>407</v>
      </c>
      <c r="J74" s="28">
        <f>VLOOKUP(I74,'Analysis data'!B:E,4,false)</f>
        <v>7.89</v>
      </c>
      <c r="K74" s="28">
        <f>VLOOKUP(I74,'Analysis data'!B:K,9,false)</f>
        <v>0</v>
      </c>
    </row>
    <row r="75">
      <c r="A75" s="162"/>
      <c r="B75" s="28" t="str">
        <f>VLOOKUP(A75,'Analysis data'!B:K,9,false)</f>
        <v>#N/A</v>
      </c>
      <c r="I75" s="158" t="s">
        <v>5766</v>
      </c>
      <c r="J75" s="28" t="str">
        <f>VLOOKUP(I75,'Analysis data'!B:E,4,false)</f>
        <v/>
      </c>
      <c r="K75" s="28">
        <f>VLOOKUP(I75,'Analysis data'!B:K,9,false)</f>
        <v>0</v>
      </c>
    </row>
    <row r="76">
      <c r="A76" s="163"/>
      <c r="B76" s="28" t="str">
        <f>VLOOKUP(A76,'Analysis data'!B:K,9,false)</f>
        <v>#N/A</v>
      </c>
      <c r="I76" s="156" t="s">
        <v>637</v>
      </c>
      <c r="J76" s="28">
        <f>VLOOKUP(I76,'Analysis data'!B:E,4,false)</f>
        <v>8.26</v>
      </c>
      <c r="K76" s="28" t="str">
        <f>VLOOKUP(I76,'Analysis data'!B:K,9,false)</f>
        <v>SKILL DUNIA</v>
      </c>
    </row>
    <row r="77" hidden="1">
      <c r="A77" s="163"/>
      <c r="B77" s="28" t="str">
        <f>VLOOKUP(A77,'Analysis data'!B:K,9,false)</f>
        <v>#N/A</v>
      </c>
      <c r="I77" s="159" t="s">
        <v>276</v>
      </c>
      <c r="J77" s="28">
        <f>VLOOKUP(I77,'Analysis data'!B:E,4,false)</f>
        <v>8.27</v>
      </c>
      <c r="K77" s="28">
        <f>VLOOKUP(I77,'Analysis data'!B:K,9,false)</f>
        <v>0</v>
      </c>
    </row>
    <row r="78" hidden="1">
      <c r="A78" s="162"/>
      <c r="B78" s="28" t="str">
        <f>VLOOKUP(A78,'Analysis data'!B:K,9,false)</f>
        <v>#N/A</v>
      </c>
      <c r="I78" s="160" t="s">
        <v>6310</v>
      </c>
      <c r="J78" s="28">
        <f>VLOOKUP(I78,'Analysis data'!B:E,4,false)</f>
        <v>8.33</v>
      </c>
      <c r="K78" s="28">
        <f>VLOOKUP(I78,'Analysis data'!B:K,9,false)</f>
        <v>0</v>
      </c>
    </row>
    <row r="79" hidden="1">
      <c r="A79" s="163"/>
      <c r="B79" s="28" t="str">
        <f>VLOOKUP(A79,'Analysis data'!B:K,9,false)</f>
        <v>#N/A</v>
      </c>
      <c r="I79" s="158" t="s">
        <v>169</v>
      </c>
      <c r="J79" s="28">
        <f>VLOOKUP(I79,'Analysis data'!B:E,4,false)</f>
        <v>8.18</v>
      </c>
      <c r="K79" s="28">
        <f>VLOOKUP(I79,'Analysis data'!B:K,9,false)</f>
        <v>0</v>
      </c>
    </row>
    <row r="80">
      <c r="A80" s="162"/>
      <c r="B80" s="28" t="str">
        <f>VLOOKUP(A80,'Analysis data'!B:K,9,false)</f>
        <v>#N/A</v>
      </c>
      <c r="I80" s="156" t="s">
        <v>925</v>
      </c>
      <c r="J80" s="28">
        <f>VLOOKUP(I80,'Analysis data'!B:E,4,false)</f>
        <v>7.6</v>
      </c>
      <c r="K80" s="28">
        <f>VLOOKUP(I80,'Analysis data'!B:K,9,false)</f>
        <v>0</v>
      </c>
    </row>
    <row r="81">
      <c r="A81" s="162"/>
      <c r="B81" s="28" t="str">
        <f>VLOOKUP(A81,'Analysis data'!B:K,9,false)</f>
        <v>#N/A</v>
      </c>
      <c r="I81" s="158" t="s">
        <v>6311</v>
      </c>
      <c r="J81" s="28" t="str">
        <f>VLOOKUP(I81,'Analysis data'!B:E,4,false)</f>
        <v/>
      </c>
      <c r="K81" s="28">
        <f>VLOOKUP(I81,'Analysis data'!B:K,9,false)</f>
        <v>0</v>
      </c>
    </row>
    <row r="82" hidden="1">
      <c r="A82" s="163"/>
      <c r="B82" s="28" t="str">
        <f>VLOOKUP(A82,'Analysis data'!B:K,9,false)</f>
        <v>#N/A</v>
      </c>
      <c r="I82" s="160" t="s">
        <v>167</v>
      </c>
      <c r="J82" s="28">
        <f>VLOOKUP(I82,'Analysis data'!B:E,4,false)</f>
        <v>8.98</v>
      </c>
      <c r="K82" s="28">
        <f>VLOOKUP(I82,'Analysis data'!B:K,9,false)</f>
        <v>0</v>
      </c>
    </row>
    <row r="83">
      <c r="A83" s="162"/>
      <c r="B83" s="28" t="str">
        <f>VLOOKUP(A83,'Analysis data'!B:K,9,false)</f>
        <v>#N/A</v>
      </c>
      <c r="I83" s="158" t="s">
        <v>4497</v>
      </c>
      <c r="J83" s="28">
        <f>VLOOKUP(I83,'Analysis data'!B:E,4,false)</f>
        <v>7.9</v>
      </c>
      <c r="K83" s="28">
        <f>VLOOKUP(I83,'Analysis data'!B:K,9,false)</f>
        <v>0</v>
      </c>
    </row>
    <row r="84" hidden="1">
      <c r="A84" s="163"/>
      <c r="B84" s="28" t="str">
        <f>VLOOKUP(A84,'Analysis data'!B:K,9,false)</f>
        <v>#N/A</v>
      </c>
      <c r="I84" s="160" t="s">
        <v>4657</v>
      </c>
      <c r="J84" s="28">
        <f>VLOOKUP(I84,'Analysis data'!B:E,4,false)</f>
        <v>8.1</v>
      </c>
      <c r="K84" s="28">
        <f>VLOOKUP(I84,'Analysis data'!B:K,9,false)</f>
        <v>0</v>
      </c>
    </row>
    <row r="85" hidden="1">
      <c r="A85" s="162"/>
      <c r="B85" s="28" t="str">
        <f>VLOOKUP(A85,'Analysis data'!B:K,9,false)</f>
        <v>#N/A</v>
      </c>
      <c r="I85" s="158" t="s">
        <v>6312</v>
      </c>
      <c r="J85" s="28">
        <f>VLOOKUP(I85,'Analysis data'!B:E,4,false)</f>
        <v>8.08</v>
      </c>
      <c r="K85" s="28">
        <f>VLOOKUP(I85,'Analysis data'!B:K,9,false)</f>
        <v>0</v>
      </c>
    </row>
    <row r="86" hidden="1">
      <c r="A86" s="162"/>
      <c r="B86" s="28" t="str">
        <f>VLOOKUP(A86,'Analysis data'!B:K,9,false)</f>
        <v>#N/A</v>
      </c>
      <c r="I86" s="160" t="s">
        <v>538</v>
      </c>
      <c r="J86" s="28">
        <f>VLOOKUP(I86,'Analysis data'!B:E,4,false)</f>
        <v>8.49</v>
      </c>
      <c r="K86" s="28">
        <f>VLOOKUP(I86,'Analysis data'!B:K,9,false)</f>
        <v>0</v>
      </c>
    </row>
    <row r="87" hidden="1">
      <c r="A87" s="163"/>
      <c r="B87" s="28" t="str">
        <f>VLOOKUP(A87,'Analysis data'!B:K,9,false)</f>
        <v>#N/A</v>
      </c>
      <c r="I87" s="158" t="s">
        <v>304</v>
      </c>
      <c r="J87" s="28">
        <f>VLOOKUP(I87,'Analysis data'!B:E,4,false)</f>
        <v>9.21</v>
      </c>
      <c r="K87" s="28" t="str">
        <f>VLOOKUP(I87,'Analysis data'!B:K,9,false)</f>
        <v>IBRIDGE</v>
      </c>
    </row>
    <row r="88" hidden="1">
      <c r="A88" s="162"/>
      <c r="B88" s="28" t="str">
        <f>VLOOKUP(A88,'Analysis data'!B:K,9,false)</f>
        <v>#N/A</v>
      </c>
      <c r="I88" s="160" t="s">
        <v>448</v>
      </c>
      <c r="J88" s="28">
        <f>VLOOKUP(I88,'Analysis data'!B:E,4,false)</f>
        <v>9.1</v>
      </c>
      <c r="K88" s="28" t="str">
        <f>VLOOKUP(I88,'Analysis data'!B:K,9,false)</f>
        <v>DBS &amp; VIAPLUS &amp; AMAZON SDE INTERN</v>
      </c>
    </row>
    <row r="89" hidden="1">
      <c r="A89" s="162"/>
      <c r="B89" s="28" t="str">
        <f>VLOOKUP(A89,'Analysis data'!B:K,9,false)</f>
        <v>#N/A</v>
      </c>
      <c r="I89" s="159" t="s">
        <v>534</v>
      </c>
      <c r="J89" s="28">
        <f>VLOOKUP(I89,'Analysis data'!B:E,4,false)</f>
        <v>8.2</v>
      </c>
      <c r="K89" s="28">
        <f>VLOOKUP(I89,'Analysis data'!B:K,9,false)</f>
        <v>0</v>
      </c>
    </row>
    <row r="90" hidden="1">
      <c r="A90" s="163"/>
      <c r="B90" s="28" t="str">
        <f>VLOOKUP(A90,'Analysis data'!B:K,9,false)</f>
        <v>#N/A</v>
      </c>
      <c r="I90" s="156" t="s">
        <v>484</v>
      </c>
      <c r="J90" s="28">
        <f>VLOOKUP(I90,'Analysis data'!B:E,4,false)</f>
        <v>8.5</v>
      </c>
      <c r="K90" s="28">
        <f>VLOOKUP(I90,'Analysis data'!B:K,9,false)</f>
        <v>0</v>
      </c>
    </row>
    <row r="91" hidden="1">
      <c r="A91" s="162"/>
      <c r="B91" s="28" t="str">
        <f>VLOOKUP(A91,'Analysis data'!B:K,9,false)</f>
        <v>#N/A</v>
      </c>
      <c r="I91" s="159" t="s">
        <v>441</v>
      </c>
      <c r="J91" s="28">
        <f>VLOOKUP(I91,'Analysis data'!B:E,4,false)</f>
        <v>8.82</v>
      </c>
      <c r="K91" s="28">
        <f>VLOOKUP(I91,'Analysis data'!B:K,9,false)</f>
        <v>0</v>
      </c>
    </row>
    <row r="92" hidden="1">
      <c r="A92" s="163"/>
      <c r="B92" s="28" t="str">
        <f>VLOOKUP(A92,'Analysis data'!B:K,9,false)</f>
        <v>#N/A</v>
      </c>
      <c r="I92" s="156" t="s">
        <v>6313</v>
      </c>
      <c r="J92" s="28">
        <f>VLOOKUP(I92,'Analysis data'!B:E,4,false)</f>
        <v>8.13</v>
      </c>
      <c r="K92" s="28">
        <f>VLOOKUP(I92,'Analysis data'!B:K,9,false)</f>
        <v>0</v>
      </c>
    </row>
    <row r="93">
      <c r="A93" s="162"/>
      <c r="B93" s="28" t="str">
        <f>VLOOKUP(A93,'Analysis data'!B:K,9,false)</f>
        <v>#N/A</v>
      </c>
      <c r="I93" s="158" t="s">
        <v>6314</v>
      </c>
      <c r="J93" s="28">
        <f>VLOOKUP(I93,'Analysis data'!B:E,4,false)</f>
        <v>7.37</v>
      </c>
      <c r="K93" s="28">
        <f>VLOOKUP(I93,'Analysis data'!B:K,9,false)</f>
        <v>0</v>
      </c>
    </row>
    <row r="94" hidden="1">
      <c r="A94" s="163"/>
      <c r="B94" s="28" t="str">
        <f>VLOOKUP(A94,'Analysis data'!B:K,9,false)</f>
        <v>#N/A</v>
      </c>
      <c r="I94" s="156" t="s">
        <v>499</v>
      </c>
      <c r="J94" s="28">
        <f>VLOOKUP(I94,'Analysis data'!B:E,4,false)</f>
        <v>8.5</v>
      </c>
      <c r="K94" s="28">
        <f>VLOOKUP(I94,'Analysis data'!B:K,9,false)</f>
        <v>0</v>
      </c>
    </row>
    <row r="95" hidden="1">
      <c r="A95" s="162"/>
      <c r="B95" s="28" t="str">
        <f>VLOOKUP(A95,'Analysis data'!B:K,9,false)</f>
        <v>#N/A</v>
      </c>
      <c r="I95" s="159" t="s">
        <v>147</v>
      </c>
      <c r="J95" s="28">
        <f>VLOOKUP(I95,'Analysis data'!B:E,4,false)</f>
        <v>8.35</v>
      </c>
      <c r="K95" s="28">
        <f>VLOOKUP(I95,'Analysis data'!B:K,9,false)</f>
        <v>0</v>
      </c>
    </row>
    <row r="96" hidden="1">
      <c r="A96" s="163"/>
      <c r="B96" s="28" t="str">
        <f>VLOOKUP(A96,'Analysis data'!B:K,9,false)</f>
        <v>#N/A</v>
      </c>
      <c r="I96" s="156" t="s">
        <v>887</v>
      </c>
      <c r="J96" s="28">
        <f>VLOOKUP(I96,'Analysis data'!B:E,4,false)</f>
        <v>8.18</v>
      </c>
      <c r="K96" s="28">
        <f>VLOOKUP(I96,'Analysis data'!B:K,9,false)</f>
        <v>0</v>
      </c>
    </row>
    <row r="97">
      <c r="A97" s="162"/>
      <c r="B97" s="28" t="str">
        <f>VLOOKUP(A97,'Analysis data'!B:K,9,false)</f>
        <v>#N/A</v>
      </c>
      <c r="I97" s="159" t="s">
        <v>623</v>
      </c>
      <c r="J97" s="28">
        <f>VLOOKUP(I97,'Analysis data'!B:E,4,false)</f>
        <v>6.93</v>
      </c>
      <c r="K97" s="28">
        <f>VLOOKUP(I97,'Analysis data'!B:K,9,false)</f>
        <v>0</v>
      </c>
    </row>
    <row r="98" hidden="1">
      <c r="A98" s="163"/>
      <c r="B98" s="28" t="str">
        <f>VLOOKUP(A98,'Analysis data'!B:K,9,false)</f>
        <v>#N/A</v>
      </c>
      <c r="I98" s="156" t="s">
        <v>817</v>
      </c>
      <c r="J98" s="28">
        <f>VLOOKUP(I98,'Analysis data'!B:E,4,false)</f>
        <v>8.32</v>
      </c>
      <c r="K98" s="28">
        <f>VLOOKUP(I98,'Analysis data'!B:K,9,false)</f>
        <v>0</v>
      </c>
    </row>
    <row r="99" hidden="1">
      <c r="A99" s="162"/>
      <c r="B99" s="28" t="str">
        <f>VLOOKUP(A99,'Analysis data'!B:K,9,false)</f>
        <v>#N/A</v>
      </c>
      <c r="I99" s="158" t="s">
        <v>320</v>
      </c>
      <c r="J99" s="28">
        <f>VLOOKUP(I99,'Analysis data'!B:E,4,false)</f>
        <v>9.13</v>
      </c>
      <c r="K99" s="28" t="str">
        <f>VLOOKUP(I99,'Analysis data'!B:K,9,false)</f>
        <v>STATESTREET</v>
      </c>
    </row>
    <row r="100" hidden="1">
      <c r="A100" s="163"/>
      <c r="B100" s="28" t="str">
        <f>VLOOKUP(A100,'Analysis data'!B:K,9,false)</f>
        <v>#N/A</v>
      </c>
      <c r="I100" s="160" t="s">
        <v>891</v>
      </c>
      <c r="J100" s="28">
        <f>VLOOKUP(I100,'Analysis data'!B:E,4,false)</f>
        <v>8.56</v>
      </c>
      <c r="K100" s="28">
        <f>VLOOKUP(I100,'Analysis data'!B:K,9,false)</f>
        <v>0</v>
      </c>
    </row>
    <row r="101" hidden="1">
      <c r="A101" s="162"/>
      <c r="B101" s="28" t="str">
        <f>VLOOKUP(A101,'Analysis data'!B:K,9,false)</f>
        <v>#N/A</v>
      </c>
      <c r="I101" s="158" t="s">
        <v>771</v>
      </c>
      <c r="J101" s="28">
        <f>VLOOKUP(I101,'Analysis data'!B:E,4,false)</f>
        <v>8.88</v>
      </c>
      <c r="K101" s="28">
        <f>VLOOKUP(I101,'Analysis data'!B:K,9,false)</f>
        <v>0</v>
      </c>
    </row>
    <row r="102">
      <c r="A102" s="162"/>
      <c r="B102" s="28" t="str">
        <f>VLOOKUP(A102,'Analysis data'!B:K,9,false)</f>
        <v>#N/A</v>
      </c>
      <c r="I102" s="160" t="s">
        <v>6315</v>
      </c>
      <c r="J102" s="28">
        <f>VLOOKUP(I102,'Analysis data'!B:E,4,false)</f>
        <v>7.32</v>
      </c>
      <c r="K102" s="28">
        <f>VLOOKUP(I102,'Analysis data'!B:K,9,false)</f>
        <v>0</v>
      </c>
    </row>
    <row r="103" hidden="1">
      <c r="A103" s="163"/>
      <c r="B103" s="28" t="str">
        <f>VLOOKUP(A103,'Analysis data'!B:K,9,false)</f>
        <v>#N/A</v>
      </c>
      <c r="I103" s="158" t="s">
        <v>6316</v>
      </c>
      <c r="J103" s="28">
        <f>VLOOKUP(I103,'Analysis data'!B:E,4,false)</f>
        <v>8.69</v>
      </c>
      <c r="K103" s="28" t="str">
        <f>VLOOKUP(I103,'Analysis data'!B:K,9,false)</f>
        <v>&amp; Realpage</v>
      </c>
    </row>
    <row r="104" hidden="1">
      <c r="A104" s="163"/>
      <c r="B104" s="28" t="str">
        <f>VLOOKUP(A104,'Analysis data'!B:K,9,false)</f>
        <v>#N/A</v>
      </c>
      <c r="I104" s="160" t="s">
        <v>116</v>
      </c>
      <c r="J104" s="28">
        <f>VLOOKUP(I104,'Analysis data'!B:E,4,false)</f>
        <v>8.42</v>
      </c>
      <c r="K104" s="28">
        <f>VLOOKUP(I104,'Analysis data'!B:K,9,false)</f>
        <v>0</v>
      </c>
    </row>
    <row r="105" hidden="1">
      <c r="A105" s="162"/>
      <c r="B105" s="28" t="str">
        <f>VLOOKUP(A105,'Analysis data'!B:K,9,false)</f>
        <v>#N/A</v>
      </c>
      <c r="I105" s="158" t="s">
        <v>814</v>
      </c>
      <c r="J105" s="28">
        <f>VLOOKUP(I105,'Analysis data'!B:E,4,false)</f>
        <v>8.11</v>
      </c>
      <c r="K105" s="28">
        <f>VLOOKUP(I105,'Analysis data'!B:K,9,false)</f>
        <v>0</v>
      </c>
    </row>
    <row r="106">
      <c r="A106" s="162"/>
      <c r="B106" s="28" t="str">
        <f>VLOOKUP(A106,'Analysis data'!B:K,9,false)</f>
        <v>#N/A</v>
      </c>
      <c r="I106" s="160" t="s">
        <v>551</v>
      </c>
      <c r="J106" s="28">
        <f>VLOOKUP(I106,'Analysis data'!B:E,4,false)</f>
        <v>7.8</v>
      </c>
      <c r="K106" s="28">
        <f>VLOOKUP(I106,'Analysis data'!B:K,9,false)</f>
        <v>0</v>
      </c>
    </row>
    <row r="107">
      <c r="A107" s="163"/>
      <c r="B107" s="28" t="str">
        <f>VLOOKUP(A107,'Analysis data'!B:K,9,false)</f>
        <v>#N/A</v>
      </c>
      <c r="I107" s="158" t="s">
        <v>4703</v>
      </c>
      <c r="J107" s="28">
        <f>VLOOKUP(I107,'Analysis data'!B:E,4,false)</f>
        <v>7.92</v>
      </c>
      <c r="K107" s="28">
        <f>VLOOKUP(I107,'Analysis data'!B:K,9,false)</f>
        <v>0</v>
      </c>
    </row>
    <row r="108" hidden="1">
      <c r="A108" s="162"/>
      <c r="B108" s="28" t="str">
        <f>VLOOKUP(A108,'Analysis data'!B:K,9,false)</f>
        <v>#N/A</v>
      </c>
      <c r="I108" s="160" t="s">
        <v>588</v>
      </c>
      <c r="J108" s="28">
        <f>VLOOKUP(I108,'Analysis data'!B:E,4,false)</f>
        <v>8.35</v>
      </c>
      <c r="K108" s="28">
        <f>VLOOKUP(I108,'Analysis data'!B:K,9,false)</f>
        <v>0</v>
      </c>
    </row>
    <row r="109">
      <c r="A109" s="163"/>
      <c r="B109" s="28" t="str">
        <f>VLOOKUP(A109,'Analysis data'!B:K,9,false)</f>
        <v>#N/A</v>
      </c>
      <c r="I109" s="159" t="s">
        <v>6317</v>
      </c>
      <c r="J109" s="28" t="str">
        <f>VLOOKUP(I109,'Analysis data'!B:E,4,false)</f>
        <v/>
      </c>
      <c r="K109" s="28">
        <f>VLOOKUP(I109,'Analysis data'!B:K,9,false)</f>
        <v>0</v>
      </c>
    </row>
    <row r="110">
      <c r="A110" s="162"/>
      <c r="B110" s="28" t="str">
        <f>VLOOKUP(A110,'Analysis data'!B:K,9,false)</f>
        <v>#N/A</v>
      </c>
      <c r="I110" s="160" t="s">
        <v>397</v>
      </c>
      <c r="J110" s="28">
        <f>VLOOKUP(I110,'Analysis data'!B:E,4,false)</f>
        <v>8.57</v>
      </c>
      <c r="K110" s="28">
        <f>VLOOKUP(I110,'Analysis data'!B:K,9,false)</f>
        <v>0</v>
      </c>
    </row>
    <row r="111" hidden="1">
      <c r="A111" s="163"/>
      <c r="B111" s="28" t="str">
        <f>VLOOKUP(A111,'Analysis data'!B:K,9,false)</f>
        <v>#N/A</v>
      </c>
      <c r="I111" s="158" t="s">
        <v>6318</v>
      </c>
      <c r="J111" s="28">
        <f>VLOOKUP(I111,'Analysis data'!B:E,4,false)</f>
        <v>8.65</v>
      </c>
      <c r="K111" s="28">
        <f>VLOOKUP(I111,'Analysis data'!B:K,9,false)</f>
        <v>0</v>
      </c>
    </row>
    <row r="112">
      <c r="A112" s="162"/>
      <c r="B112" s="28" t="str">
        <f>VLOOKUP(A112,'Analysis data'!B:K,9,false)</f>
        <v>#N/A</v>
      </c>
      <c r="I112" s="160" t="s">
        <v>777</v>
      </c>
      <c r="J112" s="28">
        <f>VLOOKUP(I112,'Analysis data'!B:E,4,false)</f>
        <v>7.52</v>
      </c>
      <c r="K112" s="28">
        <f>VLOOKUP(I112,'Analysis data'!B:K,9,false)</f>
        <v>0</v>
      </c>
    </row>
    <row r="113" hidden="1">
      <c r="A113" s="163"/>
      <c r="B113" s="28" t="str">
        <f>VLOOKUP(A113,'Analysis data'!B:K,9,false)</f>
        <v>#N/A</v>
      </c>
      <c r="I113" s="158" t="s">
        <v>3503</v>
      </c>
      <c r="J113" s="28">
        <f>VLOOKUP(I113,'Analysis data'!B:E,4,false)</f>
        <v>8.4</v>
      </c>
      <c r="K113" s="28" t="str">
        <f>VLOOKUP(I113,'Analysis data'!B:K,9,false)</f>
        <v>FORAGE AI</v>
      </c>
    </row>
    <row r="114" hidden="1">
      <c r="A114" s="162"/>
      <c r="B114" s="28" t="str">
        <f>VLOOKUP(A114,'Analysis data'!B:K,9,false)</f>
        <v>#N/A</v>
      </c>
      <c r="I114" s="156" t="s">
        <v>291</v>
      </c>
      <c r="J114" s="28">
        <f>VLOOKUP(I114,'Analysis data'!B:E,4,false)</f>
        <v>8.95</v>
      </c>
      <c r="K114" s="28">
        <f>VLOOKUP(I114,'Analysis data'!B:K,9,false)</f>
        <v>0</v>
      </c>
    </row>
    <row r="115">
      <c r="A115" s="162"/>
      <c r="B115" s="28" t="str">
        <f>VLOOKUP(A115,'Analysis data'!B:K,9,false)</f>
        <v>#N/A</v>
      </c>
      <c r="I115" s="158" t="s">
        <v>650</v>
      </c>
      <c r="J115" s="28">
        <f>VLOOKUP(I115,'Analysis data'!B:E,4,false)</f>
        <v>7.47</v>
      </c>
      <c r="K115" s="28">
        <f>VLOOKUP(I115,'Analysis data'!B:K,9,false)</f>
        <v>0</v>
      </c>
    </row>
    <row r="116" hidden="1">
      <c r="A116" s="163"/>
      <c r="B116" s="28" t="str">
        <f>VLOOKUP(A116,'Analysis data'!B:K,9,false)</f>
        <v>#N/A</v>
      </c>
      <c r="I116" s="160" t="s">
        <v>44</v>
      </c>
      <c r="J116" s="28">
        <f>VLOOKUP(I116,'Analysis data'!B:E,4,false)</f>
        <v>8.71</v>
      </c>
      <c r="K116" s="28">
        <f>VLOOKUP(I116,'Analysis data'!B:K,9,false)</f>
        <v>0</v>
      </c>
    </row>
    <row r="117" hidden="1">
      <c r="A117" s="162"/>
      <c r="B117" s="28" t="str">
        <f>VLOOKUP(A117,'Analysis data'!B:K,9,false)</f>
        <v>#N/A</v>
      </c>
      <c r="I117" s="164" t="s">
        <v>4279</v>
      </c>
      <c r="J117" s="28">
        <f>VLOOKUP(I117,'Analysis data'!B:E,4,false)</f>
        <v>7.45</v>
      </c>
      <c r="K117" s="28" t="str">
        <f>VLOOKUP(I117,'Analysis data'!B:K,9,false)</f>
        <v>SKILL DUNIA</v>
      </c>
    </row>
    <row r="118" hidden="1">
      <c r="A118" s="163"/>
      <c r="B118" s="28" t="str">
        <f>VLOOKUP(A118,'Analysis data'!B:K,9,false)</f>
        <v>#N/A</v>
      </c>
      <c r="I118" s="156" t="s">
        <v>506</v>
      </c>
      <c r="J118" s="28">
        <f>VLOOKUP(I118,'Analysis data'!B:E,4,false)</f>
        <v>8.15</v>
      </c>
      <c r="K118" s="28">
        <f>VLOOKUP(I118,'Analysis data'!B:K,9,false)</f>
        <v>0</v>
      </c>
    </row>
    <row r="119" hidden="1">
      <c r="A119" s="163"/>
      <c r="B119" s="28" t="str">
        <f>VLOOKUP(A119,'Analysis data'!B:K,9,false)</f>
        <v>#N/A</v>
      </c>
      <c r="I119" s="159" t="s">
        <v>165</v>
      </c>
      <c r="J119" s="28" t="str">
        <f>VLOOKUP(I119,'Analysis data'!B:E,4,false)</f>
        <v/>
      </c>
      <c r="K119" s="28">
        <f>VLOOKUP(I119,'Analysis data'!B:K,9,false)</f>
        <v>0</v>
      </c>
    </row>
    <row r="120" hidden="1">
      <c r="A120" s="162"/>
      <c r="B120" s="28" t="str">
        <f>VLOOKUP(A120,'Analysis data'!B:K,9,false)</f>
        <v>#N/A</v>
      </c>
      <c r="I120" s="160" t="s">
        <v>229</v>
      </c>
      <c r="J120" s="28">
        <f>VLOOKUP(I120,'Analysis data'!B:E,4,false)</f>
        <v>7.95</v>
      </c>
      <c r="K120" s="28">
        <f>VLOOKUP(I120,'Analysis data'!B:K,9,false)</f>
        <v>0</v>
      </c>
    </row>
    <row r="121">
      <c r="A121" s="163"/>
      <c r="B121" s="28" t="str">
        <f>VLOOKUP(A121,'Analysis data'!B:K,9,false)</f>
        <v>#N/A</v>
      </c>
      <c r="I121" s="159" t="s">
        <v>885</v>
      </c>
      <c r="J121" s="28">
        <f>VLOOKUP(I121,'Analysis data'!B:E,4,false)</f>
        <v>8.38</v>
      </c>
      <c r="K121" s="28">
        <f>VLOOKUP(I121,'Analysis data'!B:K,9,false)</f>
        <v>0</v>
      </c>
    </row>
    <row r="122" hidden="1">
      <c r="A122" s="162"/>
      <c r="B122" s="28" t="str">
        <f>VLOOKUP(A122,'Analysis data'!B:K,9,false)</f>
        <v>#N/A</v>
      </c>
      <c r="I122" s="156" t="s">
        <v>6319</v>
      </c>
      <c r="J122" s="28">
        <f>VLOOKUP(I122,'Analysis data'!B:E,4,false)</f>
        <v>8.13</v>
      </c>
      <c r="K122" s="28">
        <f>VLOOKUP(I122,'Analysis data'!B:K,9,false)</f>
        <v>0</v>
      </c>
    </row>
    <row r="123" hidden="1">
      <c r="A123" s="163"/>
      <c r="B123" s="28" t="str">
        <f>VLOOKUP(A123,'Analysis data'!B:K,9,false)</f>
        <v>#N/A</v>
      </c>
      <c r="I123" s="159" t="s">
        <v>6320</v>
      </c>
      <c r="J123" s="28">
        <f>VLOOKUP(I123,'Analysis data'!B:E,4,false)</f>
        <v>8.36</v>
      </c>
      <c r="K123" s="28">
        <f>VLOOKUP(I123,'Analysis data'!B:K,9,false)</f>
        <v>0</v>
      </c>
    </row>
    <row r="124" hidden="1">
      <c r="A124" s="162"/>
      <c r="B124" s="28" t="str">
        <f>VLOOKUP(A124,'Analysis data'!B:K,9,false)</f>
        <v>#N/A</v>
      </c>
      <c r="I124" s="156" t="s">
        <v>3506</v>
      </c>
      <c r="J124" s="28">
        <f>VLOOKUP(I124,'Analysis data'!B:E,4,false)</f>
        <v>8.29</v>
      </c>
      <c r="K124" s="28" t="str">
        <f>VLOOKUP(I124,'Analysis data'!B:K,9,false)</f>
        <v>SKILL DUNIA</v>
      </c>
    </row>
    <row r="125">
      <c r="A125" s="163"/>
      <c r="B125" s="28" t="str">
        <f>VLOOKUP(A125,'Analysis data'!B:K,9,false)</f>
        <v>#N/A</v>
      </c>
      <c r="I125" s="159" t="s">
        <v>3494</v>
      </c>
      <c r="J125" s="28">
        <f>VLOOKUP(I125,'Analysis data'!B:E,4,false)</f>
        <v>8.41</v>
      </c>
      <c r="K125" s="28">
        <f>VLOOKUP(I125,'Analysis data'!B:K,9,false)</f>
        <v>0</v>
      </c>
    </row>
    <row r="126" hidden="1">
      <c r="A126" s="162"/>
      <c r="B126" s="28" t="str">
        <f>VLOOKUP(A126,'Analysis data'!B:K,9,false)</f>
        <v>#N/A</v>
      </c>
      <c r="I126" s="156" t="s">
        <v>64</v>
      </c>
      <c r="J126" s="28">
        <f>VLOOKUP(I126,'Analysis data'!B:E,4,false)</f>
        <v>8.17</v>
      </c>
      <c r="K126" s="28">
        <f>VLOOKUP(I126,'Analysis data'!B:K,9,false)</f>
        <v>0</v>
      </c>
    </row>
    <row r="127" hidden="1">
      <c r="A127" s="163"/>
      <c r="B127" s="28" t="str">
        <f>VLOOKUP(A127,'Analysis data'!B:K,9,false)</f>
        <v>#N/A</v>
      </c>
      <c r="I127" s="159" t="s">
        <v>489</v>
      </c>
      <c r="J127" s="28">
        <f>VLOOKUP(I127,'Analysis data'!B:E,4,false)</f>
        <v>7.13</v>
      </c>
      <c r="K127" s="28">
        <f>VLOOKUP(I127,'Analysis data'!B:K,9,false)</f>
        <v>0</v>
      </c>
    </row>
    <row r="128">
      <c r="A128" s="162"/>
      <c r="B128" s="28" t="str">
        <f>VLOOKUP(A128,'Analysis data'!B:K,9,false)</f>
        <v>#N/A</v>
      </c>
      <c r="I128" s="156" t="s">
        <v>871</v>
      </c>
      <c r="J128" s="28">
        <f>VLOOKUP(I128,'Analysis data'!B:E,4,false)</f>
        <v>8.59</v>
      </c>
      <c r="K128" s="28" t="str">
        <f>VLOOKUP(I128,'Analysis data'!B:K,9,false)</f>
        <v>ZELIS</v>
      </c>
    </row>
    <row r="129">
      <c r="A129" s="162"/>
      <c r="B129" s="28" t="str">
        <f>VLOOKUP(A129,'Analysis data'!B:K,9,false)</f>
        <v>#N/A</v>
      </c>
      <c r="I129" s="159" t="s">
        <v>6321</v>
      </c>
      <c r="J129" s="28">
        <f>VLOOKUP(I129,'Analysis data'!B:E,4,false)</f>
        <v>7.78</v>
      </c>
      <c r="K129" s="28">
        <f>VLOOKUP(I129,'Analysis data'!B:K,9,false)</f>
        <v>0</v>
      </c>
    </row>
    <row r="130" hidden="1">
      <c r="A130" s="162"/>
      <c r="B130" s="28" t="str">
        <f>VLOOKUP(A130,'Analysis data'!B:K,9,false)</f>
        <v>#N/A</v>
      </c>
      <c r="I130" s="160" t="s">
        <v>345</v>
      </c>
      <c r="J130" s="28">
        <f>VLOOKUP(I130,'Analysis data'!B:E,4,false)</f>
        <v>7.68</v>
      </c>
      <c r="K130" s="28">
        <f>VLOOKUP(I130,'Analysis data'!B:K,9,false)</f>
        <v>0</v>
      </c>
    </row>
    <row r="131" hidden="1">
      <c r="A131" s="163"/>
      <c r="B131" s="28" t="str">
        <f>VLOOKUP(A131,'Analysis data'!B:K,9,false)</f>
        <v>#N/A</v>
      </c>
      <c r="I131" s="158" t="s">
        <v>6322</v>
      </c>
      <c r="J131" s="28">
        <f>VLOOKUP(I131,'Analysis data'!B:E,4,false)</f>
        <v>8.15</v>
      </c>
      <c r="K131" s="28">
        <f>VLOOKUP(I131,'Analysis data'!B:K,9,false)</f>
        <v>0</v>
      </c>
    </row>
    <row r="132" hidden="1">
      <c r="A132" s="162"/>
      <c r="B132" s="28" t="str">
        <f>VLOOKUP(A132,'Analysis data'!B:K,9,false)</f>
        <v>#N/A</v>
      </c>
      <c r="I132" s="156" t="s">
        <v>4617</v>
      </c>
      <c r="J132" s="28">
        <f>VLOOKUP(I132,'Analysis data'!B:E,4,false)</f>
        <v>8.18</v>
      </c>
      <c r="K132" s="28">
        <f>VLOOKUP(I132,'Analysis data'!B:K,9,false)</f>
        <v>0</v>
      </c>
    </row>
    <row r="133">
      <c r="A133" s="162"/>
      <c r="B133" s="28" t="str">
        <f>VLOOKUP(A133,'Analysis data'!B:K,9,false)</f>
        <v>#N/A</v>
      </c>
      <c r="I133" s="159" t="s">
        <v>393</v>
      </c>
      <c r="J133" s="28">
        <f>VLOOKUP(I133,'Analysis data'!B:E,4,false)</f>
        <v>8.13</v>
      </c>
      <c r="K133" s="28">
        <f>VLOOKUP(I133,'Analysis data'!B:K,9,false)</f>
        <v>0</v>
      </c>
    </row>
    <row r="134" hidden="1">
      <c r="A134" s="162"/>
      <c r="B134" s="28" t="str">
        <f>VLOOKUP(A134,'Analysis data'!B:K,9,false)</f>
        <v>#N/A</v>
      </c>
      <c r="I134" s="160" t="s">
        <v>795</v>
      </c>
      <c r="J134" s="28">
        <f>VLOOKUP(I134,'Analysis data'!B:E,4,false)</f>
        <v>7.54</v>
      </c>
      <c r="K134" s="28">
        <f>VLOOKUP(I134,'Analysis data'!B:K,9,false)</f>
        <v>0</v>
      </c>
    </row>
    <row r="135" hidden="1">
      <c r="A135" s="162"/>
      <c r="B135" s="28" t="str">
        <f>VLOOKUP(A135,'Analysis data'!B:K,9,false)</f>
        <v>#N/A</v>
      </c>
      <c r="I135" s="158" t="s">
        <v>619</v>
      </c>
      <c r="J135" s="28">
        <f>VLOOKUP(I135,'Analysis data'!B:E,4,false)</f>
        <v>9.07</v>
      </c>
      <c r="K135" s="28" t="str">
        <f>VLOOKUP(I135,'Analysis data'!B:K,9,false)</f>
        <v>DELOITTE</v>
      </c>
    </row>
    <row r="136">
      <c r="A136" s="162"/>
      <c r="B136" s="28" t="str">
        <f>VLOOKUP(A136,'Analysis data'!B:K,9,false)</f>
        <v>#N/A</v>
      </c>
      <c r="I136" s="160" t="s">
        <v>767</v>
      </c>
      <c r="J136" s="28">
        <f>VLOOKUP(I136,'Analysis data'!B:E,4,false)</f>
        <v>7.9</v>
      </c>
      <c r="K136" s="28">
        <f>VLOOKUP(I136,'Analysis data'!B:K,9,false)</f>
        <v>0</v>
      </c>
    </row>
    <row r="137" hidden="1">
      <c r="A137" s="162"/>
      <c r="I137" s="158" t="s">
        <v>781</v>
      </c>
      <c r="J137" s="28">
        <f>VLOOKUP(I137,'Analysis data'!B:E,4,false)</f>
        <v>8.27</v>
      </c>
      <c r="K137" s="28">
        <f>VLOOKUP(I137,'Analysis data'!B:K,9,false)</f>
        <v>0</v>
      </c>
    </row>
    <row r="138" hidden="1">
      <c r="A138" s="162"/>
      <c r="I138" s="156" t="s">
        <v>6323</v>
      </c>
      <c r="J138" s="28" t="str">
        <f>VLOOKUP(I138,'Analysis data'!B:E,4,false)</f>
        <v/>
      </c>
      <c r="K138" s="28">
        <f>VLOOKUP(I138,'Analysis data'!B:K,9,false)</f>
        <v>0</v>
      </c>
    </row>
    <row r="139">
      <c r="A139" s="163"/>
      <c r="I139" s="159" t="s">
        <v>579</v>
      </c>
      <c r="J139" s="28">
        <f>VLOOKUP(I139,'Analysis data'!B:E,4,false)</f>
        <v>8.25</v>
      </c>
      <c r="K139" s="28" t="str">
        <f>VLOOKUP(I139,'Analysis data'!B:K,9,false)</f>
        <v>SKILL DUNIA</v>
      </c>
    </row>
    <row r="140" hidden="1">
      <c r="A140" s="162"/>
      <c r="I140" s="156" t="s">
        <v>699</v>
      </c>
      <c r="J140" s="28">
        <f>VLOOKUP(I140,'Analysis data'!B:E,4,false)</f>
        <v>8.94</v>
      </c>
      <c r="K140" s="28">
        <f>VLOOKUP(I140,'Analysis data'!B:K,9,false)</f>
        <v>0</v>
      </c>
    </row>
    <row r="141" hidden="1">
      <c r="A141" s="163"/>
      <c r="I141" s="158" t="s">
        <v>788</v>
      </c>
      <c r="J141" s="28">
        <f>VLOOKUP(I141,'Analysis data'!B:E,4,false)</f>
        <v>8.85</v>
      </c>
      <c r="K141" s="28">
        <f>VLOOKUP(I141,'Analysis data'!B:K,9,false)</f>
        <v>0</v>
      </c>
    </row>
    <row r="142">
      <c r="A142" s="162"/>
      <c r="I142" s="160" t="s">
        <v>232</v>
      </c>
      <c r="J142" s="28">
        <f>VLOOKUP(I142,'Analysis data'!B:E,4,false)</f>
        <v>8.48</v>
      </c>
      <c r="K142" s="28">
        <f>VLOOKUP(I142,'Analysis data'!B:K,9,false)</f>
        <v>0</v>
      </c>
    </row>
    <row r="143">
      <c r="A143" s="163"/>
      <c r="I143" s="158" t="s">
        <v>6324</v>
      </c>
      <c r="J143" s="28">
        <f>VLOOKUP(I143,'Analysis data'!B:E,4,false)</f>
        <v>8.07</v>
      </c>
      <c r="K143" s="28">
        <f>VLOOKUP(I143,'Analysis data'!B:K,9,false)</f>
        <v>0</v>
      </c>
    </row>
    <row r="144" hidden="1">
      <c r="A144" s="162"/>
      <c r="I144" s="160" t="s">
        <v>137</v>
      </c>
      <c r="J144" s="28">
        <f>VLOOKUP(I144,'Analysis data'!B:E,4,false)</f>
        <v>8.4</v>
      </c>
      <c r="K144" s="28">
        <f>VLOOKUP(I144,'Analysis data'!B:K,9,false)</f>
        <v>0</v>
      </c>
    </row>
    <row r="145" hidden="1">
      <c r="A145" s="163"/>
      <c r="I145" s="158" t="s">
        <v>342</v>
      </c>
      <c r="J145" s="28">
        <f>VLOOKUP(I145,'Analysis data'!B:E,4,false)</f>
        <v>8.35</v>
      </c>
      <c r="K145" s="28">
        <f>VLOOKUP(I145,'Analysis data'!B:K,9,false)</f>
        <v>0</v>
      </c>
    </row>
    <row r="146" hidden="1">
      <c r="A146" s="163"/>
      <c r="I146" s="160" t="s">
        <v>337</v>
      </c>
      <c r="J146" s="28">
        <f>VLOOKUP(I146,'Analysis data'!B:E,4,false)</f>
        <v>8.43</v>
      </c>
      <c r="K146" s="28">
        <f>VLOOKUP(I146,'Analysis data'!B:K,9,false)</f>
        <v>0</v>
      </c>
    </row>
    <row r="147">
      <c r="A147" s="162"/>
      <c r="I147" s="158" t="s">
        <v>858</v>
      </c>
      <c r="J147" s="28">
        <f>VLOOKUP(I147,'Analysis data'!B:E,4,false)</f>
        <v>7.28</v>
      </c>
      <c r="K147" s="28">
        <f>VLOOKUP(I147,'Analysis data'!B:K,9,false)</f>
        <v>0</v>
      </c>
    </row>
    <row r="148">
      <c r="A148" s="162"/>
      <c r="I148" s="160" t="s">
        <v>769</v>
      </c>
      <c r="J148" s="28">
        <f>VLOOKUP(I148,'Analysis data'!B:E,4,false)</f>
        <v>7.44</v>
      </c>
      <c r="K148" s="28">
        <f>VLOOKUP(I148,'Analysis data'!B:K,9,false)</f>
        <v>0</v>
      </c>
    </row>
    <row r="149" hidden="1">
      <c r="A149" s="163"/>
      <c r="I149" s="158" t="s">
        <v>6290</v>
      </c>
      <c r="J149" s="28">
        <f>VLOOKUP(I149,'Analysis data'!B:E,4,false)</f>
        <v>7.73</v>
      </c>
      <c r="K149" s="28">
        <f>VLOOKUP(I149,'Analysis data'!B:K,9,false)</f>
        <v>0</v>
      </c>
    </row>
    <row r="150">
      <c r="A150" s="162"/>
      <c r="I150" s="160" t="s">
        <v>905</v>
      </c>
      <c r="J150" s="28">
        <f>VLOOKUP(I150,'Analysis data'!B:E,4,false)</f>
        <v>8.49</v>
      </c>
      <c r="K150" s="28">
        <f>VLOOKUP(I150,'Analysis data'!B:K,9,false)</f>
        <v>0</v>
      </c>
    </row>
    <row r="151" hidden="1">
      <c r="A151" s="163"/>
      <c r="I151" s="158" t="s">
        <v>81</v>
      </c>
      <c r="J151" s="28" t="str">
        <f>VLOOKUP(I151,'Analysis data'!B:E,4,false)</f>
        <v/>
      </c>
      <c r="K151" s="28">
        <f>VLOOKUP(I151,'Analysis data'!B:K,9,false)</f>
        <v>0</v>
      </c>
    </row>
    <row r="152" hidden="1">
      <c r="A152" s="162"/>
      <c r="I152" s="156" t="s">
        <v>738</v>
      </c>
      <c r="J152" s="28">
        <f>VLOOKUP(I152,'Analysis data'!B:E,4,false)</f>
        <v>8.92</v>
      </c>
      <c r="K152" s="28">
        <f>VLOOKUP(I152,'Analysis data'!B:K,9,false)</f>
        <v>0</v>
      </c>
    </row>
    <row r="153" hidden="1">
      <c r="A153" s="163"/>
      <c r="I153" s="159" t="s">
        <v>6325</v>
      </c>
      <c r="J153" s="28">
        <f>VLOOKUP(I153,'Analysis data'!B:E,4,false)</f>
        <v>9.01</v>
      </c>
      <c r="K153" s="28">
        <f>VLOOKUP(I153,'Analysis data'!B:K,9,false)</f>
        <v>0</v>
      </c>
    </row>
    <row r="154" hidden="1">
      <c r="A154" s="162"/>
      <c r="I154" s="156" t="s">
        <v>314</v>
      </c>
      <c r="J154" s="28">
        <f>VLOOKUP(I154,'Analysis data'!B:E,4,false)</f>
        <v>9.22</v>
      </c>
      <c r="K154" s="28">
        <f>VLOOKUP(I154,'Analysis data'!B:K,9,false)</f>
        <v>0</v>
      </c>
    </row>
    <row r="155">
      <c r="A155" s="163"/>
      <c r="I155" s="158" t="s">
        <v>355</v>
      </c>
      <c r="J155" s="28">
        <f>VLOOKUP(I155,'Analysis data'!B:E,4,false)</f>
        <v>7.42</v>
      </c>
      <c r="K155" s="28">
        <f>VLOOKUP(I155,'Analysis data'!B:K,9,false)</f>
        <v>0</v>
      </c>
    </row>
    <row r="156" hidden="1">
      <c r="A156" s="162"/>
      <c r="I156" s="160" t="s">
        <v>6326</v>
      </c>
      <c r="J156" s="28">
        <f>VLOOKUP(I156,'Analysis data'!B:E,4,false)</f>
        <v>8.99</v>
      </c>
      <c r="K156" s="28">
        <f>VLOOKUP(I156,'Analysis data'!B:K,9,false)</f>
        <v>0</v>
      </c>
    </row>
    <row r="157" hidden="1">
      <c r="A157" s="163"/>
      <c r="I157" s="158" t="s">
        <v>128</v>
      </c>
      <c r="J157" s="28">
        <f>VLOOKUP(I157,'Analysis data'!B:E,4,false)</f>
        <v>8.58</v>
      </c>
      <c r="K157" s="28">
        <f>VLOOKUP(I157,'Analysis data'!B:K,9,false)</f>
        <v>0</v>
      </c>
    </row>
    <row r="158">
      <c r="A158" s="162"/>
      <c r="I158" s="160" t="s">
        <v>827</v>
      </c>
      <c r="J158" s="28">
        <f>VLOOKUP(I158,'Analysis data'!B:E,4,false)</f>
        <v>7.99</v>
      </c>
      <c r="K158" s="28">
        <f>VLOOKUP(I158,'Analysis data'!B:K,9,false)</f>
        <v>0</v>
      </c>
    </row>
    <row r="159" hidden="1">
      <c r="A159" s="163"/>
      <c r="I159" s="158" t="s">
        <v>819</v>
      </c>
      <c r="J159" s="28">
        <f>VLOOKUP(I159,'Analysis data'!B:E,4,false)</f>
        <v>8.3</v>
      </c>
      <c r="K159" s="28">
        <f>VLOOKUP(I159,'Analysis data'!B:K,9,false)</f>
        <v>0</v>
      </c>
    </row>
    <row r="160" hidden="1">
      <c r="A160" s="162"/>
      <c r="I160" s="156" t="s">
        <v>327</v>
      </c>
      <c r="J160" s="28">
        <f>VLOOKUP(I160,'Analysis data'!B:E,4,false)</f>
        <v>8.67</v>
      </c>
      <c r="K160" s="28">
        <f>VLOOKUP(I160,'Analysis data'!B:K,9,false)</f>
        <v>0</v>
      </c>
    </row>
    <row r="161">
      <c r="A161" s="163"/>
      <c r="I161" s="159" t="s">
        <v>4677</v>
      </c>
      <c r="J161" s="28">
        <f>VLOOKUP(I161,'Analysis data'!B:E,4,false)</f>
        <v>8.03</v>
      </c>
      <c r="K161" s="28">
        <f>VLOOKUP(I161,'Analysis data'!B:K,9,false)</f>
        <v>0</v>
      </c>
    </row>
    <row r="162" hidden="1">
      <c r="A162" s="162"/>
      <c r="I162" s="156" t="s">
        <v>3493</v>
      </c>
      <c r="J162" s="28">
        <f>VLOOKUP(I162,'Analysis data'!B:E,4,false)</f>
        <v>8.47</v>
      </c>
      <c r="K162" s="28" t="str">
        <f>VLOOKUP(I162,'Analysis data'!B:K,9,false)</f>
        <v>HEXAGONE &amp; Realpage</v>
      </c>
    </row>
    <row r="163" hidden="1">
      <c r="A163" s="163"/>
      <c r="I163" s="159" t="s">
        <v>3495</v>
      </c>
      <c r="J163" s="28">
        <f>VLOOKUP(I163,'Analysis data'!B:E,4,false)</f>
        <v>8.14</v>
      </c>
      <c r="K163" s="28">
        <f>VLOOKUP(I163,'Analysis data'!B:K,9,false)</f>
        <v>0</v>
      </c>
    </row>
    <row r="164" hidden="1">
      <c r="A164" s="162"/>
      <c r="I164" s="156" t="s">
        <v>176</v>
      </c>
      <c r="J164" s="28">
        <f>VLOOKUP(I164,'Analysis data'!B:E,4,false)</f>
        <v>8.5</v>
      </c>
      <c r="K164" s="28">
        <f>VLOOKUP(I164,'Analysis data'!B:K,9,false)</f>
        <v>0</v>
      </c>
    </row>
    <row r="165" hidden="1">
      <c r="A165" s="163"/>
      <c r="I165" s="158" t="s">
        <v>660</v>
      </c>
      <c r="J165" s="28">
        <f>VLOOKUP(I165,'Analysis data'!B:E,4,false)</f>
        <v>7.87</v>
      </c>
      <c r="K165" s="28">
        <f>VLOOKUP(I165,'Analysis data'!B:K,9,false)</f>
        <v>0</v>
      </c>
    </row>
    <row r="166" hidden="1">
      <c r="A166" s="162"/>
      <c r="I166" s="160" t="s">
        <v>893</v>
      </c>
      <c r="J166" s="28">
        <f>VLOOKUP(I166,'Analysis data'!B:E,4,false)</f>
        <v>8.47</v>
      </c>
      <c r="K166" s="28">
        <f>VLOOKUP(I166,'Analysis data'!B:K,9,false)</f>
        <v>0</v>
      </c>
    </row>
    <row r="167" hidden="1">
      <c r="A167" s="163"/>
      <c r="I167" s="159" t="s">
        <v>6327</v>
      </c>
      <c r="J167" s="28">
        <f>VLOOKUP(I167,'Analysis data'!B:E,4,false)</f>
        <v>7.07</v>
      </c>
      <c r="K167" s="28">
        <f>VLOOKUP(I167,'Analysis data'!B:K,9,false)</f>
        <v>0</v>
      </c>
    </row>
    <row r="168" hidden="1">
      <c r="A168" s="162"/>
      <c r="I168" s="156" t="s">
        <v>4504</v>
      </c>
      <c r="J168" s="28">
        <f>VLOOKUP(I168,'Analysis data'!B:E,4,false)</f>
        <v>7.96</v>
      </c>
      <c r="K168" s="28">
        <f>VLOOKUP(I168,'Analysis data'!B:K,9,false)</f>
        <v>0</v>
      </c>
    </row>
    <row r="169" hidden="1">
      <c r="A169" s="163"/>
      <c r="I169" s="159" t="s">
        <v>6328</v>
      </c>
      <c r="J169" s="28">
        <f>VLOOKUP(I169,'Analysis data'!B:E,4,false)</f>
        <v>8</v>
      </c>
      <c r="K169" s="28">
        <f>VLOOKUP(I169,'Analysis data'!B:K,9,false)</f>
        <v>0</v>
      </c>
    </row>
    <row r="170" hidden="1">
      <c r="A170" s="162"/>
      <c r="I170" s="156" t="s">
        <v>294</v>
      </c>
      <c r="J170" s="28">
        <f>VLOOKUP(I170,'Analysis data'!B:E,4,false)</f>
        <v>8.97</v>
      </c>
      <c r="K170" s="28">
        <f>VLOOKUP(I170,'Analysis data'!B:K,9,false)</f>
        <v>0</v>
      </c>
    </row>
    <row r="171" hidden="1">
      <c r="A171" s="162"/>
      <c r="I171" s="159" t="s">
        <v>6329</v>
      </c>
      <c r="J171" s="28">
        <f>VLOOKUP(I171,'Analysis data'!B:E,4,false)</f>
        <v>8.31</v>
      </c>
      <c r="K171" s="28">
        <f>VLOOKUP(I171,'Analysis data'!B:K,9,false)</f>
        <v>0</v>
      </c>
    </row>
    <row r="172" hidden="1">
      <c r="A172" s="163"/>
      <c r="I172" s="160" t="s">
        <v>6330</v>
      </c>
      <c r="J172" s="28">
        <f>VLOOKUP(I172,'Analysis data'!B:E,4,false)</f>
        <v>8.52</v>
      </c>
      <c r="K172" s="28" t="str">
        <f>VLOOKUP(I172,'Analysis data'!B:K,9,false)</f>
        <v>&amp; Realpage</v>
      </c>
    </row>
    <row r="173" hidden="1">
      <c r="A173" s="162"/>
      <c r="I173" s="159" t="s">
        <v>6331</v>
      </c>
      <c r="J173" s="28">
        <f>VLOOKUP(I173,'Analysis data'!B:E,4,false)</f>
        <v>8.43</v>
      </c>
      <c r="K173" s="28">
        <f>VLOOKUP(I173,'Analysis data'!B:K,9,false)</f>
        <v>0</v>
      </c>
    </row>
    <row r="174" hidden="1">
      <c r="A174" s="163"/>
      <c r="I174" s="160" t="s">
        <v>279</v>
      </c>
      <c r="J174" s="28">
        <f>VLOOKUP(I174,'Analysis data'!B:E,4,false)</f>
        <v>8.74</v>
      </c>
      <c r="K174" s="28">
        <f>VLOOKUP(I174,'Analysis data'!B:K,9,false)</f>
        <v>0</v>
      </c>
    </row>
    <row r="175">
      <c r="A175" s="162"/>
      <c r="I175" s="159" t="s">
        <v>566</v>
      </c>
      <c r="J175" s="28" t="str">
        <f>VLOOKUP(I175,'Analysis data'!B:E,4,false)</f>
        <v/>
      </c>
      <c r="K175" s="28">
        <f>VLOOKUP(I175,'Analysis data'!B:K,9,false)</f>
        <v>0</v>
      </c>
    </row>
    <row r="176">
      <c r="A176" s="162"/>
      <c r="I176" s="160" t="s">
        <v>6332</v>
      </c>
      <c r="J176" s="28" t="str">
        <f>VLOOKUP(I176,'Analysis data'!B:E,4,false)</f>
        <v/>
      </c>
      <c r="K176" s="28">
        <f>VLOOKUP(I176,'Analysis data'!B:K,9,false)</f>
        <v>0</v>
      </c>
    </row>
    <row r="177" hidden="1">
      <c r="A177" s="163"/>
      <c r="I177" s="159" t="s">
        <v>6333</v>
      </c>
      <c r="J177" s="28">
        <f>VLOOKUP(I177,'Analysis data'!B:E,4,false)</f>
        <v>8.78</v>
      </c>
      <c r="K177" s="28">
        <f>VLOOKUP(I177,'Analysis data'!B:K,9,false)</f>
        <v>0</v>
      </c>
    </row>
    <row r="178" hidden="1">
      <c r="A178" s="162"/>
      <c r="I178" s="160" t="s">
        <v>693</v>
      </c>
      <c r="J178" s="28">
        <f>VLOOKUP(I178,'Analysis data'!B:E,4,false)</f>
        <v>8.47</v>
      </c>
      <c r="K178" s="28">
        <f>VLOOKUP(I178,'Analysis data'!B:K,9,false)</f>
        <v>0</v>
      </c>
    </row>
    <row r="179">
      <c r="A179" s="163"/>
      <c r="I179" s="158" t="s">
        <v>4672</v>
      </c>
      <c r="J179" s="28">
        <f>VLOOKUP(I179,'Analysis data'!B:E,4,false)</f>
        <v>7.5</v>
      </c>
      <c r="K179" s="28">
        <f>VLOOKUP(I179,'Analysis data'!B:K,9,false)</f>
        <v>0</v>
      </c>
    </row>
    <row r="180" hidden="1">
      <c r="A180" s="162"/>
      <c r="I180" s="160" t="s">
        <v>716</v>
      </c>
      <c r="J180" s="28">
        <f>VLOOKUP(I180,'Analysis data'!B:E,4,false)</f>
        <v>9.2</v>
      </c>
      <c r="K180" s="28">
        <f>VLOOKUP(I180,'Analysis data'!B:K,9,false)</f>
        <v>0</v>
      </c>
    </row>
    <row r="181" hidden="1">
      <c r="A181" s="163"/>
      <c r="I181" s="158" t="s">
        <v>6334</v>
      </c>
      <c r="J181" s="28">
        <f>VLOOKUP(I181,'Analysis data'!B:E,4,false)</f>
        <v>7.23</v>
      </c>
      <c r="K181" s="28">
        <f>VLOOKUP(I181,'Analysis data'!B:K,9,false)</f>
        <v>0</v>
      </c>
    </row>
    <row r="182">
      <c r="A182" s="162"/>
      <c r="I182" s="160" t="s">
        <v>482</v>
      </c>
      <c r="J182" s="28">
        <f>VLOOKUP(I182,'Analysis data'!B:E,4,false)</f>
        <v>8.6</v>
      </c>
      <c r="K182" s="28">
        <f>VLOOKUP(I182,'Analysis data'!B:K,9,false)</f>
        <v>0</v>
      </c>
    </row>
    <row r="183" hidden="1">
      <c r="A183" s="162"/>
      <c r="I183" s="158" t="s">
        <v>632</v>
      </c>
      <c r="J183" s="28">
        <f>VLOOKUP(I183,'Analysis data'!B:E,4,false)</f>
        <v>9.01</v>
      </c>
      <c r="K183" s="28">
        <f>VLOOKUP(I183,'Analysis data'!B:K,9,false)</f>
        <v>0</v>
      </c>
    </row>
    <row r="184" hidden="1">
      <c r="A184" s="163"/>
      <c r="I184" s="160" t="s">
        <v>707</v>
      </c>
      <c r="J184" s="28">
        <f>VLOOKUP(I184,'Analysis data'!B:E,4,false)</f>
        <v>7.69</v>
      </c>
      <c r="K184" s="28" t="str">
        <f>VLOOKUP(I184,'Analysis data'!B:K,9,false)</f>
        <v>DELOITTE</v>
      </c>
    </row>
    <row r="185">
      <c r="A185" s="162"/>
      <c r="I185" s="159" t="s">
        <v>4634</v>
      </c>
      <c r="J185" s="28">
        <f>VLOOKUP(I185,'Analysis data'!B:E,4,false)</f>
        <v>8.15</v>
      </c>
      <c r="K185" s="28" t="str">
        <f>VLOOKUP(I185,'Analysis data'!B:K,9,false)</f>
        <v>&amp; VIDYANTH</v>
      </c>
    </row>
    <row r="186" hidden="1">
      <c r="I186" s="156" t="s">
        <v>802</v>
      </c>
      <c r="J186" s="28">
        <f>VLOOKUP(I186,'Analysis data'!B:E,4,false)</f>
        <v>8.4</v>
      </c>
      <c r="K186" s="28" t="str">
        <f>VLOOKUP(I186,'Analysis data'!B:K,9,false)</f>
        <v>IBRIDGE</v>
      </c>
    </row>
    <row r="187" hidden="1">
      <c r="I187" s="158" t="s">
        <v>846</v>
      </c>
      <c r="J187" s="28">
        <f>VLOOKUP(I187,'Analysis data'!B:E,4,false)</f>
        <v>8.7</v>
      </c>
      <c r="K187" s="28">
        <f>VLOOKUP(I187,'Analysis data'!B:K,9,false)</f>
        <v>0</v>
      </c>
    </row>
    <row r="188" hidden="1">
      <c r="I188" s="156" t="s">
        <v>107</v>
      </c>
      <c r="J188" s="28" t="str">
        <f>VLOOKUP(I188,'Analysis data'!B:E,4,false)</f>
        <v/>
      </c>
      <c r="K188" s="28">
        <f>VLOOKUP(I188,'Analysis data'!B:K,9,false)</f>
        <v>0</v>
      </c>
    </row>
    <row r="189" hidden="1">
      <c r="I189" s="158" t="s">
        <v>509</v>
      </c>
      <c r="J189" s="28">
        <f>VLOOKUP(I189,'Analysis data'!B:E,4,false)</f>
        <v>8.94</v>
      </c>
      <c r="K189" s="28">
        <f>VLOOKUP(I189,'Analysis data'!B:K,9,false)</f>
        <v>0</v>
      </c>
    </row>
    <row r="190" hidden="1">
      <c r="I190" s="160" t="s">
        <v>3908</v>
      </c>
      <c r="J190" s="28">
        <f>VLOOKUP(I190,'Analysis data'!B:E,4,false)</f>
        <v>8.81</v>
      </c>
      <c r="K190" s="28">
        <f>VLOOKUP(I190,'Analysis data'!B:K,9,false)</f>
        <v>0</v>
      </c>
    </row>
    <row r="191" hidden="1">
      <c r="I191" s="158" t="s">
        <v>570</v>
      </c>
      <c r="J191" s="28">
        <f>VLOOKUP(I191,'Analysis data'!B:E,4,false)</f>
        <v>8.96</v>
      </c>
      <c r="K191" s="28">
        <f>VLOOKUP(I191,'Analysis data'!B:K,9,false)</f>
        <v>0</v>
      </c>
    </row>
    <row r="192" hidden="1">
      <c r="I192" s="160" t="s">
        <v>3500</v>
      </c>
      <c r="J192" s="28">
        <f>VLOOKUP(I192,'Analysis data'!B:E,4,false)</f>
        <v>8.76</v>
      </c>
      <c r="K192" s="28">
        <f>VLOOKUP(I192,'Analysis data'!B:K,9,false)</f>
        <v>0</v>
      </c>
    </row>
    <row r="193" hidden="1">
      <c r="I193" s="159" t="s">
        <v>6335</v>
      </c>
      <c r="J193" s="28">
        <f>VLOOKUP(I193,'Analysis data'!B:E,4,false)</f>
        <v>8.42</v>
      </c>
      <c r="K193" s="28">
        <f>VLOOKUP(I193,'Analysis data'!B:K,9,false)</f>
        <v>0</v>
      </c>
    </row>
    <row r="194" hidden="1">
      <c r="I194" s="156" t="s">
        <v>404</v>
      </c>
      <c r="J194" s="28">
        <f>VLOOKUP(I194,'Analysis data'!B:E,4,false)</f>
        <v>8.37</v>
      </c>
      <c r="K194" s="28">
        <f>VLOOKUP(I194,'Analysis data'!B:K,9,false)</f>
        <v>0</v>
      </c>
    </row>
    <row r="195" hidden="1">
      <c r="I195" s="159" t="s">
        <v>897</v>
      </c>
      <c r="J195" s="28">
        <f>VLOOKUP(I195,'Analysis data'!B:E,4,false)</f>
        <v>8.97</v>
      </c>
      <c r="K195" s="28" t="str">
        <f>VLOOKUP(I195,'Analysis data'!B:K,9,false)</f>
        <v>NIEPID, Secunderabad</v>
      </c>
    </row>
    <row r="196">
      <c r="I196" s="156" t="s">
        <v>353</v>
      </c>
      <c r="J196" s="28">
        <f>VLOOKUP(I196,'Analysis data'!B:E,4,false)</f>
        <v>8.96</v>
      </c>
      <c r="K196" s="28">
        <f>VLOOKUP(I196,'Analysis data'!B:K,9,false)</f>
        <v>0</v>
      </c>
    </row>
    <row r="197" hidden="1">
      <c r="I197" s="159" t="s">
        <v>145</v>
      </c>
      <c r="J197" s="28">
        <f>VLOOKUP(I197,'Analysis data'!B:E,4,false)</f>
        <v>8.6</v>
      </c>
      <c r="K197" s="28">
        <f>VLOOKUP(I197,'Analysis data'!B:K,9,false)</f>
        <v>0</v>
      </c>
    </row>
    <row r="198">
      <c r="I198" s="156" t="s">
        <v>308</v>
      </c>
      <c r="J198" s="28" t="str">
        <f>VLOOKUP(I198,'Analysis data'!B:E,4,false)</f>
        <v/>
      </c>
      <c r="K198" s="28">
        <f>VLOOKUP(I198,'Analysis data'!B:K,9,false)</f>
        <v>0</v>
      </c>
    </row>
    <row r="199" hidden="1">
      <c r="I199" s="159" t="s">
        <v>560</v>
      </c>
      <c r="J199" s="28">
        <f>VLOOKUP(I199,'Analysis data'!B:E,4,false)</f>
        <v>8.47</v>
      </c>
      <c r="K199" s="28">
        <f>VLOOKUP(I199,'Analysis data'!B:K,9,false)</f>
        <v>0</v>
      </c>
    </row>
    <row r="200" hidden="1">
      <c r="I200" s="160" t="s">
        <v>811</v>
      </c>
      <c r="J200" s="28">
        <f>VLOOKUP(I200,'Analysis data'!B:E,4,false)</f>
        <v>8.77</v>
      </c>
      <c r="K200" s="28" t="str">
        <f>VLOOKUP(I200,'Analysis data'!B:K,9,false)</f>
        <v>NIEPID, Secunderabad</v>
      </c>
    </row>
    <row r="201" hidden="1">
      <c r="I201" s="159" t="s">
        <v>688</v>
      </c>
      <c r="J201" s="28">
        <f>VLOOKUP(I201,'Analysis data'!B:E,4,false)</f>
        <v>7.43</v>
      </c>
      <c r="K201" s="28">
        <f>VLOOKUP(I201,'Analysis data'!B:K,9,false)</f>
        <v>0</v>
      </c>
    </row>
    <row r="202" hidden="1">
      <c r="I202" s="156" t="s">
        <v>6336</v>
      </c>
      <c r="J202" s="28">
        <f>VLOOKUP(I202,'Analysis data'!B:E,4,false)</f>
        <v>6.93</v>
      </c>
      <c r="K202" s="28">
        <f>VLOOKUP(I202,'Analysis data'!B:K,9,false)</f>
        <v>0</v>
      </c>
    </row>
    <row r="203" hidden="1">
      <c r="I203" s="159" t="s">
        <v>58</v>
      </c>
      <c r="J203" s="28">
        <f>VLOOKUP(I203,'Analysis data'!B:E,4,false)</f>
        <v>9.01</v>
      </c>
      <c r="K203" s="28" t="str">
        <f>VLOOKUP(I203,'Analysis data'!B:K,9,false)</f>
        <v>DBS</v>
      </c>
    </row>
    <row r="204">
      <c r="I204" s="156" t="s">
        <v>417</v>
      </c>
      <c r="J204" s="28">
        <f>VLOOKUP(I204,'Analysis data'!B:E,4,false)</f>
        <v>8.92</v>
      </c>
      <c r="K204" s="28">
        <f>VLOOKUP(I204,'Analysis data'!B:K,9,false)</f>
        <v>0</v>
      </c>
    </row>
    <row r="205">
      <c r="I205" s="159" t="s">
        <v>3905</v>
      </c>
      <c r="J205" s="28">
        <f>VLOOKUP(I205,'Analysis data'!B:E,4,false)</f>
        <v>8.71</v>
      </c>
      <c r="K205" s="28">
        <f>VLOOKUP(I205,'Analysis data'!B:K,9,false)</f>
        <v>0</v>
      </c>
    </row>
    <row r="206" hidden="1">
      <c r="I206" s="156" t="s">
        <v>67</v>
      </c>
      <c r="J206" s="28">
        <f>VLOOKUP(I206,'Analysis data'!B:E,4,false)</f>
        <v>8.99</v>
      </c>
      <c r="K206" s="28">
        <f>VLOOKUP(I206,'Analysis data'!B:K,9,false)</f>
        <v>0</v>
      </c>
    </row>
    <row r="207">
      <c r="I207" s="158" t="s">
        <v>4455</v>
      </c>
      <c r="J207" s="28">
        <f>VLOOKUP(I207,'Analysis data'!B:E,4,false)</f>
        <v>7.29</v>
      </c>
      <c r="K207" s="28">
        <f>VLOOKUP(I207,'Analysis data'!B:K,9,false)</f>
        <v>0</v>
      </c>
    </row>
  </sheetData>
  <autoFilter ref="$I$1:$K$207">
    <filterColumn colId="2">
      <filters>
        <filter val="DBS &amp; VIAPLUS &amp; AMAZON SDE INTERN"/>
        <filter val="SKILL DUNIA &amp; VIDYANTH"/>
        <filter val="SKILL DUNIA"/>
        <filter val="DELOITTE"/>
        <filter val="NIEPID, Secunderabad"/>
        <filter val="#N/A"/>
        <filter val="&amp; VIDYANTH"/>
        <filter val="STATESTREET"/>
        <filter val="0"/>
        <filter val="&amp; Realpage"/>
        <filter val="VIDYANTH"/>
        <filter val="HEXAGONE &amp; Realpage"/>
        <filter val="DBS"/>
        <filter val="FORAGE AI"/>
        <filter val="IBRIDGE"/>
        <filter val="ZELIS"/>
      </filters>
    </filterColumn>
    <filterColumn colId="1">
      <filters>
        <filter val="8.6"/>
        <filter val="8.59"/>
        <filter val="7.89"/>
        <filter val="8.7"/>
        <filter val="8.57"/>
        <filter val="9.26"/>
        <filter val="8.58"/>
        <filter val="7.07"/>
        <filter val="8.52"/>
        <filter val="8.56"/>
        <filter val="9.21"/>
        <filter val="7.88"/>
        <filter val="9.22"/>
        <filter val="7.87"/>
        <filter val="7.13"/>
        <filter val="8.68"/>
        <filter val="8.69"/>
        <filter val="7.93"/>
        <filter val="7.92"/>
        <filter val="8.63"/>
        <filter val="7.95"/>
        <filter val="8.61"/>
        <filter val="8.67"/>
        <filter val="7.96"/>
        <filter val="7.99"/>
        <filter val="8.65"/>
        <filter val="8"/>
        <filter val="7.5"/>
        <filter val="7.6"/>
        <filter val="7.8"/>
        <filter val="7.23"/>
        <filter val="7.9"/>
        <filter val="7.28"/>
        <filter val="7.29"/>
        <filter val="8.74"/>
        <filter val="8.71"/>
        <filter val="8.77"/>
        <filter val="8.78"/>
        <filter val="7.22"/>
        <filter val="8.75"/>
        <filter val="8.76"/>
        <filter val="8.04"/>
        <filter val="8.05"/>
        <filter val="7.37"/>
        <filter val="8.03"/>
        <filter val="8.08"/>
        <filter val="8.07"/>
        <filter val="8.85"/>
        <filter val="8.82"/>
        <filter val="8.83"/>
        <filter val="8.88"/>
        <filter val="7.32"/>
        <filter val="8.81"/>
        <filter val="7.46"/>
        <filter val="8.15"/>
        <filter val="8.16"/>
        <filter val="7.45"/>
        <filter val="8.13"/>
        <filter val="8.14"/>
        <filter val="7.47"/>
        <filter val="8.19"/>
        <filter val="8.17"/>
        <filter val="8.18"/>
        <filter val="8.95"/>
        <filter val="8.96"/>
        <filter val="8.94"/>
        <filter val="8.11"/>
        <filter val="7.42"/>
        <filter val="8.99"/>
        <filter val="8.12"/>
        <filter val="8.97"/>
        <filter val="7.44"/>
        <filter val="8.98"/>
        <filter val="7.43"/>
        <filter val="8.92"/>
        <filter val="8.26"/>
        <filter val="8.27"/>
        <filter val="8.25"/>
        <filter val="8.28"/>
        <filter val="8.29"/>
        <filter val="#N/A"/>
        <filter val="8.22"/>
        <filter val="7.52"/>
        <filter val="8.21"/>
        <filter val="7.54"/>
        <filter val="9.1"/>
        <filter val="9.2"/>
        <filter val="8.37"/>
        <filter val="7.68"/>
        <filter val="8.38"/>
        <filter val="8.35"/>
        <filter val="9.04"/>
        <filter val="7.69"/>
        <filter val="8.36"/>
        <filter val="9.09"/>
        <filter val="9.07"/>
        <filter val="7.62"/>
        <filter val="6.93"/>
        <filter val="8.33"/>
        <filter val="9.01"/>
        <filter val="8.31"/>
        <filter val="8.32"/>
        <filter val="9.16"/>
        <filter val="8.48"/>
        <filter val="8.49"/>
        <filter val="7.78"/>
        <filter val="8.47"/>
        <filter val="9.18"/>
        <filter val="7.71"/>
        <filter val="8.41"/>
        <filter val="7.73"/>
        <filter val="7.75"/>
        <filter val="8.45"/>
        <filter val="9.13"/>
        <filter val="8.42"/>
        <filter val="8.43"/>
        <filter val="8.1"/>
        <filter val="8.2"/>
        <filter val="8.3"/>
        <filter val="8.4"/>
        <filter val="8.5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0"/>
    <col customWidth="1" min="3" max="3" width="13.71"/>
    <col customWidth="1" min="4" max="4" width="42.14"/>
    <col customWidth="1" min="5" max="5" width="7.0"/>
    <col customWidth="1" min="6" max="8" width="8.0"/>
  </cols>
  <sheetData>
    <row r="1" ht="14.25" customHeight="1">
      <c r="A1" s="28" t="s">
        <v>6337</v>
      </c>
      <c r="B1" s="28" t="s">
        <v>34</v>
      </c>
      <c r="C1" s="165" t="s">
        <v>6338</v>
      </c>
      <c r="D1" s="165" t="s">
        <v>35</v>
      </c>
      <c r="E1" s="165" t="s">
        <v>36</v>
      </c>
      <c r="F1" s="166" t="s">
        <v>6339</v>
      </c>
      <c r="G1" s="166"/>
      <c r="H1" s="166"/>
    </row>
    <row r="2" ht="14.25" customHeight="1">
      <c r="A2" s="28">
        <v>1.0</v>
      </c>
      <c r="B2" s="28" t="s">
        <v>14</v>
      </c>
      <c r="C2" s="30" t="s">
        <v>44</v>
      </c>
      <c r="D2" s="30" t="s">
        <v>45</v>
      </c>
      <c r="E2" s="167">
        <v>8.65</v>
      </c>
      <c r="F2" s="28" t="str">
        <f t="shared" ref="F2:F358" si="1">IF(E2&gt;0,"pass","fail")</f>
        <v>pass</v>
      </c>
    </row>
    <row r="3" ht="14.25" customHeight="1">
      <c r="A3" s="28">
        <v>2.0</v>
      </c>
      <c r="B3" s="28" t="s">
        <v>14</v>
      </c>
      <c r="C3" s="30" t="s">
        <v>49</v>
      </c>
      <c r="D3" s="30" t="s">
        <v>50</v>
      </c>
      <c r="E3" s="167">
        <v>7.88</v>
      </c>
      <c r="F3" s="28" t="str">
        <f t="shared" si="1"/>
        <v>pass</v>
      </c>
    </row>
    <row r="4" ht="14.25" customHeight="1">
      <c r="A4" s="28">
        <v>3.0</v>
      </c>
      <c r="B4" s="28" t="s">
        <v>14</v>
      </c>
      <c r="C4" s="30" t="s">
        <v>53</v>
      </c>
      <c r="D4" s="30" t="s">
        <v>54</v>
      </c>
      <c r="E4" s="167">
        <v>8.57</v>
      </c>
      <c r="F4" s="28" t="str">
        <f t="shared" si="1"/>
        <v>pass</v>
      </c>
    </row>
    <row r="5" ht="14.25" customHeight="1">
      <c r="A5" s="28">
        <v>4.0</v>
      </c>
      <c r="B5" s="28" t="s">
        <v>14</v>
      </c>
      <c r="C5" s="30" t="s">
        <v>55</v>
      </c>
      <c r="D5" s="30" t="s">
        <v>56</v>
      </c>
      <c r="E5" s="167"/>
      <c r="F5" s="28" t="str">
        <f t="shared" si="1"/>
        <v>fail</v>
      </c>
    </row>
    <row r="6" ht="14.25" customHeight="1">
      <c r="A6" s="28">
        <v>5.0</v>
      </c>
      <c r="B6" s="28" t="s">
        <v>14</v>
      </c>
      <c r="C6" s="30" t="s">
        <v>58</v>
      </c>
      <c r="D6" s="30" t="s">
        <v>59</v>
      </c>
      <c r="E6" s="167">
        <v>9.03</v>
      </c>
      <c r="F6" s="28" t="str">
        <f t="shared" si="1"/>
        <v>pass</v>
      </c>
    </row>
    <row r="7" ht="14.25" customHeight="1">
      <c r="A7" s="28">
        <v>6.0</v>
      </c>
      <c r="B7" s="28" t="s">
        <v>14</v>
      </c>
      <c r="C7" s="30" t="s">
        <v>64</v>
      </c>
      <c r="D7" s="30" t="s">
        <v>65</v>
      </c>
      <c r="E7" s="167">
        <v>8.19</v>
      </c>
      <c r="F7" s="28" t="str">
        <f t="shared" si="1"/>
        <v>pass</v>
      </c>
    </row>
    <row r="8" ht="14.25" customHeight="1">
      <c r="A8" s="28">
        <v>7.0</v>
      </c>
      <c r="B8" s="28" t="s">
        <v>14</v>
      </c>
      <c r="C8" s="30" t="s">
        <v>67</v>
      </c>
      <c r="D8" s="30" t="s">
        <v>68</v>
      </c>
      <c r="E8" s="167">
        <v>9.06</v>
      </c>
      <c r="F8" s="28" t="str">
        <f t="shared" si="1"/>
        <v>pass</v>
      </c>
    </row>
    <row r="9" ht="14.25" customHeight="1">
      <c r="A9" s="28">
        <v>8.0</v>
      </c>
      <c r="B9" s="28" t="s">
        <v>14</v>
      </c>
      <c r="C9" s="30" t="s">
        <v>70</v>
      </c>
      <c r="D9" s="30" t="s">
        <v>71</v>
      </c>
      <c r="E9" s="167">
        <v>6.91</v>
      </c>
      <c r="F9" s="28" t="str">
        <f t="shared" si="1"/>
        <v>pass</v>
      </c>
    </row>
    <row r="10" ht="14.25" customHeight="1">
      <c r="A10" s="28">
        <v>9.0</v>
      </c>
      <c r="B10" s="28" t="s">
        <v>14</v>
      </c>
      <c r="C10" s="30" t="s">
        <v>73</v>
      </c>
      <c r="D10" s="30" t="s">
        <v>74</v>
      </c>
      <c r="E10" s="167">
        <v>8.65</v>
      </c>
      <c r="F10" s="28" t="str">
        <f t="shared" si="1"/>
        <v>pass</v>
      </c>
    </row>
    <row r="11" ht="14.25" customHeight="1">
      <c r="A11" s="28">
        <v>10.0</v>
      </c>
      <c r="B11" s="28" t="s">
        <v>14</v>
      </c>
      <c r="C11" s="30" t="s">
        <v>76</v>
      </c>
      <c r="D11" s="30" t="s">
        <v>77</v>
      </c>
      <c r="E11" s="167">
        <v>9.23</v>
      </c>
      <c r="F11" s="28" t="str">
        <f t="shared" si="1"/>
        <v>pass</v>
      </c>
    </row>
    <row r="12" ht="14.25" customHeight="1">
      <c r="A12" s="28">
        <v>11.0</v>
      </c>
      <c r="B12" s="28" t="s">
        <v>14</v>
      </c>
      <c r="C12" s="30" t="s">
        <v>81</v>
      </c>
      <c r="D12" s="30" t="s">
        <v>82</v>
      </c>
      <c r="E12" s="167"/>
      <c r="F12" s="28" t="str">
        <f t="shared" si="1"/>
        <v>fail</v>
      </c>
    </row>
    <row r="13" ht="14.25" customHeight="1">
      <c r="A13" s="28">
        <v>12.0</v>
      </c>
      <c r="B13" s="28" t="s">
        <v>14</v>
      </c>
      <c r="C13" s="30" t="s">
        <v>84</v>
      </c>
      <c r="D13" s="30" t="s">
        <v>85</v>
      </c>
      <c r="E13" s="167">
        <v>8.48</v>
      </c>
      <c r="F13" s="28" t="str">
        <f t="shared" si="1"/>
        <v>pass</v>
      </c>
    </row>
    <row r="14" ht="14.25" customHeight="1">
      <c r="A14" s="28">
        <v>13.0</v>
      </c>
      <c r="B14" s="28" t="s">
        <v>14</v>
      </c>
      <c r="C14" s="30" t="s">
        <v>88</v>
      </c>
      <c r="D14" s="30" t="s">
        <v>89</v>
      </c>
      <c r="E14" s="167">
        <v>7.77</v>
      </c>
      <c r="F14" s="28" t="str">
        <f t="shared" si="1"/>
        <v>pass</v>
      </c>
    </row>
    <row r="15" ht="14.25" customHeight="1">
      <c r="A15" s="28">
        <v>14.0</v>
      </c>
      <c r="B15" s="28" t="s">
        <v>14</v>
      </c>
      <c r="C15" s="30" t="s">
        <v>92</v>
      </c>
      <c r="D15" s="30" t="s">
        <v>6340</v>
      </c>
      <c r="E15" s="167">
        <v>8.02</v>
      </c>
      <c r="F15" s="28" t="str">
        <f t="shared" si="1"/>
        <v>pass</v>
      </c>
    </row>
    <row r="16" ht="14.25" customHeight="1">
      <c r="A16" s="28">
        <v>15.0</v>
      </c>
      <c r="B16" s="28" t="s">
        <v>14</v>
      </c>
      <c r="C16" s="30" t="s">
        <v>95</v>
      </c>
      <c r="D16" s="30" t="s">
        <v>96</v>
      </c>
      <c r="E16" s="167">
        <v>8.45</v>
      </c>
      <c r="F16" s="28" t="str">
        <f t="shared" si="1"/>
        <v>pass</v>
      </c>
    </row>
    <row r="17" ht="14.25" customHeight="1">
      <c r="A17" s="28">
        <v>16.0</v>
      </c>
      <c r="B17" s="28" t="s">
        <v>14</v>
      </c>
      <c r="C17" s="30" t="s">
        <v>100</v>
      </c>
      <c r="D17" s="30" t="s">
        <v>6341</v>
      </c>
      <c r="E17" s="167">
        <v>8.74</v>
      </c>
      <c r="F17" s="28" t="str">
        <f t="shared" si="1"/>
        <v>pass</v>
      </c>
    </row>
    <row r="18" ht="14.25" customHeight="1">
      <c r="A18" s="28">
        <v>17.0</v>
      </c>
      <c r="B18" s="28" t="s">
        <v>14</v>
      </c>
      <c r="C18" s="30" t="s">
        <v>104</v>
      </c>
      <c r="D18" s="30" t="s">
        <v>6342</v>
      </c>
      <c r="E18" s="167">
        <v>8.7</v>
      </c>
      <c r="F18" s="28" t="str">
        <f t="shared" si="1"/>
        <v>pass</v>
      </c>
    </row>
    <row r="19" ht="14.25" customHeight="1">
      <c r="A19" s="28">
        <v>18.0</v>
      </c>
      <c r="B19" s="28" t="s">
        <v>14</v>
      </c>
      <c r="C19" s="30" t="s">
        <v>107</v>
      </c>
      <c r="D19" s="30" t="s">
        <v>6343</v>
      </c>
      <c r="E19" s="167"/>
      <c r="F19" s="28" t="str">
        <f t="shared" si="1"/>
        <v>fail</v>
      </c>
    </row>
    <row r="20" ht="14.25" customHeight="1">
      <c r="A20" s="28">
        <v>19.0</v>
      </c>
      <c r="B20" s="28" t="s">
        <v>14</v>
      </c>
      <c r="C20" s="30" t="s">
        <v>109</v>
      </c>
      <c r="D20" s="30" t="s">
        <v>110</v>
      </c>
      <c r="E20" s="167">
        <v>7.96</v>
      </c>
      <c r="F20" s="28" t="str">
        <f t="shared" si="1"/>
        <v>pass</v>
      </c>
    </row>
    <row r="21" ht="14.25" customHeight="1">
      <c r="A21" s="28">
        <v>20.0</v>
      </c>
      <c r="B21" s="28" t="s">
        <v>14</v>
      </c>
      <c r="C21" s="30" t="s">
        <v>112</v>
      </c>
      <c r="D21" s="30" t="s">
        <v>113</v>
      </c>
      <c r="E21" s="167">
        <v>8.33</v>
      </c>
      <c r="F21" s="28" t="str">
        <f t="shared" si="1"/>
        <v>pass</v>
      </c>
    </row>
    <row r="22" ht="14.25" customHeight="1">
      <c r="A22" s="28">
        <v>21.0</v>
      </c>
      <c r="B22" s="28" t="s">
        <v>14</v>
      </c>
      <c r="C22" s="30" t="s">
        <v>116</v>
      </c>
      <c r="D22" s="30" t="s">
        <v>6344</v>
      </c>
      <c r="E22" s="167">
        <v>8.36</v>
      </c>
      <c r="F22" s="28" t="str">
        <f t="shared" si="1"/>
        <v>pass</v>
      </c>
    </row>
    <row r="23" ht="14.25" customHeight="1">
      <c r="A23" s="28">
        <v>22.0</v>
      </c>
      <c r="B23" s="28" t="s">
        <v>14</v>
      </c>
      <c r="C23" s="30" t="s">
        <v>120</v>
      </c>
      <c r="D23" s="30" t="s">
        <v>6345</v>
      </c>
      <c r="E23" s="167">
        <v>8.08</v>
      </c>
      <c r="F23" s="28" t="str">
        <f t="shared" si="1"/>
        <v>pass</v>
      </c>
    </row>
    <row r="24" ht="14.25" customHeight="1">
      <c r="A24" s="28">
        <v>23.0</v>
      </c>
      <c r="B24" s="28" t="s">
        <v>14</v>
      </c>
      <c r="C24" s="30" t="s">
        <v>123</v>
      </c>
      <c r="D24" s="30" t="s">
        <v>124</v>
      </c>
      <c r="E24" s="167">
        <v>9.19</v>
      </c>
      <c r="F24" s="28" t="str">
        <f t="shared" si="1"/>
        <v>pass</v>
      </c>
    </row>
    <row r="25" ht="14.25" customHeight="1">
      <c r="A25" s="28">
        <v>24.0</v>
      </c>
      <c r="B25" s="28" t="s">
        <v>14</v>
      </c>
      <c r="C25" s="30" t="s">
        <v>126</v>
      </c>
      <c r="D25" s="30" t="s">
        <v>6346</v>
      </c>
      <c r="E25" s="167"/>
      <c r="F25" s="28" t="str">
        <f t="shared" si="1"/>
        <v>fail</v>
      </c>
    </row>
    <row r="26" ht="14.25" customHeight="1">
      <c r="A26" s="28">
        <v>25.0</v>
      </c>
      <c r="B26" s="28" t="s">
        <v>14</v>
      </c>
      <c r="C26" s="30" t="s">
        <v>128</v>
      </c>
      <c r="D26" s="30" t="s">
        <v>129</v>
      </c>
      <c r="E26" s="167">
        <v>8.6</v>
      </c>
      <c r="F26" s="28" t="str">
        <f t="shared" si="1"/>
        <v>pass</v>
      </c>
    </row>
    <row r="27" ht="14.25" customHeight="1">
      <c r="A27" s="28">
        <v>26.0</v>
      </c>
      <c r="B27" s="28" t="s">
        <v>14</v>
      </c>
      <c r="C27" s="30" t="s">
        <v>131</v>
      </c>
      <c r="D27" s="30" t="s">
        <v>132</v>
      </c>
      <c r="E27" s="167">
        <v>8.67</v>
      </c>
      <c r="F27" s="28" t="str">
        <f t="shared" si="1"/>
        <v>pass</v>
      </c>
    </row>
    <row r="28" ht="14.25" customHeight="1">
      <c r="A28" s="28">
        <v>27.0</v>
      </c>
      <c r="B28" s="28" t="s">
        <v>14</v>
      </c>
      <c r="C28" s="30" t="s">
        <v>134</v>
      </c>
      <c r="D28" s="30" t="s">
        <v>135</v>
      </c>
      <c r="E28" s="167">
        <v>8.27</v>
      </c>
      <c r="F28" s="28" t="str">
        <f t="shared" si="1"/>
        <v>pass</v>
      </c>
    </row>
    <row r="29" ht="14.25" customHeight="1">
      <c r="A29" s="28">
        <v>28.0</v>
      </c>
      <c r="B29" s="28" t="s">
        <v>14</v>
      </c>
      <c r="C29" s="30" t="s">
        <v>137</v>
      </c>
      <c r="D29" s="30" t="s">
        <v>6347</v>
      </c>
      <c r="E29" s="167">
        <v>8.3</v>
      </c>
      <c r="F29" s="28" t="str">
        <f t="shared" si="1"/>
        <v>pass</v>
      </c>
    </row>
    <row r="30" ht="14.25" customHeight="1">
      <c r="A30" s="28">
        <v>29.0</v>
      </c>
      <c r="B30" s="28" t="s">
        <v>14</v>
      </c>
      <c r="C30" s="30" t="s">
        <v>140</v>
      </c>
      <c r="D30" s="30" t="s">
        <v>6348</v>
      </c>
      <c r="E30" s="167">
        <v>8.19</v>
      </c>
      <c r="F30" s="28" t="str">
        <f t="shared" si="1"/>
        <v>pass</v>
      </c>
    </row>
    <row r="31" ht="14.25" customHeight="1">
      <c r="A31" s="28">
        <v>30.0</v>
      </c>
      <c r="B31" s="28" t="s">
        <v>14</v>
      </c>
      <c r="C31" s="30" t="s">
        <v>142</v>
      </c>
      <c r="D31" s="30" t="s">
        <v>6349</v>
      </c>
      <c r="E31" s="167">
        <v>8.75</v>
      </c>
      <c r="F31" s="28" t="str">
        <f t="shared" si="1"/>
        <v>pass</v>
      </c>
    </row>
    <row r="32" ht="14.25" customHeight="1">
      <c r="A32" s="28">
        <v>31.0</v>
      </c>
      <c r="B32" s="28" t="s">
        <v>14</v>
      </c>
      <c r="C32" s="30" t="s">
        <v>145</v>
      </c>
      <c r="D32" s="30" t="s">
        <v>146</v>
      </c>
      <c r="E32" s="167">
        <v>8.63</v>
      </c>
      <c r="F32" s="28" t="str">
        <f t="shared" si="1"/>
        <v>pass</v>
      </c>
    </row>
    <row r="33" ht="14.25" customHeight="1">
      <c r="A33" s="28">
        <v>32.0</v>
      </c>
      <c r="B33" s="28" t="s">
        <v>14</v>
      </c>
      <c r="C33" s="30" t="s">
        <v>147</v>
      </c>
      <c r="D33" s="30" t="s">
        <v>148</v>
      </c>
      <c r="E33" s="167">
        <v>8.34</v>
      </c>
      <c r="F33" s="28" t="str">
        <f t="shared" si="1"/>
        <v>pass</v>
      </c>
    </row>
    <row r="34" ht="14.25" customHeight="1">
      <c r="A34" s="28">
        <v>33.0</v>
      </c>
      <c r="B34" s="28" t="s">
        <v>14</v>
      </c>
      <c r="C34" s="30" t="s">
        <v>149</v>
      </c>
      <c r="D34" s="30" t="s">
        <v>6350</v>
      </c>
      <c r="E34" s="167">
        <v>8.41</v>
      </c>
      <c r="F34" s="28" t="str">
        <f t="shared" si="1"/>
        <v>pass</v>
      </c>
    </row>
    <row r="35" ht="14.25" customHeight="1">
      <c r="A35" s="28">
        <v>34.0</v>
      </c>
      <c r="B35" s="28" t="s">
        <v>14</v>
      </c>
      <c r="C35" s="30" t="s">
        <v>152</v>
      </c>
      <c r="D35" s="30" t="s">
        <v>153</v>
      </c>
      <c r="E35" s="167">
        <v>7.24</v>
      </c>
      <c r="F35" s="28" t="str">
        <f t="shared" si="1"/>
        <v>pass</v>
      </c>
    </row>
    <row r="36" ht="14.25" customHeight="1">
      <c r="A36" s="28">
        <v>35.0</v>
      </c>
      <c r="B36" s="28" t="s">
        <v>14</v>
      </c>
      <c r="C36" s="30" t="s">
        <v>155</v>
      </c>
      <c r="D36" s="30" t="s">
        <v>6351</v>
      </c>
      <c r="E36" s="167">
        <v>8.15</v>
      </c>
      <c r="F36" s="28" t="str">
        <f t="shared" si="1"/>
        <v>pass</v>
      </c>
    </row>
    <row r="37" ht="14.25" customHeight="1">
      <c r="A37" s="28">
        <v>36.0</v>
      </c>
      <c r="B37" s="28" t="s">
        <v>14</v>
      </c>
      <c r="C37" s="30" t="s">
        <v>158</v>
      </c>
      <c r="D37" s="30" t="s">
        <v>159</v>
      </c>
      <c r="E37" s="167"/>
      <c r="F37" s="28" t="str">
        <f t="shared" si="1"/>
        <v>fail</v>
      </c>
    </row>
    <row r="38" ht="14.25" customHeight="1">
      <c r="A38" s="28">
        <v>37.0</v>
      </c>
      <c r="B38" s="28" t="s">
        <v>14</v>
      </c>
      <c r="C38" s="30" t="s">
        <v>160</v>
      </c>
      <c r="D38" s="30" t="s">
        <v>161</v>
      </c>
      <c r="E38" s="167">
        <v>7.69</v>
      </c>
      <c r="F38" s="28" t="str">
        <f t="shared" si="1"/>
        <v>pass</v>
      </c>
    </row>
    <row r="39" ht="14.25" customHeight="1">
      <c r="A39" s="28">
        <v>38.0</v>
      </c>
      <c r="B39" s="28" t="s">
        <v>14</v>
      </c>
      <c r="C39" s="30" t="s">
        <v>162</v>
      </c>
      <c r="D39" s="30" t="s">
        <v>163</v>
      </c>
      <c r="E39" s="167">
        <v>7.6</v>
      </c>
      <c r="F39" s="28" t="str">
        <f t="shared" si="1"/>
        <v>pass</v>
      </c>
    </row>
    <row r="40" ht="14.25" customHeight="1">
      <c r="A40" s="28">
        <v>39.0</v>
      </c>
      <c r="B40" s="28" t="s">
        <v>14</v>
      </c>
      <c r="C40" s="30" t="s">
        <v>165</v>
      </c>
      <c r="D40" s="30" t="s">
        <v>4472</v>
      </c>
      <c r="E40" s="167"/>
      <c r="F40" s="28" t="str">
        <f t="shared" si="1"/>
        <v>fail</v>
      </c>
    </row>
    <row r="41" ht="14.25" customHeight="1">
      <c r="A41" s="28">
        <v>40.0</v>
      </c>
      <c r="B41" s="28" t="s">
        <v>14</v>
      </c>
      <c r="C41" s="30" t="s">
        <v>167</v>
      </c>
      <c r="D41" s="30" t="s">
        <v>168</v>
      </c>
      <c r="E41" s="167">
        <v>8.98</v>
      </c>
      <c r="F41" s="28" t="str">
        <f t="shared" si="1"/>
        <v>pass</v>
      </c>
    </row>
    <row r="42" ht="14.25" customHeight="1">
      <c r="A42" s="28">
        <v>41.0</v>
      </c>
      <c r="B42" s="28" t="s">
        <v>14</v>
      </c>
      <c r="C42" s="30" t="s">
        <v>169</v>
      </c>
      <c r="D42" s="30" t="s">
        <v>6352</v>
      </c>
      <c r="E42" s="167">
        <v>8.23</v>
      </c>
      <c r="F42" s="28" t="str">
        <f t="shared" si="1"/>
        <v>pass</v>
      </c>
    </row>
    <row r="43" ht="14.25" customHeight="1">
      <c r="A43" s="28">
        <v>42.0</v>
      </c>
      <c r="B43" s="28" t="s">
        <v>14</v>
      </c>
      <c r="C43" s="30" t="s">
        <v>171</v>
      </c>
      <c r="D43" s="30" t="s">
        <v>172</v>
      </c>
      <c r="E43" s="167">
        <v>9.06</v>
      </c>
      <c r="F43" s="28" t="str">
        <f t="shared" si="1"/>
        <v>pass</v>
      </c>
    </row>
    <row r="44" ht="14.25" customHeight="1">
      <c r="A44" s="28">
        <v>43.0</v>
      </c>
      <c r="B44" s="28" t="s">
        <v>14</v>
      </c>
      <c r="C44" s="30" t="s">
        <v>173</v>
      </c>
      <c r="D44" s="30" t="s">
        <v>174</v>
      </c>
      <c r="E44" s="167"/>
      <c r="F44" s="28" t="str">
        <f t="shared" si="1"/>
        <v>fail</v>
      </c>
    </row>
    <row r="45" ht="14.25" customHeight="1">
      <c r="A45" s="28">
        <v>44.0</v>
      </c>
      <c r="B45" s="28" t="s">
        <v>14</v>
      </c>
      <c r="C45" s="30" t="s">
        <v>176</v>
      </c>
      <c r="D45" s="30" t="s">
        <v>177</v>
      </c>
      <c r="E45" s="167">
        <v>8.48</v>
      </c>
      <c r="F45" s="28" t="str">
        <f t="shared" si="1"/>
        <v>pass</v>
      </c>
    </row>
    <row r="46" ht="14.25" customHeight="1">
      <c r="A46" s="28">
        <v>45.0</v>
      </c>
      <c r="B46" s="28" t="s">
        <v>14</v>
      </c>
      <c r="C46" s="30" t="s">
        <v>179</v>
      </c>
      <c r="D46" s="30" t="s">
        <v>6353</v>
      </c>
      <c r="E46" s="167">
        <v>7.62</v>
      </c>
      <c r="F46" s="28" t="str">
        <f t="shared" si="1"/>
        <v>pass</v>
      </c>
    </row>
    <row r="47" ht="14.25" customHeight="1">
      <c r="A47" s="28">
        <v>46.0</v>
      </c>
      <c r="B47" s="28" t="s">
        <v>14</v>
      </c>
      <c r="C47" s="30" t="s">
        <v>181</v>
      </c>
      <c r="D47" s="30" t="s">
        <v>182</v>
      </c>
      <c r="E47" s="167">
        <v>9.13</v>
      </c>
      <c r="F47" s="28" t="str">
        <f t="shared" si="1"/>
        <v>pass</v>
      </c>
    </row>
    <row r="48" ht="14.25" customHeight="1">
      <c r="A48" s="28">
        <v>47.0</v>
      </c>
      <c r="B48" s="28" t="s">
        <v>14</v>
      </c>
      <c r="C48" s="30" t="s">
        <v>184</v>
      </c>
      <c r="D48" s="30" t="s">
        <v>185</v>
      </c>
      <c r="E48" s="167">
        <v>7.62</v>
      </c>
      <c r="F48" s="28" t="str">
        <f t="shared" si="1"/>
        <v>pass</v>
      </c>
    </row>
    <row r="49" ht="14.25" customHeight="1">
      <c r="A49" s="28">
        <v>48.0</v>
      </c>
      <c r="B49" s="28" t="s">
        <v>14</v>
      </c>
      <c r="C49" s="30" t="s">
        <v>186</v>
      </c>
      <c r="D49" s="30" t="s">
        <v>187</v>
      </c>
      <c r="E49" s="167">
        <v>8.94</v>
      </c>
      <c r="F49" s="28" t="str">
        <f t="shared" si="1"/>
        <v>pass</v>
      </c>
    </row>
    <row r="50" ht="14.25" customHeight="1">
      <c r="A50" s="28">
        <v>49.0</v>
      </c>
      <c r="B50" s="28" t="s">
        <v>14</v>
      </c>
      <c r="C50" s="30" t="s">
        <v>190</v>
      </c>
      <c r="D50" s="30" t="s">
        <v>191</v>
      </c>
      <c r="E50" s="167"/>
      <c r="F50" s="28" t="str">
        <f t="shared" si="1"/>
        <v>fail</v>
      </c>
    </row>
    <row r="51" ht="14.25" customHeight="1">
      <c r="A51" s="28">
        <v>50.0</v>
      </c>
      <c r="B51" s="28" t="s">
        <v>14</v>
      </c>
      <c r="C51" s="30" t="s">
        <v>192</v>
      </c>
      <c r="D51" s="30" t="s">
        <v>193</v>
      </c>
      <c r="E51" s="167">
        <v>7.07</v>
      </c>
      <c r="F51" s="28" t="str">
        <f t="shared" si="1"/>
        <v>pass</v>
      </c>
    </row>
    <row r="52" ht="14.25" customHeight="1">
      <c r="A52" s="28">
        <v>51.0</v>
      </c>
      <c r="B52" s="28" t="s">
        <v>14</v>
      </c>
      <c r="C52" s="30" t="s">
        <v>195</v>
      </c>
      <c r="D52" s="30" t="s">
        <v>196</v>
      </c>
      <c r="E52" s="167">
        <v>9.23</v>
      </c>
      <c r="F52" s="28" t="str">
        <f t="shared" si="1"/>
        <v>pass</v>
      </c>
    </row>
    <row r="53" ht="14.25" customHeight="1">
      <c r="A53" s="28">
        <v>52.0</v>
      </c>
      <c r="B53" s="28" t="s">
        <v>14</v>
      </c>
      <c r="C53" s="30" t="s">
        <v>198</v>
      </c>
      <c r="D53" s="30" t="s">
        <v>199</v>
      </c>
      <c r="E53" s="167">
        <v>7.62</v>
      </c>
      <c r="F53" s="28" t="str">
        <f t="shared" si="1"/>
        <v>pass</v>
      </c>
    </row>
    <row r="54" ht="14.25" customHeight="1">
      <c r="A54" s="28">
        <v>53.0</v>
      </c>
      <c r="B54" s="28" t="s">
        <v>14</v>
      </c>
      <c r="C54" s="30" t="s">
        <v>200</v>
      </c>
      <c r="D54" s="30" t="s">
        <v>201</v>
      </c>
      <c r="E54" s="167">
        <v>8.14</v>
      </c>
      <c r="F54" s="28" t="str">
        <f t="shared" si="1"/>
        <v>pass</v>
      </c>
    </row>
    <row r="55" ht="14.25" customHeight="1">
      <c r="A55" s="28">
        <v>54.0</v>
      </c>
      <c r="B55" s="28" t="s">
        <v>14</v>
      </c>
      <c r="C55" s="30" t="s">
        <v>202</v>
      </c>
      <c r="D55" s="30" t="s">
        <v>203</v>
      </c>
      <c r="E55" s="167">
        <v>7.73</v>
      </c>
      <c r="F55" s="28" t="str">
        <f t="shared" si="1"/>
        <v>pass</v>
      </c>
    </row>
    <row r="56" ht="14.25" customHeight="1">
      <c r="A56" s="28">
        <v>55.0</v>
      </c>
      <c r="B56" s="28" t="s">
        <v>14</v>
      </c>
      <c r="C56" s="30" t="s">
        <v>205</v>
      </c>
      <c r="D56" s="30" t="s">
        <v>6354</v>
      </c>
      <c r="E56" s="167">
        <v>8.42</v>
      </c>
      <c r="F56" s="28" t="str">
        <f t="shared" si="1"/>
        <v>pass</v>
      </c>
    </row>
    <row r="57" ht="14.25" customHeight="1">
      <c r="A57" s="28">
        <v>56.0</v>
      </c>
      <c r="B57" s="28" t="s">
        <v>14</v>
      </c>
      <c r="C57" s="30" t="s">
        <v>208</v>
      </c>
      <c r="D57" s="30" t="s">
        <v>209</v>
      </c>
      <c r="E57" s="167">
        <v>7.89</v>
      </c>
      <c r="F57" s="28" t="str">
        <f t="shared" si="1"/>
        <v>pass</v>
      </c>
    </row>
    <row r="58" ht="14.25" customHeight="1">
      <c r="A58" s="28">
        <v>57.0</v>
      </c>
      <c r="B58" s="28" t="s">
        <v>14</v>
      </c>
      <c r="C58" s="30" t="s">
        <v>211</v>
      </c>
      <c r="D58" s="30" t="s">
        <v>6355</v>
      </c>
      <c r="E58" s="167">
        <v>8.67</v>
      </c>
      <c r="F58" s="28" t="str">
        <f t="shared" si="1"/>
        <v>pass</v>
      </c>
    </row>
    <row r="59" ht="14.25" customHeight="1">
      <c r="A59" s="28">
        <v>58.0</v>
      </c>
      <c r="B59" s="28" t="s">
        <v>14</v>
      </c>
      <c r="C59" s="30" t="s">
        <v>213</v>
      </c>
      <c r="D59" s="30" t="s">
        <v>6356</v>
      </c>
      <c r="E59" s="167">
        <v>8.18</v>
      </c>
      <c r="F59" s="28" t="str">
        <f t="shared" si="1"/>
        <v>pass</v>
      </c>
    </row>
    <row r="60" ht="14.25" customHeight="1">
      <c r="A60" s="28">
        <v>59.0</v>
      </c>
      <c r="B60" s="28" t="s">
        <v>14</v>
      </c>
      <c r="C60" s="30" t="s">
        <v>216</v>
      </c>
      <c r="D60" s="30" t="s">
        <v>217</v>
      </c>
      <c r="E60" s="167">
        <v>8.3</v>
      </c>
      <c r="F60" s="28" t="str">
        <f t="shared" si="1"/>
        <v>pass</v>
      </c>
    </row>
    <row r="61" ht="14.25" customHeight="1">
      <c r="A61" s="28">
        <v>60.0</v>
      </c>
      <c r="B61" s="28" t="s">
        <v>14</v>
      </c>
      <c r="C61" s="30" t="s">
        <v>218</v>
      </c>
      <c r="D61" s="30" t="s">
        <v>219</v>
      </c>
      <c r="E61" s="167">
        <v>8.16</v>
      </c>
      <c r="F61" s="28" t="str">
        <f t="shared" si="1"/>
        <v>pass</v>
      </c>
    </row>
    <row r="62" ht="14.25" customHeight="1">
      <c r="A62" s="28">
        <v>61.0</v>
      </c>
      <c r="B62" s="28" t="s">
        <v>14</v>
      </c>
      <c r="C62" s="30" t="s">
        <v>220</v>
      </c>
      <c r="D62" s="30" t="s">
        <v>221</v>
      </c>
      <c r="E62" s="167">
        <v>8.92</v>
      </c>
      <c r="F62" s="28" t="str">
        <f t="shared" si="1"/>
        <v>pass</v>
      </c>
    </row>
    <row r="63" ht="14.25" customHeight="1">
      <c r="A63" s="28">
        <v>62.0</v>
      </c>
      <c r="B63" s="28" t="s">
        <v>14</v>
      </c>
      <c r="C63" s="30" t="s">
        <v>224</v>
      </c>
      <c r="D63" s="30" t="s">
        <v>225</v>
      </c>
      <c r="E63" s="167"/>
      <c r="F63" s="28" t="str">
        <f t="shared" si="1"/>
        <v>fail</v>
      </c>
    </row>
    <row r="64" ht="14.25" customHeight="1">
      <c r="A64" s="28">
        <v>63.0</v>
      </c>
      <c r="B64" s="28" t="s">
        <v>14</v>
      </c>
      <c r="C64" s="30" t="s">
        <v>226</v>
      </c>
      <c r="D64" s="30" t="s">
        <v>6357</v>
      </c>
      <c r="E64" s="167">
        <v>8.34</v>
      </c>
      <c r="F64" s="28" t="str">
        <f t="shared" si="1"/>
        <v>pass</v>
      </c>
    </row>
    <row r="65" ht="14.25" customHeight="1">
      <c r="A65" s="28">
        <v>64.0</v>
      </c>
      <c r="B65" s="28" t="s">
        <v>14</v>
      </c>
      <c r="C65" s="30" t="s">
        <v>229</v>
      </c>
      <c r="D65" s="30" t="s">
        <v>6358</v>
      </c>
      <c r="E65" s="167">
        <v>7.85</v>
      </c>
      <c r="F65" s="28" t="str">
        <f t="shared" si="1"/>
        <v>pass</v>
      </c>
    </row>
    <row r="66" ht="14.25" customHeight="1">
      <c r="A66" s="28">
        <v>65.0</v>
      </c>
      <c r="B66" s="28" t="s">
        <v>14</v>
      </c>
      <c r="C66" s="30" t="s">
        <v>232</v>
      </c>
      <c r="D66" s="30" t="s">
        <v>233</v>
      </c>
      <c r="E66" s="167">
        <v>8.44</v>
      </c>
      <c r="F66" s="28" t="str">
        <f t="shared" si="1"/>
        <v>pass</v>
      </c>
    </row>
    <row r="67" ht="14.25" customHeight="1">
      <c r="A67" s="28">
        <v>66.0</v>
      </c>
      <c r="B67" s="28" t="s">
        <v>15</v>
      </c>
      <c r="C67" s="30" t="s">
        <v>250</v>
      </c>
      <c r="D67" s="30" t="s">
        <v>251</v>
      </c>
      <c r="E67" s="167">
        <v>9.27</v>
      </c>
      <c r="F67" s="28" t="str">
        <f t="shared" si="1"/>
        <v>pass</v>
      </c>
    </row>
    <row r="68" ht="14.25" customHeight="1">
      <c r="A68" s="28">
        <v>67.0</v>
      </c>
      <c r="B68" s="28" t="s">
        <v>15</v>
      </c>
      <c r="C68" s="30" t="s">
        <v>253</v>
      </c>
      <c r="D68" s="30" t="s">
        <v>6359</v>
      </c>
      <c r="E68" s="167">
        <v>7.6</v>
      </c>
      <c r="F68" s="28" t="str">
        <f t="shared" si="1"/>
        <v>pass</v>
      </c>
    </row>
    <row r="69" ht="14.25" customHeight="1">
      <c r="A69" s="28">
        <v>68.0</v>
      </c>
      <c r="B69" s="28" t="s">
        <v>15</v>
      </c>
      <c r="C69" s="30" t="s">
        <v>256</v>
      </c>
      <c r="D69" s="30" t="s">
        <v>6360</v>
      </c>
      <c r="E69" s="167">
        <v>8.6</v>
      </c>
      <c r="F69" s="28" t="str">
        <f t="shared" si="1"/>
        <v>pass</v>
      </c>
    </row>
    <row r="70" ht="14.25" customHeight="1">
      <c r="A70" s="28">
        <v>69.0</v>
      </c>
      <c r="B70" s="28" t="s">
        <v>15</v>
      </c>
      <c r="C70" s="30" t="s">
        <v>258</v>
      </c>
      <c r="D70" s="30" t="s">
        <v>6361</v>
      </c>
      <c r="E70" s="167">
        <v>7.87</v>
      </c>
      <c r="F70" s="28" t="str">
        <f t="shared" si="1"/>
        <v>pass</v>
      </c>
    </row>
    <row r="71" ht="14.25" customHeight="1">
      <c r="A71" s="28">
        <v>70.0</v>
      </c>
      <c r="B71" s="28" t="s">
        <v>15</v>
      </c>
      <c r="C71" s="30" t="s">
        <v>260</v>
      </c>
      <c r="D71" s="30" t="s">
        <v>261</v>
      </c>
      <c r="E71" s="167"/>
      <c r="F71" s="28" t="str">
        <f t="shared" si="1"/>
        <v>fail</v>
      </c>
    </row>
    <row r="72" ht="14.25" customHeight="1">
      <c r="A72" s="28">
        <v>71.0</v>
      </c>
      <c r="B72" s="28" t="s">
        <v>15</v>
      </c>
      <c r="C72" s="30" t="s">
        <v>262</v>
      </c>
      <c r="D72" s="30" t="s">
        <v>6362</v>
      </c>
      <c r="E72" s="167"/>
      <c r="F72" s="28" t="str">
        <f t="shared" si="1"/>
        <v>fail</v>
      </c>
    </row>
    <row r="73" ht="14.25" customHeight="1">
      <c r="A73" s="28">
        <v>72.0</v>
      </c>
      <c r="B73" s="28" t="s">
        <v>15</v>
      </c>
      <c r="C73" s="30" t="s">
        <v>264</v>
      </c>
      <c r="D73" s="30" t="s">
        <v>265</v>
      </c>
      <c r="E73" s="167">
        <v>9.17</v>
      </c>
      <c r="F73" s="28" t="str">
        <f t="shared" si="1"/>
        <v>pass</v>
      </c>
    </row>
    <row r="74" ht="14.25" customHeight="1">
      <c r="A74" s="28">
        <v>73.0</v>
      </c>
      <c r="B74" s="28" t="s">
        <v>15</v>
      </c>
      <c r="C74" s="30" t="s">
        <v>266</v>
      </c>
      <c r="D74" s="30" t="s">
        <v>267</v>
      </c>
      <c r="E74" s="167">
        <v>9.0</v>
      </c>
      <c r="F74" s="28" t="str">
        <f t="shared" si="1"/>
        <v>pass</v>
      </c>
    </row>
    <row r="75" ht="14.25" customHeight="1">
      <c r="A75" s="28">
        <v>74.0</v>
      </c>
      <c r="B75" s="28" t="s">
        <v>15</v>
      </c>
      <c r="C75" s="30" t="s">
        <v>269</v>
      </c>
      <c r="D75" s="30" t="s">
        <v>270</v>
      </c>
      <c r="E75" s="167">
        <v>8.88</v>
      </c>
      <c r="F75" s="28" t="str">
        <f t="shared" si="1"/>
        <v>pass</v>
      </c>
    </row>
    <row r="76" ht="14.25" customHeight="1">
      <c r="A76" s="28">
        <v>75.0</v>
      </c>
      <c r="B76" s="28" t="s">
        <v>15</v>
      </c>
      <c r="C76" s="30" t="s">
        <v>272</v>
      </c>
      <c r="D76" s="30" t="s">
        <v>273</v>
      </c>
      <c r="E76" s="167">
        <v>7.82</v>
      </c>
      <c r="F76" s="28" t="str">
        <f t="shared" si="1"/>
        <v>pass</v>
      </c>
    </row>
    <row r="77" ht="14.25" customHeight="1">
      <c r="A77" s="28">
        <v>76.0</v>
      </c>
      <c r="B77" s="28" t="s">
        <v>15</v>
      </c>
      <c r="C77" s="30" t="s">
        <v>274</v>
      </c>
      <c r="D77" s="30" t="s">
        <v>275</v>
      </c>
      <c r="E77" s="167">
        <v>9.04</v>
      </c>
      <c r="F77" s="28" t="str">
        <f t="shared" si="1"/>
        <v>pass</v>
      </c>
    </row>
    <row r="78" ht="14.25" customHeight="1">
      <c r="A78" s="28">
        <v>77.0</v>
      </c>
      <c r="B78" s="28" t="s">
        <v>15</v>
      </c>
      <c r="C78" s="30" t="s">
        <v>276</v>
      </c>
      <c r="D78" s="30" t="s">
        <v>277</v>
      </c>
      <c r="E78" s="167">
        <v>8.22</v>
      </c>
      <c r="F78" s="28" t="str">
        <f t="shared" si="1"/>
        <v>pass</v>
      </c>
    </row>
    <row r="79" ht="14.25" customHeight="1">
      <c r="A79" s="28">
        <v>78.0</v>
      </c>
      <c r="B79" s="28" t="s">
        <v>15</v>
      </c>
      <c r="C79" s="30" t="s">
        <v>279</v>
      </c>
      <c r="D79" s="30" t="s">
        <v>4500</v>
      </c>
      <c r="E79" s="167">
        <v>8.8</v>
      </c>
      <c r="F79" s="28" t="str">
        <f t="shared" si="1"/>
        <v>pass</v>
      </c>
    </row>
    <row r="80" ht="14.25" customHeight="1">
      <c r="A80" s="28">
        <v>79.0</v>
      </c>
      <c r="B80" s="28" t="s">
        <v>15</v>
      </c>
      <c r="C80" s="30" t="s">
        <v>282</v>
      </c>
      <c r="D80" s="30" t="s">
        <v>6363</v>
      </c>
      <c r="E80" s="167">
        <v>8.68</v>
      </c>
      <c r="F80" s="28" t="str">
        <f t="shared" si="1"/>
        <v>pass</v>
      </c>
    </row>
    <row r="81" ht="14.25" customHeight="1">
      <c r="A81" s="28">
        <v>80.0</v>
      </c>
      <c r="B81" s="28" t="s">
        <v>15</v>
      </c>
      <c r="C81" s="30" t="s">
        <v>285</v>
      </c>
      <c r="D81" s="30" t="s">
        <v>6364</v>
      </c>
      <c r="E81" s="167">
        <v>8.77</v>
      </c>
      <c r="F81" s="28" t="str">
        <f t="shared" si="1"/>
        <v>pass</v>
      </c>
    </row>
    <row r="82" ht="14.25" customHeight="1">
      <c r="A82" s="28">
        <v>81.0</v>
      </c>
      <c r="B82" s="28" t="s">
        <v>15</v>
      </c>
      <c r="C82" s="30" t="s">
        <v>287</v>
      </c>
      <c r="D82" s="30" t="s">
        <v>288</v>
      </c>
      <c r="E82" s="167">
        <v>8.15</v>
      </c>
      <c r="F82" s="28" t="str">
        <f t="shared" si="1"/>
        <v>pass</v>
      </c>
    </row>
    <row r="83" ht="14.25" customHeight="1">
      <c r="A83" s="28">
        <v>82.0</v>
      </c>
      <c r="B83" s="28" t="s">
        <v>15</v>
      </c>
      <c r="C83" s="30" t="s">
        <v>289</v>
      </c>
      <c r="D83" s="30" t="s">
        <v>290</v>
      </c>
      <c r="E83" s="167">
        <v>8.36</v>
      </c>
      <c r="F83" s="28" t="str">
        <f t="shared" si="1"/>
        <v>pass</v>
      </c>
    </row>
    <row r="84" ht="14.25" customHeight="1">
      <c r="A84" s="28">
        <v>83.0</v>
      </c>
      <c r="B84" s="28" t="s">
        <v>15</v>
      </c>
      <c r="C84" s="30" t="s">
        <v>291</v>
      </c>
      <c r="D84" s="30" t="s">
        <v>292</v>
      </c>
      <c r="E84" s="167">
        <v>8.94</v>
      </c>
      <c r="F84" s="28" t="str">
        <f t="shared" si="1"/>
        <v>pass</v>
      </c>
    </row>
    <row r="85" ht="14.25" customHeight="1">
      <c r="A85" s="28">
        <v>84.0</v>
      </c>
      <c r="B85" s="28" t="s">
        <v>15</v>
      </c>
      <c r="C85" s="30" t="s">
        <v>294</v>
      </c>
      <c r="D85" s="30" t="s">
        <v>295</v>
      </c>
      <c r="E85" s="167">
        <v>8.98</v>
      </c>
      <c r="F85" s="28" t="str">
        <f t="shared" si="1"/>
        <v>pass</v>
      </c>
    </row>
    <row r="86" ht="14.25" customHeight="1">
      <c r="A86" s="28">
        <v>85.0</v>
      </c>
      <c r="B86" s="28" t="s">
        <v>15</v>
      </c>
      <c r="C86" s="30" t="s">
        <v>297</v>
      </c>
      <c r="D86" s="30" t="s">
        <v>6365</v>
      </c>
      <c r="E86" s="167">
        <v>8.98</v>
      </c>
      <c r="F86" s="28" t="str">
        <f t="shared" si="1"/>
        <v>pass</v>
      </c>
    </row>
    <row r="87" ht="14.25" customHeight="1">
      <c r="A87" s="28">
        <v>86.0</v>
      </c>
      <c r="B87" s="28" t="s">
        <v>15</v>
      </c>
      <c r="C87" s="30" t="s">
        <v>299</v>
      </c>
      <c r="D87" s="30" t="s">
        <v>300</v>
      </c>
      <c r="E87" s="167">
        <v>7.95</v>
      </c>
      <c r="F87" s="28" t="str">
        <f t="shared" si="1"/>
        <v>pass</v>
      </c>
    </row>
    <row r="88" ht="14.25" customHeight="1">
      <c r="A88" s="28">
        <v>87.0</v>
      </c>
      <c r="B88" s="28" t="s">
        <v>15</v>
      </c>
      <c r="C88" s="30" t="s">
        <v>301</v>
      </c>
      <c r="D88" s="30" t="s">
        <v>302</v>
      </c>
      <c r="E88" s="167">
        <v>8.1</v>
      </c>
      <c r="F88" s="28" t="str">
        <f t="shared" si="1"/>
        <v>pass</v>
      </c>
    </row>
    <row r="89" ht="14.25" customHeight="1">
      <c r="A89" s="28">
        <v>88.0</v>
      </c>
      <c r="B89" s="28" t="s">
        <v>15</v>
      </c>
      <c r="C89" s="30" t="s">
        <v>304</v>
      </c>
      <c r="D89" s="30" t="s">
        <v>305</v>
      </c>
      <c r="E89" s="167">
        <v>9.19</v>
      </c>
      <c r="F89" s="28" t="str">
        <f t="shared" si="1"/>
        <v>pass</v>
      </c>
    </row>
    <row r="90" ht="14.25" customHeight="1">
      <c r="A90" s="28">
        <v>89.0</v>
      </c>
      <c r="B90" s="28" t="s">
        <v>15</v>
      </c>
      <c r="C90" s="30" t="s">
        <v>308</v>
      </c>
      <c r="D90" s="30" t="s">
        <v>6366</v>
      </c>
      <c r="E90" s="167">
        <v>7.17</v>
      </c>
      <c r="F90" s="28" t="str">
        <f t="shared" si="1"/>
        <v>pass</v>
      </c>
    </row>
    <row r="91" ht="14.25" customHeight="1">
      <c r="A91" s="28">
        <v>90.0</v>
      </c>
      <c r="B91" s="28" t="s">
        <v>15</v>
      </c>
      <c r="C91" s="30" t="s">
        <v>311</v>
      </c>
      <c r="D91" s="30" t="s">
        <v>312</v>
      </c>
      <c r="E91" s="167">
        <v>9.19</v>
      </c>
      <c r="F91" s="28" t="str">
        <f t="shared" si="1"/>
        <v>pass</v>
      </c>
    </row>
    <row r="92" ht="14.25" customHeight="1">
      <c r="A92" s="28">
        <v>91.0</v>
      </c>
      <c r="B92" s="28" t="s">
        <v>15</v>
      </c>
      <c r="C92" s="30" t="s">
        <v>314</v>
      </c>
      <c r="D92" s="30" t="s">
        <v>6367</v>
      </c>
      <c r="E92" s="167">
        <v>9.23</v>
      </c>
      <c r="F92" s="28" t="str">
        <f t="shared" si="1"/>
        <v>pass</v>
      </c>
    </row>
    <row r="93" ht="14.25" customHeight="1">
      <c r="A93" s="28">
        <v>92.0</v>
      </c>
      <c r="B93" s="28" t="s">
        <v>15</v>
      </c>
      <c r="C93" s="30" t="s">
        <v>317</v>
      </c>
      <c r="D93" s="30" t="s">
        <v>6368</v>
      </c>
      <c r="E93" s="167">
        <v>8.95</v>
      </c>
      <c r="F93" s="28" t="str">
        <f t="shared" si="1"/>
        <v>pass</v>
      </c>
    </row>
    <row r="94" ht="14.25" customHeight="1">
      <c r="A94" s="28">
        <v>93.0</v>
      </c>
      <c r="B94" s="28" t="s">
        <v>15</v>
      </c>
      <c r="C94" s="30" t="s">
        <v>320</v>
      </c>
      <c r="D94" s="30" t="s">
        <v>321</v>
      </c>
      <c r="E94" s="167">
        <v>9.13</v>
      </c>
      <c r="F94" s="28" t="str">
        <f t="shared" si="1"/>
        <v>pass</v>
      </c>
    </row>
    <row r="95" ht="14.25" customHeight="1">
      <c r="A95" s="28">
        <v>94.0</v>
      </c>
      <c r="B95" s="28" t="s">
        <v>15</v>
      </c>
      <c r="C95" s="30" t="s">
        <v>323</v>
      </c>
      <c r="D95" s="30" t="s">
        <v>6369</v>
      </c>
      <c r="E95" s="167"/>
      <c r="F95" s="28" t="str">
        <f t="shared" si="1"/>
        <v>fail</v>
      </c>
    </row>
    <row r="96" ht="14.25" customHeight="1">
      <c r="A96" s="28">
        <v>95.0</v>
      </c>
      <c r="B96" s="28" t="s">
        <v>15</v>
      </c>
      <c r="C96" s="30" t="s">
        <v>325</v>
      </c>
      <c r="D96" s="30" t="s">
        <v>326</v>
      </c>
      <c r="E96" s="167">
        <v>9.06</v>
      </c>
      <c r="F96" s="28" t="str">
        <f t="shared" si="1"/>
        <v>pass</v>
      </c>
    </row>
    <row r="97" ht="14.25" customHeight="1">
      <c r="A97" s="28">
        <v>96.0</v>
      </c>
      <c r="B97" s="28" t="s">
        <v>15</v>
      </c>
      <c r="C97" s="30" t="s">
        <v>327</v>
      </c>
      <c r="D97" s="30" t="s">
        <v>6370</v>
      </c>
      <c r="E97" s="167">
        <v>8.78</v>
      </c>
      <c r="F97" s="28" t="str">
        <f t="shared" si="1"/>
        <v>pass</v>
      </c>
    </row>
    <row r="98" ht="14.25" customHeight="1">
      <c r="A98" s="28">
        <v>97.0</v>
      </c>
      <c r="B98" s="28" t="s">
        <v>15</v>
      </c>
      <c r="C98" s="30" t="s">
        <v>329</v>
      </c>
      <c r="D98" s="30" t="s">
        <v>330</v>
      </c>
      <c r="E98" s="167">
        <v>9.09</v>
      </c>
      <c r="F98" s="28" t="str">
        <f t="shared" si="1"/>
        <v>pass</v>
      </c>
    </row>
    <row r="99" ht="14.25" customHeight="1">
      <c r="A99" s="28">
        <v>98.0</v>
      </c>
      <c r="B99" s="28" t="s">
        <v>15</v>
      </c>
      <c r="C99" s="30" t="s">
        <v>332</v>
      </c>
      <c r="D99" s="30" t="s">
        <v>333</v>
      </c>
      <c r="E99" s="167">
        <v>7.04</v>
      </c>
      <c r="F99" s="28" t="str">
        <f t="shared" si="1"/>
        <v>pass</v>
      </c>
    </row>
    <row r="100" ht="14.25" customHeight="1">
      <c r="A100" s="28">
        <v>99.0</v>
      </c>
      <c r="B100" s="28" t="s">
        <v>15</v>
      </c>
      <c r="C100" s="30" t="s">
        <v>334</v>
      </c>
      <c r="D100" s="30" t="s">
        <v>335</v>
      </c>
      <c r="E100" s="167">
        <v>8.52</v>
      </c>
      <c r="F100" s="28" t="str">
        <f t="shared" si="1"/>
        <v>pass</v>
      </c>
    </row>
    <row r="101" ht="14.25" customHeight="1">
      <c r="A101" s="28">
        <v>100.0</v>
      </c>
      <c r="B101" s="28" t="s">
        <v>15</v>
      </c>
      <c r="C101" s="30" t="s">
        <v>337</v>
      </c>
      <c r="D101" s="30" t="s">
        <v>6371</v>
      </c>
      <c r="E101" s="167">
        <v>8.4</v>
      </c>
      <c r="F101" s="28" t="str">
        <f t="shared" si="1"/>
        <v>pass</v>
      </c>
    </row>
    <row r="102" ht="14.25" customHeight="1">
      <c r="A102" s="28">
        <v>101.0</v>
      </c>
      <c r="B102" s="28" t="s">
        <v>15</v>
      </c>
      <c r="C102" s="30" t="s">
        <v>339</v>
      </c>
      <c r="D102" s="30" t="s">
        <v>340</v>
      </c>
      <c r="E102" s="167">
        <v>8.61</v>
      </c>
      <c r="F102" s="28" t="str">
        <f t="shared" si="1"/>
        <v>pass</v>
      </c>
    </row>
    <row r="103" ht="14.25" customHeight="1">
      <c r="A103" s="28">
        <v>102.0</v>
      </c>
      <c r="B103" s="28" t="s">
        <v>15</v>
      </c>
      <c r="C103" s="30" t="s">
        <v>342</v>
      </c>
      <c r="D103" s="30" t="s">
        <v>343</v>
      </c>
      <c r="E103" s="167">
        <v>8.31</v>
      </c>
      <c r="F103" s="28" t="str">
        <f t="shared" si="1"/>
        <v>pass</v>
      </c>
    </row>
    <row r="104" ht="14.25" customHeight="1">
      <c r="A104" s="28">
        <v>103.0</v>
      </c>
      <c r="B104" s="28" t="s">
        <v>15</v>
      </c>
      <c r="C104" s="30" t="s">
        <v>345</v>
      </c>
      <c r="D104" s="30" t="s">
        <v>346</v>
      </c>
      <c r="E104" s="167">
        <v>7.62</v>
      </c>
      <c r="F104" s="28" t="str">
        <f t="shared" si="1"/>
        <v>pass</v>
      </c>
    </row>
    <row r="105" ht="14.25" customHeight="1">
      <c r="A105" s="28">
        <v>104.0</v>
      </c>
      <c r="B105" s="28" t="s">
        <v>15</v>
      </c>
      <c r="C105" s="30" t="s">
        <v>347</v>
      </c>
      <c r="D105" s="30" t="s">
        <v>348</v>
      </c>
      <c r="E105" s="167">
        <v>9.46</v>
      </c>
      <c r="F105" s="28" t="str">
        <f t="shared" si="1"/>
        <v>pass</v>
      </c>
    </row>
    <row r="106" ht="14.25" customHeight="1">
      <c r="A106" s="28">
        <v>105.0</v>
      </c>
      <c r="B106" s="28" t="s">
        <v>15</v>
      </c>
      <c r="C106" s="30" t="s">
        <v>350</v>
      </c>
      <c r="D106" s="30" t="s">
        <v>351</v>
      </c>
      <c r="E106" s="167">
        <v>8.58</v>
      </c>
      <c r="F106" s="28" t="str">
        <f t="shared" si="1"/>
        <v>pass</v>
      </c>
    </row>
    <row r="107" ht="14.25" customHeight="1">
      <c r="A107" s="28">
        <v>106.0</v>
      </c>
      <c r="B107" s="28" t="s">
        <v>15</v>
      </c>
      <c r="C107" s="30" t="s">
        <v>353</v>
      </c>
      <c r="D107" s="30" t="s">
        <v>354</v>
      </c>
      <c r="E107" s="167">
        <v>8.98</v>
      </c>
      <c r="F107" s="28" t="str">
        <f t="shared" si="1"/>
        <v>pass</v>
      </c>
    </row>
    <row r="108" ht="14.25" customHeight="1">
      <c r="A108" s="28">
        <v>107.0</v>
      </c>
      <c r="B108" s="28" t="s">
        <v>15</v>
      </c>
      <c r="C108" s="30" t="s">
        <v>355</v>
      </c>
      <c r="D108" s="30" t="s">
        <v>6372</v>
      </c>
      <c r="E108" s="167">
        <v>7.42</v>
      </c>
      <c r="F108" s="28" t="str">
        <f t="shared" si="1"/>
        <v>pass</v>
      </c>
    </row>
    <row r="109" ht="14.25" customHeight="1">
      <c r="A109" s="28">
        <v>108.0</v>
      </c>
      <c r="B109" s="28" t="s">
        <v>15</v>
      </c>
      <c r="C109" s="30" t="s">
        <v>357</v>
      </c>
      <c r="D109" s="30" t="s">
        <v>358</v>
      </c>
      <c r="E109" s="167">
        <v>8.7</v>
      </c>
      <c r="F109" s="28" t="str">
        <f t="shared" si="1"/>
        <v>pass</v>
      </c>
    </row>
    <row r="110" ht="14.25" customHeight="1">
      <c r="A110" s="28">
        <v>109.0</v>
      </c>
      <c r="B110" s="28" t="s">
        <v>15</v>
      </c>
      <c r="C110" s="30" t="s">
        <v>361</v>
      </c>
      <c r="D110" s="30" t="s">
        <v>6373</v>
      </c>
      <c r="E110" s="167">
        <v>7.26</v>
      </c>
      <c r="F110" s="28" t="str">
        <f t="shared" si="1"/>
        <v>pass</v>
      </c>
    </row>
    <row r="111" ht="14.25" customHeight="1">
      <c r="A111" s="28">
        <v>110.0</v>
      </c>
      <c r="B111" s="28" t="s">
        <v>15</v>
      </c>
      <c r="C111" s="30" t="s">
        <v>363</v>
      </c>
      <c r="D111" s="30" t="s">
        <v>6374</v>
      </c>
      <c r="E111" s="167">
        <v>9.06</v>
      </c>
      <c r="F111" s="28" t="str">
        <f t="shared" si="1"/>
        <v>pass</v>
      </c>
    </row>
    <row r="112" ht="14.25" customHeight="1">
      <c r="A112" s="28">
        <v>111.0</v>
      </c>
      <c r="B112" s="28" t="s">
        <v>15</v>
      </c>
      <c r="C112" s="30" t="s">
        <v>367</v>
      </c>
      <c r="D112" s="30" t="s">
        <v>6375</v>
      </c>
      <c r="E112" s="167">
        <v>7.88</v>
      </c>
      <c r="F112" s="28" t="str">
        <f t="shared" si="1"/>
        <v>pass</v>
      </c>
    </row>
    <row r="113" ht="14.25" customHeight="1">
      <c r="A113" s="28">
        <v>112.0</v>
      </c>
      <c r="B113" s="28" t="s">
        <v>15</v>
      </c>
      <c r="C113" s="30" t="s">
        <v>370</v>
      </c>
      <c r="D113" s="30" t="s">
        <v>371</v>
      </c>
      <c r="E113" s="167"/>
      <c r="F113" s="28" t="str">
        <f t="shared" si="1"/>
        <v>fail</v>
      </c>
    </row>
    <row r="114" ht="14.25" customHeight="1">
      <c r="A114" s="28">
        <v>113.0</v>
      </c>
      <c r="B114" s="28" t="s">
        <v>15</v>
      </c>
      <c r="C114" s="30" t="s">
        <v>372</v>
      </c>
      <c r="D114" s="30" t="s">
        <v>373</v>
      </c>
      <c r="E114" s="167">
        <v>9.33</v>
      </c>
      <c r="F114" s="28" t="str">
        <f t="shared" si="1"/>
        <v>pass</v>
      </c>
    </row>
    <row r="115" ht="14.25" customHeight="1">
      <c r="A115" s="28">
        <v>114.0</v>
      </c>
      <c r="B115" s="28" t="s">
        <v>15</v>
      </c>
      <c r="C115" s="30" t="s">
        <v>375</v>
      </c>
      <c r="D115" s="30" t="s">
        <v>376</v>
      </c>
      <c r="E115" s="167"/>
      <c r="F115" s="28" t="str">
        <f t="shared" si="1"/>
        <v>fail</v>
      </c>
    </row>
    <row r="116" ht="14.25" customHeight="1">
      <c r="A116" s="28">
        <v>115.0</v>
      </c>
      <c r="B116" s="28" t="s">
        <v>15</v>
      </c>
      <c r="C116" s="30" t="s">
        <v>377</v>
      </c>
      <c r="D116" s="30" t="s">
        <v>378</v>
      </c>
      <c r="E116" s="167">
        <v>9.13</v>
      </c>
      <c r="F116" s="28" t="str">
        <f t="shared" si="1"/>
        <v>pass</v>
      </c>
    </row>
    <row r="117" ht="14.25" customHeight="1">
      <c r="A117" s="28">
        <v>116.0</v>
      </c>
      <c r="B117" s="28" t="s">
        <v>15</v>
      </c>
      <c r="C117" s="30" t="s">
        <v>379</v>
      </c>
      <c r="D117" s="30" t="s">
        <v>380</v>
      </c>
      <c r="E117" s="167">
        <v>8.22</v>
      </c>
      <c r="F117" s="28" t="str">
        <f t="shared" si="1"/>
        <v>pass</v>
      </c>
    </row>
    <row r="118" ht="14.25" customHeight="1">
      <c r="A118" s="28">
        <v>117.0</v>
      </c>
      <c r="B118" s="28" t="s">
        <v>15</v>
      </c>
      <c r="C118" s="30" t="s">
        <v>381</v>
      </c>
      <c r="D118" s="30" t="s">
        <v>382</v>
      </c>
      <c r="E118" s="167"/>
      <c r="F118" s="28" t="str">
        <f t="shared" si="1"/>
        <v>fail</v>
      </c>
    </row>
    <row r="119" ht="14.25" customHeight="1">
      <c r="A119" s="28">
        <v>118.0</v>
      </c>
      <c r="B119" s="28" t="s">
        <v>15</v>
      </c>
      <c r="C119" s="30" t="s">
        <v>383</v>
      </c>
      <c r="D119" s="30" t="s">
        <v>384</v>
      </c>
      <c r="E119" s="167">
        <v>9.17</v>
      </c>
      <c r="F119" s="28" t="str">
        <f t="shared" si="1"/>
        <v>pass</v>
      </c>
    </row>
    <row r="120" ht="14.25" customHeight="1">
      <c r="A120" s="28">
        <v>119.0</v>
      </c>
      <c r="B120" s="28" t="s">
        <v>15</v>
      </c>
      <c r="C120" s="30" t="s">
        <v>385</v>
      </c>
      <c r="D120" s="30" t="s">
        <v>386</v>
      </c>
      <c r="E120" s="167">
        <v>9.18</v>
      </c>
      <c r="F120" s="28" t="str">
        <f t="shared" si="1"/>
        <v>pass</v>
      </c>
    </row>
    <row r="121" ht="14.25" customHeight="1">
      <c r="A121" s="28">
        <v>120.0</v>
      </c>
      <c r="B121" s="28" t="s">
        <v>15</v>
      </c>
      <c r="C121" s="30" t="s">
        <v>387</v>
      </c>
      <c r="D121" s="30" t="s">
        <v>6376</v>
      </c>
      <c r="E121" s="167"/>
      <c r="F121" s="28" t="str">
        <f t="shared" si="1"/>
        <v>fail</v>
      </c>
    </row>
    <row r="122" ht="14.25" customHeight="1">
      <c r="A122" s="28">
        <v>121.0</v>
      </c>
      <c r="B122" s="28" t="s">
        <v>15</v>
      </c>
      <c r="C122" s="30" t="s">
        <v>389</v>
      </c>
      <c r="D122" s="30" t="s">
        <v>390</v>
      </c>
      <c r="E122" s="167"/>
      <c r="F122" s="28" t="str">
        <f t="shared" si="1"/>
        <v>fail</v>
      </c>
    </row>
    <row r="123" ht="14.25" customHeight="1">
      <c r="A123" s="28">
        <v>122.0</v>
      </c>
      <c r="B123" s="28" t="s">
        <v>15</v>
      </c>
      <c r="C123" s="30" t="s">
        <v>391</v>
      </c>
      <c r="D123" s="30" t="s">
        <v>392</v>
      </c>
      <c r="E123" s="167"/>
      <c r="F123" s="28" t="str">
        <f t="shared" si="1"/>
        <v>fail</v>
      </c>
    </row>
    <row r="124" ht="14.25" customHeight="1">
      <c r="A124" s="28">
        <v>123.0</v>
      </c>
      <c r="B124" s="28" t="s">
        <v>15</v>
      </c>
      <c r="C124" s="30" t="s">
        <v>393</v>
      </c>
      <c r="D124" s="30" t="s">
        <v>394</v>
      </c>
      <c r="E124" s="167">
        <v>8.1</v>
      </c>
      <c r="F124" s="28" t="str">
        <f t="shared" si="1"/>
        <v>pass</v>
      </c>
    </row>
    <row r="125" ht="14.25" customHeight="1">
      <c r="A125" s="28">
        <v>124.0</v>
      </c>
      <c r="B125" s="28" t="s">
        <v>15</v>
      </c>
      <c r="C125" s="30" t="s">
        <v>395</v>
      </c>
      <c r="D125" s="30" t="s">
        <v>396</v>
      </c>
      <c r="E125" s="167">
        <v>9.0</v>
      </c>
      <c r="F125" s="28" t="str">
        <f t="shared" si="1"/>
        <v>pass</v>
      </c>
    </row>
    <row r="126" ht="14.25" customHeight="1">
      <c r="A126" s="28">
        <v>125.0</v>
      </c>
      <c r="B126" s="28" t="s">
        <v>15</v>
      </c>
      <c r="C126" s="30" t="s">
        <v>397</v>
      </c>
      <c r="D126" s="30" t="s">
        <v>398</v>
      </c>
      <c r="E126" s="167">
        <v>8.56</v>
      </c>
      <c r="F126" s="28" t="str">
        <f t="shared" si="1"/>
        <v>pass</v>
      </c>
    </row>
    <row r="127" ht="14.25" customHeight="1">
      <c r="A127" s="28">
        <v>126.0</v>
      </c>
      <c r="B127" s="28" t="s">
        <v>15</v>
      </c>
      <c r="C127" s="30" t="s">
        <v>399</v>
      </c>
      <c r="D127" s="30" t="s">
        <v>400</v>
      </c>
      <c r="E127" s="167">
        <v>7.39</v>
      </c>
      <c r="F127" s="28" t="str">
        <f t="shared" si="1"/>
        <v>pass</v>
      </c>
    </row>
    <row r="128" ht="14.25" customHeight="1">
      <c r="A128" s="28">
        <v>127.0</v>
      </c>
      <c r="B128" s="28" t="s">
        <v>15</v>
      </c>
      <c r="C128" s="30" t="s">
        <v>402</v>
      </c>
      <c r="D128" s="30" t="s">
        <v>403</v>
      </c>
      <c r="E128" s="167">
        <v>8.47</v>
      </c>
      <c r="F128" s="28" t="str">
        <f t="shared" si="1"/>
        <v>pass</v>
      </c>
    </row>
    <row r="129" ht="14.25" customHeight="1">
      <c r="A129" s="28">
        <v>128.0</v>
      </c>
      <c r="B129" s="28" t="s">
        <v>15</v>
      </c>
      <c r="C129" s="30" t="s">
        <v>404</v>
      </c>
      <c r="D129" s="30" t="s">
        <v>405</v>
      </c>
      <c r="E129" s="167">
        <v>8.35</v>
      </c>
      <c r="F129" s="28" t="str">
        <f t="shared" si="1"/>
        <v>pass</v>
      </c>
    </row>
    <row r="130" ht="14.25" customHeight="1">
      <c r="A130" s="28">
        <v>129.0</v>
      </c>
      <c r="B130" s="28" t="s">
        <v>15</v>
      </c>
      <c r="C130" s="30" t="s">
        <v>407</v>
      </c>
      <c r="D130" s="30" t="s">
        <v>6377</v>
      </c>
      <c r="E130" s="167">
        <v>7.85</v>
      </c>
      <c r="F130" s="28" t="str">
        <f t="shared" si="1"/>
        <v>pass</v>
      </c>
    </row>
    <row r="131" ht="14.25" customHeight="1">
      <c r="A131" s="28">
        <v>130.0</v>
      </c>
      <c r="B131" s="28" t="s">
        <v>15</v>
      </c>
      <c r="C131" s="30" t="s">
        <v>410</v>
      </c>
      <c r="D131" s="30" t="s">
        <v>6378</v>
      </c>
      <c r="E131" s="167">
        <v>8.78</v>
      </c>
      <c r="F131" s="28" t="str">
        <f t="shared" si="1"/>
        <v>pass</v>
      </c>
    </row>
    <row r="132" ht="14.25" customHeight="1">
      <c r="A132" s="28">
        <v>131.0</v>
      </c>
      <c r="B132" s="28" t="s">
        <v>16</v>
      </c>
      <c r="C132" s="30" t="s">
        <v>428</v>
      </c>
      <c r="D132" s="30" t="s">
        <v>429</v>
      </c>
      <c r="E132" s="167">
        <v>8.13</v>
      </c>
      <c r="F132" s="28" t="str">
        <f t="shared" si="1"/>
        <v>pass</v>
      </c>
    </row>
    <row r="133" ht="14.25" customHeight="1">
      <c r="A133" s="28">
        <v>132.0</v>
      </c>
      <c r="B133" s="28" t="s">
        <v>16</v>
      </c>
      <c r="C133" s="30" t="s">
        <v>431</v>
      </c>
      <c r="D133" s="30" t="s">
        <v>432</v>
      </c>
      <c r="E133" s="167">
        <v>9.03</v>
      </c>
      <c r="F133" s="28" t="str">
        <f t="shared" si="1"/>
        <v>pass</v>
      </c>
    </row>
    <row r="134" ht="14.25" customHeight="1">
      <c r="A134" s="28">
        <v>133.0</v>
      </c>
      <c r="B134" s="28" t="s">
        <v>16</v>
      </c>
      <c r="C134" s="30" t="s">
        <v>433</v>
      </c>
      <c r="D134" s="30" t="s">
        <v>434</v>
      </c>
      <c r="E134" s="167"/>
      <c r="F134" s="28" t="str">
        <f t="shared" si="1"/>
        <v>fail</v>
      </c>
    </row>
    <row r="135" ht="14.25" customHeight="1">
      <c r="A135" s="28">
        <v>134.0</v>
      </c>
      <c r="B135" s="28" t="s">
        <v>16</v>
      </c>
      <c r="C135" s="30" t="s">
        <v>435</v>
      </c>
      <c r="D135" s="30" t="s">
        <v>6379</v>
      </c>
      <c r="E135" s="167">
        <v>8.74</v>
      </c>
      <c r="F135" s="28" t="str">
        <f t="shared" si="1"/>
        <v>pass</v>
      </c>
    </row>
    <row r="136" ht="14.25" customHeight="1">
      <c r="A136" s="28">
        <v>135.0</v>
      </c>
      <c r="B136" s="28" t="s">
        <v>16</v>
      </c>
      <c r="C136" s="30" t="s">
        <v>438</v>
      </c>
      <c r="D136" s="30" t="s">
        <v>439</v>
      </c>
      <c r="E136" s="167">
        <v>7.82</v>
      </c>
      <c r="F136" s="28" t="str">
        <f t="shared" si="1"/>
        <v>pass</v>
      </c>
    </row>
    <row r="137" ht="14.25" customHeight="1">
      <c r="A137" s="28">
        <v>136.0</v>
      </c>
      <c r="B137" s="28" t="s">
        <v>16</v>
      </c>
      <c r="C137" s="30" t="s">
        <v>441</v>
      </c>
      <c r="D137" s="30" t="s">
        <v>442</v>
      </c>
      <c r="E137" s="167">
        <v>8.86</v>
      </c>
      <c r="F137" s="28" t="str">
        <f t="shared" si="1"/>
        <v>pass</v>
      </c>
    </row>
    <row r="138" ht="14.25" customHeight="1">
      <c r="A138" s="28">
        <v>137.0</v>
      </c>
      <c r="B138" s="28" t="s">
        <v>16</v>
      </c>
      <c r="C138" s="30" t="s">
        <v>444</v>
      </c>
      <c r="D138" s="30" t="s">
        <v>445</v>
      </c>
      <c r="E138" s="167">
        <v>7.25</v>
      </c>
      <c r="F138" s="28" t="str">
        <f t="shared" si="1"/>
        <v>pass</v>
      </c>
    </row>
    <row r="139" ht="14.25" customHeight="1">
      <c r="A139" s="28">
        <v>138.0</v>
      </c>
      <c r="B139" s="28" t="s">
        <v>16</v>
      </c>
      <c r="C139" s="30" t="s">
        <v>446</v>
      </c>
      <c r="D139" s="30" t="s">
        <v>447</v>
      </c>
      <c r="E139" s="167">
        <v>7.44</v>
      </c>
      <c r="F139" s="28" t="str">
        <f t="shared" si="1"/>
        <v>pass</v>
      </c>
    </row>
    <row r="140" ht="14.25" customHeight="1">
      <c r="A140" s="28">
        <v>139.0</v>
      </c>
      <c r="B140" s="28" t="s">
        <v>16</v>
      </c>
      <c r="C140" s="30" t="s">
        <v>448</v>
      </c>
      <c r="D140" s="30" t="s">
        <v>449</v>
      </c>
      <c r="E140" s="167">
        <v>9.08</v>
      </c>
      <c r="F140" s="28" t="str">
        <f t="shared" si="1"/>
        <v>pass</v>
      </c>
    </row>
    <row r="141" ht="14.25" customHeight="1">
      <c r="A141" s="28">
        <v>140.0</v>
      </c>
      <c r="B141" s="28" t="s">
        <v>16</v>
      </c>
      <c r="C141" s="30" t="s">
        <v>452</v>
      </c>
      <c r="D141" s="30" t="s">
        <v>6380</v>
      </c>
      <c r="E141" s="167">
        <v>7.28</v>
      </c>
      <c r="F141" s="28" t="str">
        <f t="shared" si="1"/>
        <v>pass</v>
      </c>
    </row>
    <row r="142" ht="14.25" customHeight="1">
      <c r="A142" s="28">
        <v>141.0</v>
      </c>
      <c r="B142" s="28" t="s">
        <v>16</v>
      </c>
      <c r="C142" s="30" t="s">
        <v>454</v>
      </c>
      <c r="D142" s="30" t="s">
        <v>455</v>
      </c>
      <c r="E142" s="167">
        <v>6.86</v>
      </c>
      <c r="F142" s="28" t="str">
        <f t="shared" si="1"/>
        <v>pass</v>
      </c>
    </row>
    <row r="143" ht="14.25" customHeight="1">
      <c r="A143" s="28">
        <v>142.0</v>
      </c>
      <c r="B143" s="28" t="s">
        <v>16</v>
      </c>
      <c r="C143" s="30" t="s">
        <v>456</v>
      </c>
      <c r="D143" s="30" t="s">
        <v>457</v>
      </c>
      <c r="E143" s="167">
        <v>7.25</v>
      </c>
      <c r="F143" s="28" t="str">
        <f t="shared" si="1"/>
        <v>pass</v>
      </c>
    </row>
    <row r="144" ht="14.25" customHeight="1">
      <c r="A144" s="28">
        <v>143.0</v>
      </c>
      <c r="B144" s="28" t="s">
        <v>16</v>
      </c>
      <c r="C144" s="30" t="s">
        <v>458</v>
      </c>
      <c r="D144" s="30" t="s">
        <v>459</v>
      </c>
      <c r="E144" s="167">
        <v>7.53</v>
      </c>
      <c r="F144" s="28" t="str">
        <f t="shared" si="1"/>
        <v>pass</v>
      </c>
    </row>
    <row r="145" ht="14.25" customHeight="1">
      <c r="A145" s="28">
        <v>144.0</v>
      </c>
      <c r="B145" s="28" t="s">
        <v>16</v>
      </c>
      <c r="C145" s="30" t="s">
        <v>461</v>
      </c>
      <c r="D145" s="30" t="s">
        <v>462</v>
      </c>
      <c r="E145" s="167">
        <v>8.96</v>
      </c>
      <c r="F145" s="28" t="str">
        <f t="shared" si="1"/>
        <v>pass</v>
      </c>
    </row>
    <row r="146" ht="14.25" customHeight="1">
      <c r="A146" s="28">
        <v>145.0</v>
      </c>
      <c r="B146" s="28" t="s">
        <v>16</v>
      </c>
      <c r="C146" s="30" t="s">
        <v>465</v>
      </c>
      <c r="D146" s="30" t="s">
        <v>466</v>
      </c>
      <c r="E146" s="167">
        <v>8.99</v>
      </c>
      <c r="F146" s="28" t="str">
        <f t="shared" si="1"/>
        <v>pass</v>
      </c>
    </row>
    <row r="147" ht="14.25" customHeight="1">
      <c r="A147" s="28">
        <v>146.0</v>
      </c>
      <c r="B147" s="28" t="s">
        <v>16</v>
      </c>
      <c r="C147" s="30" t="s">
        <v>468</v>
      </c>
      <c r="D147" s="30" t="s">
        <v>469</v>
      </c>
      <c r="E147" s="167">
        <v>8.68</v>
      </c>
      <c r="F147" s="28" t="str">
        <f t="shared" si="1"/>
        <v>pass</v>
      </c>
    </row>
    <row r="148" ht="14.25" customHeight="1">
      <c r="A148" s="28">
        <v>147.0</v>
      </c>
      <c r="B148" s="28" t="s">
        <v>16</v>
      </c>
      <c r="C148" s="30" t="s">
        <v>470</v>
      </c>
      <c r="D148" s="30" t="s">
        <v>471</v>
      </c>
      <c r="E148" s="167"/>
      <c r="F148" s="28" t="str">
        <f t="shared" si="1"/>
        <v>fail</v>
      </c>
    </row>
    <row r="149" ht="14.25" customHeight="1">
      <c r="A149" s="28">
        <v>148.0</v>
      </c>
      <c r="B149" s="28" t="s">
        <v>16</v>
      </c>
      <c r="C149" s="30" t="s">
        <v>472</v>
      </c>
      <c r="D149" s="30" t="s">
        <v>473</v>
      </c>
      <c r="E149" s="167">
        <v>8.46</v>
      </c>
      <c r="F149" s="28" t="str">
        <f t="shared" si="1"/>
        <v>pass</v>
      </c>
    </row>
    <row r="150" ht="14.25" customHeight="1">
      <c r="A150" s="28">
        <v>149.0</v>
      </c>
      <c r="B150" s="28" t="s">
        <v>16</v>
      </c>
      <c r="C150" s="30" t="s">
        <v>475</v>
      </c>
      <c r="D150" s="30" t="s">
        <v>6381</v>
      </c>
      <c r="E150" s="167"/>
      <c r="F150" s="28" t="str">
        <f t="shared" si="1"/>
        <v>fail</v>
      </c>
    </row>
    <row r="151" ht="14.25" customHeight="1">
      <c r="A151" s="28">
        <v>150.0</v>
      </c>
      <c r="B151" s="28" t="s">
        <v>16</v>
      </c>
      <c r="C151" s="30" t="s">
        <v>477</v>
      </c>
      <c r="D151" s="30" t="s">
        <v>478</v>
      </c>
      <c r="E151" s="167">
        <v>8.81</v>
      </c>
      <c r="F151" s="28" t="str">
        <f t="shared" si="1"/>
        <v>pass</v>
      </c>
    </row>
    <row r="152" ht="14.25" customHeight="1">
      <c r="A152" s="28">
        <v>151.0</v>
      </c>
      <c r="B152" s="28" t="s">
        <v>16</v>
      </c>
      <c r="C152" s="30" t="s">
        <v>479</v>
      </c>
      <c r="D152" s="30" t="s">
        <v>480</v>
      </c>
      <c r="E152" s="167">
        <v>8.73</v>
      </c>
      <c r="F152" s="28" t="str">
        <f t="shared" si="1"/>
        <v>pass</v>
      </c>
    </row>
    <row r="153" ht="14.25" customHeight="1">
      <c r="A153" s="28">
        <v>152.0</v>
      </c>
      <c r="B153" s="28" t="s">
        <v>16</v>
      </c>
      <c r="C153" s="30" t="s">
        <v>482</v>
      </c>
      <c r="D153" s="30" t="s">
        <v>6382</v>
      </c>
      <c r="E153" s="167">
        <v>8.56</v>
      </c>
      <c r="F153" s="28" t="str">
        <f t="shared" si="1"/>
        <v>pass</v>
      </c>
    </row>
    <row r="154" ht="14.25" customHeight="1">
      <c r="A154" s="28">
        <v>153.0</v>
      </c>
      <c r="B154" s="28" t="s">
        <v>16</v>
      </c>
      <c r="C154" s="30" t="s">
        <v>484</v>
      </c>
      <c r="D154" s="30" t="s">
        <v>485</v>
      </c>
      <c r="E154" s="167">
        <v>8.48</v>
      </c>
      <c r="F154" s="28" t="str">
        <f t="shared" si="1"/>
        <v>pass</v>
      </c>
    </row>
    <row r="155" ht="14.25" customHeight="1">
      <c r="A155" s="28">
        <v>154.0</v>
      </c>
      <c r="B155" s="28" t="s">
        <v>16</v>
      </c>
      <c r="C155" s="30" t="s">
        <v>487</v>
      </c>
      <c r="D155" s="30" t="s">
        <v>6383</v>
      </c>
      <c r="E155" s="167">
        <v>6.45</v>
      </c>
      <c r="F155" s="28" t="str">
        <f t="shared" si="1"/>
        <v>pass</v>
      </c>
    </row>
    <row r="156" ht="14.25" customHeight="1">
      <c r="A156" s="28">
        <v>155.0</v>
      </c>
      <c r="B156" s="28" t="s">
        <v>16</v>
      </c>
      <c r="C156" s="30" t="s">
        <v>489</v>
      </c>
      <c r="D156" s="30" t="s">
        <v>490</v>
      </c>
      <c r="E156" s="167">
        <v>7.04</v>
      </c>
      <c r="F156" s="28" t="str">
        <f t="shared" si="1"/>
        <v>pass</v>
      </c>
    </row>
    <row r="157" ht="14.25" customHeight="1">
      <c r="A157" s="28">
        <v>156.0</v>
      </c>
      <c r="B157" s="28" t="s">
        <v>16</v>
      </c>
      <c r="C157" s="30" t="s">
        <v>491</v>
      </c>
      <c r="D157" s="30" t="s">
        <v>492</v>
      </c>
      <c r="E157" s="167">
        <v>8.69</v>
      </c>
      <c r="F157" s="28" t="str">
        <f t="shared" si="1"/>
        <v>pass</v>
      </c>
    </row>
    <row r="158" ht="14.25" customHeight="1">
      <c r="A158" s="28">
        <v>157.0</v>
      </c>
      <c r="B158" s="28" t="s">
        <v>16</v>
      </c>
      <c r="C158" s="30" t="s">
        <v>493</v>
      </c>
      <c r="D158" s="30" t="s">
        <v>494</v>
      </c>
      <c r="E158" s="167">
        <v>8.84</v>
      </c>
      <c r="F158" s="28" t="str">
        <f t="shared" si="1"/>
        <v>pass</v>
      </c>
    </row>
    <row r="159" ht="14.25" customHeight="1">
      <c r="A159" s="28">
        <v>158.0</v>
      </c>
      <c r="B159" s="28" t="s">
        <v>16</v>
      </c>
      <c r="C159" s="30" t="s">
        <v>495</v>
      </c>
      <c r="D159" s="30" t="s">
        <v>2228</v>
      </c>
      <c r="E159" s="167">
        <v>8.19</v>
      </c>
      <c r="F159" s="28" t="str">
        <f t="shared" si="1"/>
        <v>pass</v>
      </c>
    </row>
    <row r="160" ht="14.25" customHeight="1">
      <c r="A160" s="28">
        <v>159.0</v>
      </c>
      <c r="B160" s="28" t="s">
        <v>16</v>
      </c>
      <c r="C160" s="30" t="s">
        <v>497</v>
      </c>
      <c r="D160" s="30" t="s">
        <v>6384</v>
      </c>
      <c r="E160" s="167"/>
      <c r="F160" s="28" t="str">
        <f t="shared" si="1"/>
        <v>fail</v>
      </c>
    </row>
    <row r="161" ht="14.25" customHeight="1">
      <c r="A161" s="28">
        <v>160.0</v>
      </c>
      <c r="B161" s="28" t="s">
        <v>16</v>
      </c>
      <c r="C161" s="30" t="s">
        <v>499</v>
      </c>
      <c r="D161" s="30" t="s">
        <v>500</v>
      </c>
      <c r="E161" s="167">
        <v>8.51</v>
      </c>
      <c r="F161" s="28" t="str">
        <f t="shared" si="1"/>
        <v>pass</v>
      </c>
    </row>
    <row r="162" ht="14.25" customHeight="1">
      <c r="A162" s="28">
        <v>161.0</v>
      </c>
      <c r="B162" s="28" t="s">
        <v>16</v>
      </c>
      <c r="C162" s="30" t="s">
        <v>501</v>
      </c>
      <c r="D162" s="30" t="s">
        <v>502</v>
      </c>
      <c r="E162" s="167"/>
      <c r="F162" s="28" t="str">
        <f t="shared" si="1"/>
        <v>fail</v>
      </c>
    </row>
    <row r="163" ht="14.25" customHeight="1">
      <c r="A163" s="28">
        <v>162.0</v>
      </c>
      <c r="B163" s="28" t="s">
        <v>16</v>
      </c>
      <c r="C163" s="30" t="s">
        <v>503</v>
      </c>
      <c r="D163" s="30" t="s">
        <v>504</v>
      </c>
      <c r="E163" s="167">
        <v>9.25</v>
      </c>
      <c r="F163" s="28" t="str">
        <f t="shared" si="1"/>
        <v>pass</v>
      </c>
    </row>
    <row r="164" ht="14.25" customHeight="1">
      <c r="A164" s="28">
        <v>163.0</v>
      </c>
      <c r="B164" s="28" t="s">
        <v>16</v>
      </c>
      <c r="C164" s="30" t="s">
        <v>506</v>
      </c>
      <c r="D164" s="30" t="s">
        <v>2265</v>
      </c>
      <c r="E164" s="167">
        <v>8.08</v>
      </c>
      <c r="F164" s="28" t="str">
        <f t="shared" si="1"/>
        <v>pass</v>
      </c>
    </row>
    <row r="165" ht="14.25" customHeight="1">
      <c r="A165" s="28">
        <v>164.0</v>
      </c>
      <c r="B165" s="28" t="s">
        <v>16</v>
      </c>
      <c r="C165" s="30" t="s">
        <v>509</v>
      </c>
      <c r="D165" s="30" t="s">
        <v>510</v>
      </c>
      <c r="E165" s="167">
        <v>8.88</v>
      </c>
      <c r="F165" s="28" t="str">
        <f t="shared" si="1"/>
        <v>pass</v>
      </c>
    </row>
    <row r="166" ht="14.25" customHeight="1">
      <c r="A166" s="28">
        <v>165.0</v>
      </c>
      <c r="B166" s="28" t="s">
        <v>16</v>
      </c>
      <c r="C166" s="30" t="s">
        <v>511</v>
      </c>
      <c r="D166" s="30" t="s">
        <v>512</v>
      </c>
      <c r="E166" s="167">
        <v>7.02</v>
      </c>
      <c r="F166" s="28" t="str">
        <f t="shared" si="1"/>
        <v>pass</v>
      </c>
    </row>
    <row r="167" ht="14.25" customHeight="1">
      <c r="A167" s="28">
        <v>166.0</v>
      </c>
      <c r="B167" s="28" t="s">
        <v>16</v>
      </c>
      <c r="C167" s="30" t="s">
        <v>513</v>
      </c>
      <c r="D167" s="30" t="s">
        <v>514</v>
      </c>
      <c r="E167" s="167">
        <v>7.25</v>
      </c>
      <c r="F167" s="28" t="str">
        <f t="shared" si="1"/>
        <v>pass</v>
      </c>
    </row>
    <row r="168" ht="14.25" customHeight="1">
      <c r="A168" s="28">
        <v>167.0</v>
      </c>
      <c r="B168" s="28" t="s">
        <v>16</v>
      </c>
      <c r="C168" s="30" t="s">
        <v>516</v>
      </c>
      <c r="D168" s="30" t="s">
        <v>6385</v>
      </c>
      <c r="E168" s="167">
        <v>8.21</v>
      </c>
      <c r="F168" s="28" t="str">
        <f t="shared" si="1"/>
        <v>pass</v>
      </c>
    </row>
    <row r="169" ht="14.25" customHeight="1">
      <c r="A169" s="28">
        <v>168.0</v>
      </c>
      <c r="B169" s="28" t="s">
        <v>16</v>
      </c>
      <c r="C169" s="30" t="s">
        <v>519</v>
      </c>
      <c r="D169" s="30" t="s">
        <v>520</v>
      </c>
      <c r="E169" s="167">
        <v>8.29</v>
      </c>
      <c r="F169" s="28" t="str">
        <f t="shared" si="1"/>
        <v>pass</v>
      </c>
    </row>
    <row r="170" ht="14.25" customHeight="1">
      <c r="A170" s="28">
        <v>169.0</v>
      </c>
      <c r="B170" s="28" t="s">
        <v>16</v>
      </c>
      <c r="C170" s="30" t="s">
        <v>522</v>
      </c>
      <c r="D170" s="30" t="s">
        <v>6386</v>
      </c>
      <c r="E170" s="167"/>
      <c r="F170" s="28" t="str">
        <f t="shared" si="1"/>
        <v>fail</v>
      </c>
    </row>
    <row r="171" ht="14.25" customHeight="1">
      <c r="A171" s="28">
        <v>170.0</v>
      </c>
      <c r="B171" s="28" t="s">
        <v>16</v>
      </c>
      <c r="C171" s="30" t="s">
        <v>524</v>
      </c>
      <c r="D171" s="30" t="s">
        <v>525</v>
      </c>
      <c r="E171" s="167">
        <v>7.13</v>
      </c>
      <c r="F171" s="28" t="str">
        <f t="shared" si="1"/>
        <v>pass</v>
      </c>
    </row>
    <row r="172" ht="14.25" customHeight="1">
      <c r="A172" s="28">
        <v>171.0</v>
      </c>
      <c r="B172" s="28" t="s">
        <v>16</v>
      </c>
      <c r="C172" s="30" t="s">
        <v>526</v>
      </c>
      <c r="D172" s="30" t="s">
        <v>527</v>
      </c>
      <c r="E172" s="167"/>
      <c r="F172" s="28" t="str">
        <f t="shared" si="1"/>
        <v>fail</v>
      </c>
    </row>
    <row r="173" ht="14.25" customHeight="1">
      <c r="A173" s="28">
        <v>172.0</v>
      </c>
      <c r="B173" s="28" t="s">
        <v>16</v>
      </c>
      <c r="C173" s="30" t="s">
        <v>528</v>
      </c>
      <c r="D173" s="30" t="s">
        <v>529</v>
      </c>
      <c r="E173" s="167">
        <v>7.83</v>
      </c>
      <c r="F173" s="28" t="str">
        <f t="shared" si="1"/>
        <v>pass</v>
      </c>
    </row>
    <row r="174" ht="14.25" customHeight="1">
      <c r="A174" s="28">
        <v>173.0</v>
      </c>
      <c r="B174" s="28" t="s">
        <v>16</v>
      </c>
      <c r="C174" s="30" t="s">
        <v>531</v>
      </c>
      <c r="D174" s="30" t="s">
        <v>532</v>
      </c>
      <c r="E174" s="167">
        <v>8.71</v>
      </c>
      <c r="F174" s="28" t="str">
        <f t="shared" si="1"/>
        <v>pass</v>
      </c>
    </row>
    <row r="175" ht="14.25" customHeight="1">
      <c r="A175" s="28">
        <v>174.0</v>
      </c>
      <c r="B175" s="28" t="s">
        <v>16</v>
      </c>
      <c r="C175" s="30" t="s">
        <v>534</v>
      </c>
      <c r="D175" s="30" t="s">
        <v>535</v>
      </c>
      <c r="E175" s="167">
        <v>8.24</v>
      </c>
      <c r="F175" s="28" t="str">
        <f t="shared" si="1"/>
        <v>pass</v>
      </c>
    </row>
    <row r="176" ht="14.25" customHeight="1">
      <c r="A176" s="28">
        <v>175.0</v>
      </c>
      <c r="B176" s="28" t="s">
        <v>16</v>
      </c>
      <c r="C176" s="30" t="s">
        <v>536</v>
      </c>
      <c r="D176" s="30" t="s">
        <v>537</v>
      </c>
      <c r="E176" s="167">
        <v>7.52</v>
      </c>
      <c r="F176" s="28" t="str">
        <f t="shared" si="1"/>
        <v>pass</v>
      </c>
    </row>
    <row r="177" ht="14.25" customHeight="1">
      <c r="A177" s="28">
        <v>176.0</v>
      </c>
      <c r="B177" s="28" t="s">
        <v>16</v>
      </c>
      <c r="C177" s="30" t="s">
        <v>538</v>
      </c>
      <c r="D177" s="30" t="s">
        <v>539</v>
      </c>
      <c r="E177" s="167">
        <v>8.55</v>
      </c>
      <c r="F177" s="28" t="str">
        <f t="shared" si="1"/>
        <v>pass</v>
      </c>
    </row>
    <row r="178" ht="14.25" customHeight="1">
      <c r="A178" s="28">
        <v>177.0</v>
      </c>
      <c r="B178" s="28" t="s">
        <v>16</v>
      </c>
      <c r="C178" s="30" t="s">
        <v>540</v>
      </c>
      <c r="D178" s="30" t="s">
        <v>541</v>
      </c>
      <c r="E178" s="167">
        <v>7.04</v>
      </c>
      <c r="F178" s="28" t="str">
        <f t="shared" si="1"/>
        <v>pass</v>
      </c>
    </row>
    <row r="179" ht="14.25" customHeight="1">
      <c r="A179" s="28">
        <v>178.0</v>
      </c>
      <c r="B179" s="28" t="s">
        <v>16</v>
      </c>
      <c r="C179" s="30" t="s">
        <v>542</v>
      </c>
      <c r="D179" s="30" t="s">
        <v>6387</v>
      </c>
      <c r="E179" s="167">
        <v>6.88</v>
      </c>
      <c r="F179" s="28" t="str">
        <f t="shared" si="1"/>
        <v>pass</v>
      </c>
    </row>
    <row r="180" ht="14.25" customHeight="1">
      <c r="A180" s="28">
        <v>179.0</v>
      </c>
      <c r="B180" s="28" t="s">
        <v>16</v>
      </c>
      <c r="C180" s="30" t="s">
        <v>544</v>
      </c>
      <c r="D180" s="30" t="s">
        <v>6388</v>
      </c>
      <c r="E180" s="167">
        <v>8.94</v>
      </c>
      <c r="F180" s="28" t="str">
        <f t="shared" si="1"/>
        <v>pass</v>
      </c>
    </row>
    <row r="181" ht="14.25" customHeight="1">
      <c r="A181" s="28">
        <v>180.0</v>
      </c>
      <c r="B181" s="28" t="s">
        <v>16</v>
      </c>
      <c r="C181" s="30" t="s">
        <v>547</v>
      </c>
      <c r="D181" s="30" t="s">
        <v>6389</v>
      </c>
      <c r="E181" s="167">
        <v>7.93</v>
      </c>
      <c r="F181" s="28" t="str">
        <f t="shared" si="1"/>
        <v>pass</v>
      </c>
    </row>
    <row r="182" ht="14.25" customHeight="1">
      <c r="A182" s="28">
        <v>181.0</v>
      </c>
      <c r="B182" s="28" t="s">
        <v>16</v>
      </c>
      <c r="C182" s="30" t="s">
        <v>549</v>
      </c>
      <c r="D182" s="30" t="s">
        <v>550</v>
      </c>
      <c r="E182" s="167">
        <v>8.04</v>
      </c>
      <c r="F182" s="28" t="str">
        <f t="shared" si="1"/>
        <v>pass</v>
      </c>
    </row>
    <row r="183" ht="14.25" customHeight="1">
      <c r="A183" s="28">
        <v>182.0</v>
      </c>
      <c r="B183" s="28" t="s">
        <v>16</v>
      </c>
      <c r="C183" s="30" t="s">
        <v>551</v>
      </c>
      <c r="D183" s="30" t="s">
        <v>552</v>
      </c>
      <c r="E183" s="167">
        <v>7.75</v>
      </c>
      <c r="F183" s="28" t="str">
        <f t="shared" si="1"/>
        <v>pass</v>
      </c>
    </row>
    <row r="184" ht="14.25" customHeight="1">
      <c r="A184" s="28">
        <v>183.0</v>
      </c>
      <c r="B184" s="28" t="s">
        <v>16</v>
      </c>
      <c r="C184" s="30" t="s">
        <v>553</v>
      </c>
      <c r="D184" s="30" t="s">
        <v>554</v>
      </c>
      <c r="E184" s="167"/>
      <c r="F184" s="28" t="str">
        <f t="shared" si="1"/>
        <v>fail</v>
      </c>
    </row>
    <row r="185" ht="14.25" customHeight="1">
      <c r="A185" s="28">
        <v>184.0</v>
      </c>
      <c r="B185" s="28" t="s">
        <v>16</v>
      </c>
      <c r="C185" s="30" t="s">
        <v>555</v>
      </c>
      <c r="D185" s="30" t="s">
        <v>556</v>
      </c>
      <c r="E185" s="167">
        <v>8.08</v>
      </c>
      <c r="F185" s="28" t="str">
        <f t="shared" si="1"/>
        <v>pass</v>
      </c>
    </row>
    <row r="186" ht="14.25" customHeight="1">
      <c r="A186" s="28">
        <v>185.0</v>
      </c>
      <c r="B186" s="28" t="s">
        <v>16</v>
      </c>
      <c r="C186" s="30" t="s">
        <v>557</v>
      </c>
      <c r="D186" s="30" t="s">
        <v>558</v>
      </c>
      <c r="E186" s="167">
        <v>8.59</v>
      </c>
      <c r="F186" s="28" t="str">
        <f t="shared" si="1"/>
        <v>pass</v>
      </c>
    </row>
    <row r="187" ht="14.25" customHeight="1">
      <c r="A187" s="28">
        <v>186.0</v>
      </c>
      <c r="B187" s="28" t="s">
        <v>16</v>
      </c>
      <c r="C187" s="30" t="s">
        <v>560</v>
      </c>
      <c r="D187" s="30" t="s">
        <v>6390</v>
      </c>
      <c r="E187" s="167">
        <v>8.49</v>
      </c>
      <c r="F187" s="28" t="str">
        <f t="shared" si="1"/>
        <v>pass</v>
      </c>
    </row>
    <row r="188" ht="14.25" customHeight="1">
      <c r="A188" s="28">
        <v>187.0</v>
      </c>
      <c r="B188" s="28" t="s">
        <v>16</v>
      </c>
      <c r="C188" s="30" t="s">
        <v>562</v>
      </c>
      <c r="D188" s="30" t="s">
        <v>6391</v>
      </c>
      <c r="E188" s="167">
        <v>8.38</v>
      </c>
      <c r="F188" s="28" t="str">
        <f t="shared" si="1"/>
        <v>pass</v>
      </c>
    </row>
    <row r="189" ht="14.25" customHeight="1">
      <c r="A189" s="28">
        <v>188.0</v>
      </c>
      <c r="B189" s="28" t="s">
        <v>16</v>
      </c>
      <c r="C189" s="30" t="s">
        <v>564</v>
      </c>
      <c r="D189" s="30" t="s">
        <v>565</v>
      </c>
      <c r="E189" s="167">
        <v>7.64</v>
      </c>
      <c r="F189" s="28" t="str">
        <f t="shared" si="1"/>
        <v>pass</v>
      </c>
    </row>
    <row r="190" ht="14.25" customHeight="1">
      <c r="A190" s="28">
        <v>189.0</v>
      </c>
      <c r="B190" s="28" t="s">
        <v>16</v>
      </c>
      <c r="C190" s="30" t="s">
        <v>566</v>
      </c>
      <c r="D190" s="30" t="s">
        <v>567</v>
      </c>
      <c r="E190" s="167">
        <v>6.82</v>
      </c>
      <c r="F190" s="28" t="str">
        <f t="shared" si="1"/>
        <v>pass</v>
      </c>
    </row>
    <row r="191" ht="14.25" customHeight="1">
      <c r="A191" s="28">
        <v>190.0</v>
      </c>
      <c r="B191" s="28" t="s">
        <v>16</v>
      </c>
      <c r="C191" s="30" t="s">
        <v>568</v>
      </c>
      <c r="D191" s="30" t="s">
        <v>6392</v>
      </c>
      <c r="E191" s="167">
        <v>7.23</v>
      </c>
      <c r="F191" s="28" t="str">
        <f t="shared" si="1"/>
        <v>pass</v>
      </c>
    </row>
    <row r="192" ht="14.25" customHeight="1">
      <c r="A192" s="28">
        <v>191.0</v>
      </c>
      <c r="B192" s="28" t="s">
        <v>16</v>
      </c>
      <c r="C192" s="30" t="s">
        <v>570</v>
      </c>
      <c r="D192" s="30" t="s">
        <v>571</v>
      </c>
      <c r="E192" s="167">
        <v>8.94</v>
      </c>
      <c r="F192" s="28" t="str">
        <f t="shared" si="1"/>
        <v>pass</v>
      </c>
    </row>
    <row r="193" ht="14.25" customHeight="1">
      <c r="A193" s="28">
        <v>192.0</v>
      </c>
      <c r="B193" s="28" t="s">
        <v>16</v>
      </c>
      <c r="C193" s="30" t="s">
        <v>573</v>
      </c>
      <c r="D193" s="30" t="s">
        <v>574</v>
      </c>
      <c r="E193" s="167">
        <v>9.19</v>
      </c>
      <c r="F193" s="28" t="str">
        <f t="shared" si="1"/>
        <v>pass</v>
      </c>
    </row>
    <row r="194" ht="14.25" customHeight="1">
      <c r="A194" s="28">
        <v>193.0</v>
      </c>
      <c r="B194" s="28" t="s">
        <v>16</v>
      </c>
      <c r="C194" s="30" t="s">
        <v>575</v>
      </c>
      <c r="D194" s="30" t="s">
        <v>6393</v>
      </c>
      <c r="E194" s="167">
        <v>8.35</v>
      </c>
      <c r="F194" s="28" t="str">
        <f t="shared" si="1"/>
        <v>pass</v>
      </c>
    </row>
    <row r="195" ht="14.25" customHeight="1">
      <c r="A195" s="28">
        <v>194.0</v>
      </c>
      <c r="B195" s="28" t="s">
        <v>16</v>
      </c>
      <c r="C195" s="30" t="s">
        <v>577</v>
      </c>
      <c r="D195" s="30" t="s">
        <v>578</v>
      </c>
      <c r="E195" s="167">
        <v>8.11</v>
      </c>
      <c r="F195" s="28" t="str">
        <f t="shared" si="1"/>
        <v>pass</v>
      </c>
    </row>
    <row r="196" ht="14.25" customHeight="1">
      <c r="A196" s="28">
        <v>195.0</v>
      </c>
      <c r="B196" s="28" t="s">
        <v>17</v>
      </c>
      <c r="C196" s="30" t="s">
        <v>594</v>
      </c>
      <c r="D196" s="30" t="s">
        <v>6394</v>
      </c>
      <c r="E196" s="167">
        <v>7.67</v>
      </c>
      <c r="F196" s="28" t="str">
        <f t="shared" si="1"/>
        <v>pass</v>
      </c>
    </row>
    <row r="197" ht="14.25" customHeight="1">
      <c r="A197" s="28">
        <v>196.0</v>
      </c>
      <c r="B197" s="28" t="s">
        <v>17</v>
      </c>
      <c r="C197" s="30" t="s">
        <v>597</v>
      </c>
      <c r="D197" s="30" t="s">
        <v>6395</v>
      </c>
      <c r="E197" s="167">
        <v>7.19</v>
      </c>
      <c r="F197" s="28" t="str">
        <f t="shared" si="1"/>
        <v>pass</v>
      </c>
    </row>
    <row r="198" ht="14.25" customHeight="1">
      <c r="A198" s="28">
        <v>197.0</v>
      </c>
      <c r="B198" s="28" t="s">
        <v>17</v>
      </c>
      <c r="C198" s="30" t="s">
        <v>599</v>
      </c>
      <c r="D198" s="30" t="s">
        <v>6396</v>
      </c>
      <c r="E198" s="167">
        <v>8.2</v>
      </c>
      <c r="F198" s="28" t="str">
        <f t="shared" si="1"/>
        <v>pass</v>
      </c>
    </row>
    <row r="199" ht="14.25" customHeight="1">
      <c r="A199" s="28">
        <v>198.0</v>
      </c>
      <c r="B199" s="28" t="s">
        <v>17</v>
      </c>
      <c r="C199" s="30" t="s">
        <v>602</v>
      </c>
      <c r="D199" s="30" t="s">
        <v>603</v>
      </c>
      <c r="E199" s="167">
        <v>7.59</v>
      </c>
      <c r="F199" s="28" t="str">
        <f t="shared" si="1"/>
        <v>pass</v>
      </c>
    </row>
    <row r="200" ht="14.25" customHeight="1">
      <c r="A200" s="28">
        <v>199.0</v>
      </c>
      <c r="B200" s="28" t="s">
        <v>17</v>
      </c>
      <c r="C200" s="30" t="s">
        <v>605</v>
      </c>
      <c r="D200" s="30" t="s">
        <v>606</v>
      </c>
      <c r="E200" s="167">
        <v>7.4</v>
      </c>
      <c r="F200" s="28" t="str">
        <f t="shared" si="1"/>
        <v>pass</v>
      </c>
    </row>
    <row r="201" ht="14.25" customHeight="1">
      <c r="A201" s="28">
        <v>200.0</v>
      </c>
      <c r="B201" s="28" t="s">
        <v>17</v>
      </c>
      <c r="C201" s="30" t="s">
        <v>607</v>
      </c>
      <c r="D201" s="30" t="s">
        <v>6397</v>
      </c>
      <c r="E201" s="167">
        <v>8.1</v>
      </c>
      <c r="F201" s="28" t="str">
        <f t="shared" si="1"/>
        <v>pass</v>
      </c>
    </row>
    <row r="202" ht="14.25" customHeight="1">
      <c r="A202" s="28">
        <v>201.0</v>
      </c>
      <c r="B202" s="28" t="s">
        <v>17</v>
      </c>
      <c r="C202" s="30" t="s">
        <v>610</v>
      </c>
      <c r="D202" s="30" t="s">
        <v>6398</v>
      </c>
      <c r="E202" s="167"/>
      <c r="F202" s="28" t="str">
        <f t="shared" si="1"/>
        <v>fail</v>
      </c>
    </row>
    <row r="203" ht="14.25" customHeight="1">
      <c r="A203" s="28">
        <v>202.0</v>
      </c>
      <c r="B203" s="28" t="s">
        <v>17</v>
      </c>
      <c r="C203" s="30" t="s">
        <v>612</v>
      </c>
      <c r="D203" s="30" t="s">
        <v>613</v>
      </c>
      <c r="E203" s="167">
        <v>8.71</v>
      </c>
      <c r="F203" s="28" t="str">
        <f t="shared" si="1"/>
        <v>pass</v>
      </c>
    </row>
    <row r="204" ht="14.25" customHeight="1">
      <c r="A204" s="28">
        <v>203.0</v>
      </c>
      <c r="B204" s="28" t="s">
        <v>17</v>
      </c>
      <c r="C204" s="30" t="s">
        <v>614</v>
      </c>
      <c r="D204" s="30" t="s">
        <v>615</v>
      </c>
      <c r="E204" s="167">
        <v>8.45</v>
      </c>
      <c r="F204" s="28" t="str">
        <f t="shared" si="1"/>
        <v>pass</v>
      </c>
    </row>
    <row r="205" ht="14.25" customHeight="1">
      <c r="A205" s="28">
        <v>204.0</v>
      </c>
      <c r="B205" s="28" t="s">
        <v>17</v>
      </c>
      <c r="C205" s="30" t="s">
        <v>617</v>
      </c>
      <c r="D205" s="30" t="s">
        <v>618</v>
      </c>
      <c r="E205" s="167">
        <v>9.08</v>
      </c>
      <c r="F205" s="28" t="str">
        <f t="shared" si="1"/>
        <v>pass</v>
      </c>
    </row>
    <row r="206" ht="14.25" customHeight="1">
      <c r="A206" s="28">
        <v>205.0</v>
      </c>
      <c r="B206" s="28" t="s">
        <v>17</v>
      </c>
      <c r="C206" s="30" t="s">
        <v>619</v>
      </c>
      <c r="D206" s="30" t="s">
        <v>620</v>
      </c>
      <c r="E206" s="167">
        <v>9.06</v>
      </c>
      <c r="F206" s="28" t="str">
        <f t="shared" si="1"/>
        <v>pass</v>
      </c>
    </row>
    <row r="207" ht="14.25" customHeight="1">
      <c r="A207" s="28">
        <v>206.0</v>
      </c>
      <c r="B207" s="28" t="s">
        <v>17</v>
      </c>
      <c r="C207" s="30" t="s">
        <v>623</v>
      </c>
      <c r="D207" s="30" t="s">
        <v>624</v>
      </c>
      <c r="E207" s="167">
        <v>6.87</v>
      </c>
      <c r="F207" s="28" t="str">
        <f t="shared" si="1"/>
        <v>pass</v>
      </c>
    </row>
    <row r="208" ht="14.25" customHeight="1">
      <c r="A208" s="28">
        <v>207.0</v>
      </c>
      <c r="B208" s="28" t="s">
        <v>17</v>
      </c>
      <c r="C208" s="30" t="s">
        <v>625</v>
      </c>
      <c r="D208" s="30" t="s">
        <v>626</v>
      </c>
      <c r="E208" s="167">
        <v>8.23</v>
      </c>
      <c r="F208" s="28" t="str">
        <f t="shared" si="1"/>
        <v>pass</v>
      </c>
    </row>
    <row r="209" ht="14.25" customHeight="1">
      <c r="A209" s="28">
        <v>208.0</v>
      </c>
      <c r="B209" s="28" t="s">
        <v>17</v>
      </c>
      <c r="C209" s="30" t="s">
        <v>627</v>
      </c>
      <c r="D209" s="30" t="s">
        <v>628</v>
      </c>
      <c r="E209" s="167">
        <v>7.74</v>
      </c>
      <c r="F209" s="28" t="str">
        <f t="shared" si="1"/>
        <v>pass</v>
      </c>
    </row>
    <row r="210" ht="14.25" customHeight="1">
      <c r="A210" s="28">
        <v>209.0</v>
      </c>
      <c r="B210" s="28" t="s">
        <v>17</v>
      </c>
      <c r="C210" s="30" t="s">
        <v>630</v>
      </c>
      <c r="D210" s="30" t="s">
        <v>4570</v>
      </c>
      <c r="E210" s="167"/>
      <c r="F210" s="28" t="str">
        <f t="shared" si="1"/>
        <v>fail</v>
      </c>
    </row>
    <row r="211" ht="14.25" customHeight="1">
      <c r="A211" s="28">
        <v>210.0</v>
      </c>
      <c r="B211" s="28" t="s">
        <v>17</v>
      </c>
      <c r="C211" s="30" t="s">
        <v>632</v>
      </c>
      <c r="D211" s="30" t="s">
        <v>633</v>
      </c>
      <c r="E211" s="167">
        <v>9.04</v>
      </c>
      <c r="F211" s="28" t="str">
        <f t="shared" si="1"/>
        <v>pass</v>
      </c>
    </row>
    <row r="212" ht="14.25" customHeight="1">
      <c r="A212" s="28">
        <v>211.0</v>
      </c>
      <c r="B212" s="28" t="s">
        <v>17</v>
      </c>
      <c r="C212" s="30" t="s">
        <v>634</v>
      </c>
      <c r="D212" s="30" t="s">
        <v>6399</v>
      </c>
      <c r="E212" s="167">
        <v>7.82</v>
      </c>
      <c r="F212" s="28" t="str">
        <f t="shared" si="1"/>
        <v>pass</v>
      </c>
    </row>
    <row r="213" ht="14.25" customHeight="1">
      <c r="A213" s="28">
        <v>212.0</v>
      </c>
      <c r="B213" s="28" t="s">
        <v>17</v>
      </c>
      <c r="C213" s="30" t="s">
        <v>637</v>
      </c>
      <c r="D213" s="30" t="s">
        <v>6400</v>
      </c>
      <c r="E213" s="167">
        <v>8.25</v>
      </c>
      <c r="F213" s="28" t="str">
        <f t="shared" si="1"/>
        <v>pass</v>
      </c>
    </row>
    <row r="214" ht="14.25" customHeight="1">
      <c r="A214" s="28">
        <v>213.0</v>
      </c>
      <c r="B214" s="28" t="s">
        <v>17</v>
      </c>
      <c r="C214" s="30" t="s">
        <v>640</v>
      </c>
      <c r="D214" s="30" t="s">
        <v>6401</v>
      </c>
      <c r="E214" s="167">
        <v>8.02</v>
      </c>
      <c r="F214" s="28" t="str">
        <f t="shared" si="1"/>
        <v>pass</v>
      </c>
    </row>
    <row r="215" ht="14.25" customHeight="1">
      <c r="A215" s="28">
        <v>214.0</v>
      </c>
      <c r="B215" s="28" t="s">
        <v>17</v>
      </c>
      <c r="C215" s="30" t="s">
        <v>642</v>
      </c>
      <c r="D215" s="30" t="s">
        <v>643</v>
      </c>
      <c r="E215" s="167"/>
      <c r="F215" s="28" t="str">
        <f t="shared" si="1"/>
        <v>fail</v>
      </c>
    </row>
    <row r="216" ht="14.25" customHeight="1">
      <c r="A216" s="28">
        <v>215.0</v>
      </c>
      <c r="B216" s="28" t="s">
        <v>17</v>
      </c>
      <c r="C216" s="30" t="s">
        <v>646</v>
      </c>
      <c r="D216" s="30" t="s">
        <v>647</v>
      </c>
      <c r="E216" s="167">
        <v>8.33</v>
      </c>
      <c r="F216" s="28" t="str">
        <f t="shared" si="1"/>
        <v>pass</v>
      </c>
    </row>
    <row r="217" ht="14.25" customHeight="1">
      <c r="A217" s="28">
        <v>216.0</v>
      </c>
      <c r="B217" s="28" t="s">
        <v>17</v>
      </c>
      <c r="C217" s="30" t="s">
        <v>648</v>
      </c>
      <c r="D217" s="30" t="s">
        <v>6402</v>
      </c>
      <c r="E217" s="167"/>
      <c r="F217" s="28" t="str">
        <f t="shared" si="1"/>
        <v>fail</v>
      </c>
    </row>
    <row r="218" ht="14.25" customHeight="1">
      <c r="A218" s="28">
        <v>217.0</v>
      </c>
      <c r="B218" s="28" t="s">
        <v>17</v>
      </c>
      <c r="C218" s="30" t="s">
        <v>650</v>
      </c>
      <c r="D218" s="30" t="s">
        <v>651</v>
      </c>
      <c r="E218" s="167">
        <v>7.51</v>
      </c>
      <c r="F218" s="28" t="str">
        <f t="shared" si="1"/>
        <v>pass</v>
      </c>
    </row>
    <row r="219" ht="14.25" customHeight="1">
      <c r="A219" s="28">
        <v>218.0</v>
      </c>
      <c r="B219" s="28" t="s">
        <v>17</v>
      </c>
      <c r="C219" s="30" t="s">
        <v>652</v>
      </c>
      <c r="D219" s="30" t="s">
        <v>653</v>
      </c>
      <c r="E219" s="167"/>
      <c r="F219" s="28" t="str">
        <f t="shared" si="1"/>
        <v>fail</v>
      </c>
    </row>
    <row r="220" ht="14.25" customHeight="1">
      <c r="A220" s="28">
        <v>219.0</v>
      </c>
      <c r="B220" s="28" t="s">
        <v>17</v>
      </c>
      <c r="C220" s="30" t="s">
        <v>654</v>
      </c>
      <c r="D220" s="30" t="s">
        <v>655</v>
      </c>
      <c r="E220" s="167">
        <v>7.0</v>
      </c>
      <c r="F220" s="28" t="str">
        <f t="shared" si="1"/>
        <v>pass</v>
      </c>
    </row>
    <row r="221" ht="14.25" customHeight="1">
      <c r="A221" s="28">
        <v>220.0</v>
      </c>
      <c r="B221" s="28" t="s">
        <v>17</v>
      </c>
      <c r="C221" s="30" t="s">
        <v>656</v>
      </c>
      <c r="D221" s="30" t="s">
        <v>657</v>
      </c>
      <c r="E221" s="167">
        <v>8.53</v>
      </c>
      <c r="F221" s="28" t="str">
        <f t="shared" si="1"/>
        <v>pass</v>
      </c>
    </row>
    <row r="222" ht="14.25" customHeight="1">
      <c r="A222" s="28">
        <v>221.0</v>
      </c>
      <c r="B222" s="28" t="s">
        <v>17</v>
      </c>
      <c r="C222" s="30" t="s">
        <v>660</v>
      </c>
      <c r="D222" s="30" t="s">
        <v>661</v>
      </c>
      <c r="E222" s="167">
        <v>7.83</v>
      </c>
      <c r="F222" s="28" t="str">
        <f t="shared" si="1"/>
        <v>pass</v>
      </c>
    </row>
    <row r="223" ht="14.25" customHeight="1">
      <c r="A223" s="28">
        <v>222.0</v>
      </c>
      <c r="B223" s="28" t="s">
        <v>17</v>
      </c>
      <c r="C223" s="30" t="s">
        <v>662</v>
      </c>
      <c r="D223" s="30" t="s">
        <v>663</v>
      </c>
      <c r="E223" s="167">
        <v>8.65</v>
      </c>
      <c r="F223" s="28" t="str">
        <f t="shared" si="1"/>
        <v>pass</v>
      </c>
    </row>
    <row r="224" ht="14.25" customHeight="1">
      <c r="A224" s="28">
        <v>223.0</v>
      </c>
      <c r="B224" s="28" t="s">
        <v>17</v>
      </c>
      <c r="C224" s="30" t="s">
        <v>665</v>
      </c>
      <c r="D224" s="30" t="s">
        <v>666</v>
      </c>
      <c r="E224" s="167"/>
      <c r="F224" s="28" t="str">
        <f t="shared" si="1"/>
        <v>fail</v>
      </c>
    </row>
    <row r="225" ht="14.25" customHeight="1">
      <c r="A225" s="28">
        <v>224.0</v>
      </c>
      <c r="B225" s="28" t="s">
        <v>17</v>
      </c>
      <c r="C225" s="30" t="s">
        <v>667</v>
      </c>
      <c r="D225" s="30" t="s">
        <v>668</v>
      </c>
      <c r="E225" s="167">
        <v>8.44</v>
      </c>
      <c r="F225" s="28" t="str">
        <f t="shared" si="1"/>
        <v>pass</v>
      </c>
    </row>
    <row r="226" ht="14.25" customHeight="1">
      <c r="A226" s="28">
        <v>225.0</v>
      </c>
      <c r="B226" s="28" t="s">
        <v>17</v>
      </c>
      <c r="C226" s="30" t="s">
        <v>671</v>
      </c>
      <c r="D226" s="30" t="s">
        <v>6403</v>
      </c>
      <c r="E226" s="167">
        <v>7.46</v>
      </c>
      <c r="F226" s="28" t="str">
        <f t="shared" si="1"/>
        <v>pass</v>
      </c>
    </row>
    <row r="227" ht="14.25" customHeight="1">
      <c r="A227" s="28">
        <v>226.0</v>
      </c>
      <c r="B227" s="28" t="s">
        <v>17</v>
      </c>
      <c r="C227" s="30" t="s">
        <v>673</v>
      </c>
      <c r="D227" s="30" t="s">
        <v>674</v>
      </c>
      <c r="E227" s="167">
        <v>8.4</v>
      </c>
      <c r="F227" s="28" t="str">
        <f t="shared" si="1"/>
        <v>pass</v>
      </c>
    </row>
    <row r="228" ht="14.25" customHeight="1">
      <c r="A228" s="28">
        <v>227.0</v>
      </c>
      <c r="B228" s="28" t="s">
        <v>17</v>
      </c>
      <c r="C228" s="30" t="s">
        <v>676</v>
      </c>
      <c r="D228" s="30" t="s">
        <v>677</v>
      </c>
      <c r="E228" s="167">
        <v>9.0</v>
      </c>
      <c r="F228" s="28" t="str">
        <f t="shared" si="1"/>
        <v>pass</v>
      </c>
    </row>
    <row r="229" ht="14.25" customHeight="1">
      <c r="A229" s="28">
        <v>228.0</v>
      </c>
      <c r="B229" s="28" t="s">
        <v>17</v>
      </c>
      <c r="C229" s="30" t="s">
        <v>679</v>
      </c>
      <c r="D229" s="30" t="s">
        <v>680</v>
      </c>
      <c r="E229" s="167">
        <v>8.25</v>
      </c>
      <c r="F229" s="28" t="str">
        <f t="shared" si="1"/>
        <v>pass</v>
      </c>
    </row>
    <row r="230" ht="14.25" customHeight="1">
      <c r="A230" s="28">
        <v>229.0</v>
      </c>
      <c r="B230" s="28" t="s">
        <v>17</v>
      </c>
      <c r="C230" s="30" t="s">
        <v>682</v>
      </c>
      <c r="D230" s="30" t="s">
        <v>6404</v>
      </c>
      <c r="E230" s="167">
        <v>8.83</v>
      </c>
      <c r="F230" s="28" t="str">
        <f t="shared" si="1"/>
        <v>pass</v>
      </c>
    </row>
    <row r="231" ht="14.25" customHeight="1">
      <c r="A231" s="28">
        <v>230.0</v>
      </c>
      <c r="B231" s="28" t="s">
        <v>17</v>
      </c>
      <c r="C231" s="30" t="s">
        <v>685</v>
      </c>
      <c r="D231" s="30" t="s">
        <v>6405</v>
      </c>
      <c r="E231" s="167">
        <v>8.0</v>
      </c>
      <c r="F231" s="28" t="str">
        <f t="shared" si="1"/>
        <v>pass</v>
      </c>
    </row>
    <row r="232" ht="14.25" customHeight="1">
      <c r="A232" s="28">
        <v>231.0</v>
      </c>
      <c r="B232" s="28" t="s">
        <v>17</v>
      </c>
      <c r="C232" s="30" t="s">
        <v>688</v>
      </c>
      <c r="D232" s="30" t="s">
        <v>6406</v>
      </c>
      <c r="E232" s="167">
        <v>7.42</v>
      </c>
      <c r="F232" s="28" t="str">
        <f t="shared" si="1"/>
        <v>pass</v>
      </c>
    </row>
    <row r="233" ht="14.25" customHeight="1">
      <c r="A233" s="28">
        <v>232.0</v>
      </c>
      <c r="B233" s="28" t="s">
        <v>17</v>
      </c>
      <c r="C233" s="30" t="s">
        <v>691</v>
      </c>
      <c r="D233" s="30" t="s">
        <v>6407</v>
      </c>
      <c r="E233" s="167">
        <v>7.03</v>
      </c>
      <c r="F233" s="28" t="str">
        <f t="shared" si="1"/>
        <v>pass</v>
      </c>
    </row>
    <row r="234" ht="14.25" customHeight="1">
      <c r="A234" s="28">
        <v>233.0</v>
      </c>
      <c r="B234" s="28" t="s">
        <v>17</v>
      </c>
      <c r="C234" s="30" t="s">
        <v>693</v>
      </c>
      <c r="D234" s="30" t="s">
        <v>694</v>
      </c>
      <c r="E234" s="167">
        <v>8.47</v>
      </c>
      <c r="F234" s="28" t="str">
        <f t="shared" si="1"/>
        <v>pass</v>
      </c>
    </row>
    <row r="235" ht="14.25" customHeight="1">
      <c r="A235" s="28">
        <v>234.0</v>
      </c>
      <c r="B235" s="28" t="s">
        <v>17</v>
      </c>
      <c r="C235" s="30" t="s">
        <v>695</v>
      </c>
      <c r="D235" s="30" t="s">
        <v>6408</v>
      </c>
      <c r="E235" s="167">
        <v>7.76</v>
      </c>
      <c r="F235" s="28" t="str">
        <f t="shared" si="1"/>
        <v>pass</v>
      </c>
    </row>
    <row r="236" ht="14.25" customHeight="1">
      <c r="A236" s="28">
        <v>235.0</v>
      </c>
      <c r="B236" s="28" t="s">
        <v>17</v>
      </c>
      <c r="C236" s="30" t="s">
        <v>697</v>
      </c>
      <c r="D236" s="30" t="s">
        <v>698</v>
      </c>
      <c r="E236" s="167">
        <v>8.88</v>
      </c>
      <c r="F236" s="28" t="str">
        <f t="shared" si="1"/>
        <v>pass</v>
      </c>
    </row>
    <row r="237" ht="14.25" customHeight="1">
      <c r="A237" s="28">
        <v>236.0</v>
      </c>
      <c r="B237" s="28" t="s">
        <v>17</v>
      </c>
      <c r="C237" s="30" t="s">
        <v>699</v>
      </c>
      <c r="D237" s="30" t="s">
        <v>700</v>
      </c>
      <c r="E237" s="167">
        <v>8.89</v>
      </c>
      <c r="F237" s="28" t="str">
        <f t="shared" si="1"/>
        <v>pass</v>
      </c>
    </row>
    <row r="238" ht="14.25" customHeight="1">
      <c r="A238" s="28">
        <v>237.0</v>
      </c>
      <c r="B238" s="28" t="s">
        <v>17</v>
      </c>
      <c r="C238" s="30" t="s">
        <v>702</v>
      </c>
      <c r="D238" s="30" t="s">
        <v>6409</v>
      </c>
      <c r="E238" s="167">
        <v>8.82</v>
      </c>
      <c r="F238" s="28" t="str">
        <f t="shared" si="1"/>
        <v>pass</v>
      </c>
    </row>
    <row r="239" ht="14.25" customHeight="1">
      <c r="A239" s="28">
        <v>238.0</v>
      </c>
      <c r="B239" s="28" t="s">
        <v>17</v>
      </c>
      <c r="C239" s="30" t="s">
        <v>705</v>
      </c>
      <c r="D239" s="30" t="s">
        <v>706</v>
      </c>
      <c r="E239" s="167">
        <v>8.0</v>
      </c>
      <c r="F239" s="28" t="str">
        <f t="shared" si="1"/>
        <v>pass</v>
      </c>
    </row>
    <row r="240" ht="14.25" customHeight="1">
      <c r="A240" s="28">
        <v>239.0</v>
      </c>
      <c r="B240" s="28" t="s">
        <v>17</v>
      </c>
      <c r="C240" s="30" t="s">
        <v>707</v>
      </c>
      <c r="D240" s="30" t="s">
        <v>708</v>
      </c>
      <c r="E240" s="167">
        <v>7.6</v>
      </c>
      <c r="F240" s="28" t="str">
        <f t="shared" si="1"/>
        <v>pass</v>
      </c>
    </row>
    <row r="241" ht="14.25" customHeight="1">
      <c r="A241" s="28">
        <v>240.0</v>
      </c>
      <c r="B241" s="28" t="s">
        <v>17</v>
      </c>
      <c r="C241" s="30" t="s">
        <v>710</v>
      </c>
      <c r="D241" s="30" t="s">
        <v>711</v>
      </c>
      <c r="E241" s="167">
        <v>8.69</v>
      </c>
      <c r="F241" s="28" t="str">
        <f t="shared" si="1"/>
        <v>pass</v>
      </c>
    </row>
    <row r="242" ht="14.25" customHeight="1">
      <c r="A242" s="28">
        <v>241.0</v>
      </c>
      <c r="B242" s="28" t="s">
        <v>17</v>
      </c>
      <c r="C242" s="30" t="s">
        <v>713</v>
      </c>
      <c r="D242" s="30" t="s">
        <v>6410</v>
      </c>
      <c r="E242" s="167">
        <v>8.42</v>
      </c>
      <c r="F242" s="28" t="str">
        <f t="shared" si="1"/>
        <v>pass</v>
      </c>
    </row>
    <row r="243" ht="14.25" customHeight="1">
      <c r="A243" s="28">
        <v>242.0</v>
      </c>
      <c r="B243" s="28" t="s">
        <v>17</v>
      </c>
      <c r="C243" s="30" t="s">
        <v>716</v>
      </c>
      <c r="D243" s="30" t="s">
        <v>717</v>
      </c>
      <c r="E243" s="167">
        <v>9.23</v>
      </c>
      <c r="F243" s="28" t="str">
        <f t="shared" si="1"/>
        <v>pass</v>
      </c>
    </row>
    <row r="244" ht="14.25" customHeight="1">
      <c r="A244" s="28">
        <v>243.0</v>
      </c>
      <c r="B244" s="28" t="s">
        <v>17</v>
      </c>
      <c r="C244" s="30" t="s">
        <v>719</v>
      </c>
      <c r="D244" s="30" t="s">
        <v>720</v>
      </c>
      <c r="E244" s="167">
        <v>8.73</v>
      </c>
      <c r="F244" s="28" t="str">
        <f t="shared" si="1"/>
        <v>pass</v>
      </c>
    </row>
    <row r="245" ht="14.25" customHeight="1">
      <c r="A245" s="28">
        <v>244.0</v>
      </c>
      <c r="B245" s="28" t="s">
        <v>17</v>
      </c>
      <c r="C245" s="30" t="s">
        <v>721</v>
      </c>
      <c r="D245" s="30" t="s">
        <v>6411</v>
      </c>
      <c r="E245" s="167"/>
      <c r="F245" s="28" t="str">
        <f t="shared" si="1"/>
        <v>fail</v>
      </c>
    </row>
    <row r="246" ht="14.25" customHeight="1">
      <c r="A246" s="28">
        <v>245.0</v>
      </c>
      <c r="B246" s="28" t="s">
        <v>17</v>
      </c>
      <c r="C246" s="30" t="s">
        <v>723</v>
      </c>
      <c r="D246" s="30" t="s">
        <v>724</v>
      </c>
      <c r="E246" s="167">
        <v>7.6</v>
      </c>
      <c r="F246" s="28" t="str">
        <f t="shared" si="1"/>
        <v>pass</v>
      </c>
    </row>
    <row r="247" ht="14.25" customHeight="1">
      <c r="A247" s="28">
        <v>246.0</v>
      </c>
      <c r="B247" s="28" t="s">
        <v>17</v>
      </c>
      <c r="C247" s="30" t="s">
        <v>725</v>
      </c>
      <c r="D247" s="30" t="s">
        <v>726</v>
      </c>
      <c r="E247" s="167">
        <v>8.86</v>
      </c>
      <c r="F247" s="28" t="str">
        <f t="shared" si="1"/>
        <v>pass</v>
      </c>
    </row>
    <row r="248" ht="14.25" customHeight="1">
      <c r="A248" s="28">
        <v>247.0</v>
      </c>
      <c r="B248" s="28" t="s">
        <v>17</v>
      </c>
      <c r="C248" s="30" t="s">
        <v>727</v>
      </c>
      <c r="D248" s="30" t="s">
        <v>6412</v>
      </c>
      <c r="E248" s="167">
        <v>7.98</v>
      </c>
      <c r="F248" s="28" t="str">
        <f t="shared" si="1"/>
        <v>pass</v>
      </c>
    </row>
    <row r="249" ht="14.25" customHeight="1">
      <c r="A249" s="28">
        <v>248.0</v>
      </c>
      <c r="B249" s="28" t="s">
        <v>17</v>
      </c>
      <c r="C249" s="30" t="s">
        <v>729</v>
      </c>
      <c r="D249" s="30" t="s">
        <v>730</v>
      </c>
      <c r="E249" s="167">
        <v>8.24</v>
      </c>
      <c r="F249" s="28" t="str">
        <f t="shared" si="1"/>
        <v>pass</v>
      </c>
    </row>
    <row r="250" ht="14.25" customHeight="1">
      <c r="A250" s="28">
        <v>249.0</v>
      </c>
      <c r="B250" s="28" t="s">
        <v>17</v>
      </c>
      <c r="C250" s="30" t="s">
        <v>731</v>
      </c>
      <c r="D250" s="30" t="s">
        <v>732</v>
      </c>
      <c r="E250" s="167">
        <v>8.82</v>
      </c>
      <c r="F250" s="28" t="str">
        <f t="shared" si="1"/>
        <v>pass</v>
      </c>
    </row>
    <row r="251" ht="14.25" customHeight="1">
      <c r="A251" s="28">
        <v>250.0</v>
      </c>
      <c r="B251" s="28" t="s">
        <v>17</v>
      </c>
      <c r="C251" s="30" t="s">
        <v>734</v>
      </c>
      <c r="D251" s="30" t="s">
        <v>735</v>
      </c>
      <c r="E251" s="167">
        <v>8.58</v>
      </c>
      <c r="F251" s="28" t="str">
        <f t="shared" si="1"/>
        <v>pass</v>
      </c>
    </row>
    <row r="252" ht="14.25" customHeight="1">
      <c r="A252" s="28">
        <v>251.0</v>
      </c>
      <c r="B252" s="28" t="s">
        <v>17</v>
      </c>
      <c r="C252" s="30" t="s">
        <v>736</v>
      </c>
      <c r="D252" s="30" t="s">
        <v>6413</v>
      </c>
      <c r="E252" s="167">
        <v>8.59</v>
      </c>
      <c r="F252" s="28" t="str">
        <f t="shared" si="1"/>
        <v>pass</v>
      </c>
    </row>
    <row r="253" ht="14.25" customHeight="1">
      <c r="A253" s="28">
        <v>252.0</v>
      </c>
      <c r="B253" s="28" t="s">
        <v>17</v>
      </c>
      <c r="C253" s="30" t="s">
        <v>738</v>
      </c>
      <c r="D253" s="30" t="s">
        <v>739</v>
      </c>
      <c r="E253" s="167">
        <v>8.93</v>
      </c>
      <c r="F253" s="28" t="str">
        <f t="shared" si="1"/>
        <v>pass</v>
      </c>
    </row>
    <row r="254" ht="14.25" customHeight="1">
      <c r="A254" s="28">
        <v>253.0</v>
      </c>
      <c r="B254" s="28" t="s">
        <v>17</v>
      </c>
      <c r="C254" s="30" t="s">
        <v>741</v>
      </c>
      <c r="D254" s="30" t="s">
        <v>742</v>
      </c>
      <c r="E254" s="167">
        <v>8.97</v>
      </c>
      <c r="F254" s="28" t="str">
        <f t="shared" si="1"/>
        <v>pass</v>
      </c>
    </row>
    <row r="255" ht="14.25" customHeight="1">
      <c r="A255" s="28">
        <v>254.0</v>
      </c>
      <c r="B255" s="28" t="s">
        <v>17</v>
      </c>
      <c r="C255" s="30" t="s">
        <v>743</v>
      </c>
      <c r="D255" s="30" t="s">
        <v>744</v>
      </c>
      <c r="E255" s="167">
        <v>9.48</v>
      </c>
      <c r="F255" s="28" t="str">
        <f t="shared" si="1"/>
        <v>pass</v>
      </c>
    </row>
    <row r="256" ht="14.25" customHeight="1">
      <c r="A256" s="28">
        <v>255.0</v>
      </c>
      <c r="B256" s="28" t="s">
        <v>17</v>
      </c>
      <c r="C256" s="30" t="s">
        <v>745</v>
      </c>
      <c r="D256" s="30" t="s">
        <v>746</v>
      </c>
      <c r="E256" s="167">
        <v>8.56</v>
      </c>
      <c r="F256" s="28" t="str">
        <f t="shared" si="1"/>
        <v>pass</v>
      </c>
    </row>
    <row r="257" ht="14.25" customHeight="1">
      <c r="A257" s="28">
        <v>256.0</v>
      </c>
      <c r="B257" s="28" t="s">
        <v>17</v>
      </c>
      <c r="C257" s="30" t="s">
        <v>749</v>
      </c>
      <c r="D257" s="30" t="s">
        <v>750</v>
      </c>
      <c r="E257" s="167">
        <v>6.94</v>
      </c>
      <c r="F257" s="28" t="str">
        <f t="shared" si="1"/>
        <v>pass</v>
      </c>
    </row>
    <row r="258" ht="14.25" customHeight="1">
      <c r="A258" s="28">
        <v>257.0</v>
      </c>
      <c r="B258" s="28" t="s">
        <v>17</v>
      </c>
      <c r="C258" s="30" t="s">
        <v>751</v>
      </c>
      <c r="D258" s="30" t="s">
        <v>752</v>
      </c>
      <c r="E258" s="167">
        <v>8.31</v>
      </c>
      <c r="F258" s="28" t="str">
        <f t="shared" si="1"/>
        <v>pass</v>
      </c>
    </row>
    <row r="259" ht="14.25" customHeight="1">
      <c r="A259" s="28">
        <v>258.0</v>
      </c>
      <c r="B259" s="28" t="s">
        <v>17</v>
      </c>
      <c r="C259" s="30" t="s">
        <v>753</v>
      </c>
      <c r="D259" s="30" t="s">
        <v>754</v>
      </c>
      <c r="E259" s="167">
        <v>8.77</v>
      </c>
      <c r="F259" s="28" t="str">
        <f t="shared" si="1"/>
        <v>pass</v>
      </c>
    </row>
    <row r="260" ht="14.25" customHeight="1">
      <c r="A260" s="28">
        <v>259.0</v>
      </c>
      <c r="B260" s="28" t="s">
        <v>18</v>
      </c>
      <c r="C260" s="30" t="s">
        <v>771</v>
      </c>
      <c r="D260" s="30" t="s">
        <v>772</v>
      </c>
      <c r="E260" s="167">
        <v>8.89</v>
      </c>
      <c r="F260" s="28" t="str">
        <f t="shared" si="1"/>
        <v>pass</v>
      </c>
    </row>
    <row r="261" ht="14.25" customHeight="1">
      <c r="A261" s="28">
        <v>260.0</v>
      </c>
      <c r="B261" s="28" t="s">
        <v>18</v>
      </c>
      <c r="C261" s="30" t="s">
        <v>774</v>
      </c>
      <c r="D261" s="30" t="s">
        <v>775</v>
      </c>
      <c r="E261" s="167">
        <v>9.13</v>
      </c>
      <c r="F261" s="28" t="str">
        <f t="shared" si="1"/>
        <v>pass</v>
      </c>
    </row>
    <row r="262" ht="14.25" customHeight="1">
      <c r="A262" s="28">
        <v>261.0</v>
      </c>
      <c r="B262" s="28" t="s">
        <v>18</v>
      </c>
      <c r="C262" s="30" t="s">
        <v>777</v>
      </c>
      <c r="D262" s="30" t="s">
        <v>778</v>
      </c>
      <c r="E262" s="167">
        <v>7.58</v>
      </c>
      <c r="F262" s="28" t="str">
        <f t="shared" si="1"/>
        <v>pass</v>
      </c>
    </row>
    <row r="263" ht="14.25" customHeight="1">
      <c r="A263" s="28">
        <v>262.0</v>
      </c>
      <c r="B263" s="28" t="s">
        <v>18</v>
      </c>
      <c r="C263" s="30" t="s">
        <v>779</v>
      </c>
      <c r="D263" s="30" t="s">
        <v>780</v>
      </c>
      <c r="E263" s="167">
        <v>7.98</v>
      </c>
      <c r="F263" s="28" t="str">
        <f t="shared" si="1"/>
        <v>pass</v>
      </c>
    </row>
    <row r="264" ht="14.25" customHeight="1">
      <c r="A264" s="28">
        <v>263.0</v>
      </c>
      <c r="B264" s="28" t="s">
        <v>18</v>
      </c>
      <c r="C264" s="30" t="s">
        <v>781</v>
      </c>
      <c r="D264" s="30" t="s">
        <v>782</v>
      </c>
      <c r="E264" s="167">
        <v>8.27</v>
      </c>
      <c r="F264" s="28" t="str">
        <f t="shared" si="1"/>
        <v>pass</v>
      </c>
    </row>
    <row r="265" ht="14.25" customHeight="1">
      <c r="A265" s="28">
        <v>264.0</v>
      </c>
      <c r="B265" s="28" t="s">
        <v>18</v>
      </c>
      <c r="C265" s="30" t="s">
        <v>784</v>
      </c>
      <c r="D265" s="30" t="s">
        <v>6414</v>
      </c>
      <c r="E265" s="167">
        <v>8.48</v>
      </c>
      <c r="F265" s="28" t="str">
        <f t="shared" si="1"/>
        <v>pass</v>
      </c>
    </row>
    <row r="266" ht="14.25" customHeight="1">
      <c r="A266" s="28">
        <v>265.0</v>
      </c>
      <c r="B266" s="28" t="s">
        <v>18</v>
      </c>
      <c r="C266" s="30" t="s">
        <v>786</v>
      </c>
      <c r="D266" s="30" t="s">
        <v>787</v>
      </c>
      <c r="E266" s="167">
        <v>7.87</v>
      </c>
      <c r="F266" s="28" t="str">
        <f t="shared" si="1"/>
        <v>pass</v>
      </c>
    </row>
    <row r="267" ht="14.25" customHeight="1">
      <c r="A267" s="28">
        <v>266.0</v>
      </c>
      <c r="B267" s="28" t="s">
        <v>18</v>
      </c>
      <c r="C267" s="30" t="s">
        <v>788</v>
      </c>
      <c r="D267" s="30" t="s">
        <v>789</v>
      </c>
      <c r="E267" s="167">
        <v>8.87</v>
      </c>
      <c r="F267" s="28" t="str">
        <f t="shared" si="1"/>
        <v>pass</v>
      </c>
    </row>
    <row r="268" ht="14.25" customHeight="1">
      <c r="A268" s="28">
        <v>267.0</v>
      </c>
      <c r="B268" s="28" t="s">
        <v>18</v>
      </c>
      <c r="C268" s="30" t="s">
        <v>790</v>
      </c>
      <c r="D268" s="30" t="s">
        <v>791</v>
      </c>
      <c r="E268" s="167"/>
      <c r="F268" s="28" t="str">
        <f t="shared" si="1"/>
        <v>fail</v>
      </c>
    </row>
    <row r="269" ht="14.25" customHeight="1">
      <c r="A269" s="28">
        <v>268.0</v>
      </c>
      <c r="B269" s="28" t="s">
        <v>18</v>
      </c>
      <c r="C269" s="30" t="s">
        <v>793</v>
      </c>
      <c r="D269" s="30" t="s">
        <v>794</v>
      </c>
      <c r="E269" s="167">
        <v>8.8</v>
      </c>
      <c r="F269" s="28" t="str">
        <f t="shared" si="1"/>
        <v>pass</v>
      </c>
    </row>
    <row r="270" ht="14.25" customHeight="1">
      <c r="A270" s="28">
        <v>269.0</v>
      </c>
      <c r="B270" s="28" t="s">
        <v>18</v>
      </c>
      <c r="C270" s="30" t="s">
        <v>795</v>
      </c>
      <c r="D270" s="30" t="s">
        <v>796</v>
      </c>
      <c r="E270" s="167">
        <v>7.49</v>
      </c>
      <c r="F270" s="28" t="str">
        <f t="shared" si="1"/>
        <v>pass</v>
      </c>
    </row>
    <row r="271" ht="14.25" customHeight="1">
      <c r="A271" s="28">
        <v>270.0</v>
      </c>
      <c r="B271" s="28" t="s">
        <v>18</v>
      </c>
      <c r="C271" s="30" t="s">
        <v>797</v>
      </c>
      <c r="D271" s="30" t="s">
        <v>798</v>
      </c>
      <c r="E271" s="167">
        <v>8.09</v>
      </c>
      <c r="F271" s="28" t="str">
        <f t="shared" si="1"/>
        <v>pass</v>
      </c>
    </row>
    <row r="272" ht="14.25" customHeight="1">
      <c r="A272" s="28">
        <v>271.0</v>
      </c>
      <c r="B272" s="28" t="s">
        <v>18</v>
      </c>
      <c r="C272" s="30" t="s">
        <v>799</v>
      </c>
      <c r="D272" s="30" t="s">
        <v>800</v>
      </c>
      <c r="E272" s="167">
        <v>8.7</v>
      </c>
      <c r="F272" s="28" t="str">
        <f t="shared" si="1"/>
        <v>pass</v>
      </c>
    </row>
    <row r="273" ht="14.25" customHeight="1">
      <c r="A273" s="28">
        <v>272.0</v>
      </c>
      <c r="B273" s="28" t="s">
        <v>18</v>
      </c>
      <c r="C273" s="30" t="s">
        <v>802</v>
      </c>
      <c r="D273" s="30" t="s">
        <v>803</v>
      </c>
      <c r="E273" s="167">
        <v>8.44</v>
      </c>
      <c r="F273" s="28" t="str">
        <f t="shared" si="1"/>
        <v>pass</v>
      </c>
    </row>
    <row r="274" ht="14.25" customHeight="1">
      <c r="A274" s="28">
        <v>273.0</v>
      </c>
      <c r="B274" s="28" t="s">
        <v>18</v>
      </c>
      <c r="C274" s="30" t="s">
        <v>804</v>
      </c>
      <c r="D274" s="30" t="s">
        <v>805</v>
      </c>
      <c r="E274" s="167">
        <v>9.25</v>
      </c>
      <c r="F274" s="28" t="str">
        <f t="shared" si="1"/>
        <v>pass</v>
      </c>
    </row>
    <row r="275" ht="14.25" customHeight="1">
      <c r="A275" s="28">
        <v>274.0</v>
      </c>
      <c r="B275" s="28" t="s">
        <v>18</v>
      </c>
      <c r="C275" s="30" t="s">
        <v>806</v>
      </c>
      <c r="D275" s="30" t="s">
        <v>807</v>
      </c>
      <c r="E275" s="167">
        <v>8.12</v>
      </c>
      <c r="F275" s="28" t="str">
        <f t="shared" si="1"/>
        <v>pass</v>
      </c>
    </row>
    <row r="276" ht="14.25" customHeight="1">
      <c r="A276" s="28">
        <v>275.0</v>
      </c>
      <c r="B276" s="28" t="s">
        <v>18</v>
      </c>
      <c r="C276" s="30" t="s">
        <v>808</v>
      </c>
      <c r="D276" s="30" t="s">
        <v>809</v>
      </c>
      <c r="E276" s="167">
        <v>9.08</v>
      </c>
      <c r="F276" s="28" t="str">
        <f t="shared" si="1"/>
        <v>pass</v>
      </c>
    </row>
    <row r="277" ht="14.25" customHeight="1">
      <c r="A277" s="28">
        <v>276.0</v>
      </c>
      <c r="B277" s="28" t="s">
        <v>18</v>
      </c>
      <c r="C277" s="30" t="s">
        <v>811</v>
      </c>
      <c r="D277" s="30" t="s">
        <v>812</v>
      </c>
      <c r="E277" s="167">
        <v>8.79</v>
      </c>
      <c r="F277" s="28" t="str">
        <f t="shared" si="1"/>
        <v>pass</v>
      </c>
    </row>
    <row r="278" ht="14.25" customHeight="1">
      <c r="A278" s="28">
        <v>277.0</v>
      </c>
      <c r="B278" s="28" t="s">
        <v>18</v>
      </c>
      <c r="C278" s="30" t="s">
        <v>814</v>
      </c>
      <c r="D278" s="30" t="s">
        <v>815</v>
      </c>
      <c r="E278" s="167">
        <v>8.08</v>
      </c>
      <c r="F278" s="28" t="str">
        <f t="shared" si="1"/>
        <v>pass</v>
      </c>
    </row>
    <row r="279" ht="14.25" customHeight="1">
      <c r="A279" s="28">
        <v>278.0</v>
      </c>
      <c r="B279" s="28" t="s">
        <v>18</v>
      </c>
      <c r="C279" s="30" t="s">
        <v>817</v>
      </c>
      <c r="D279" s="30" t="s">
        <v>818</v>
      </c>
      <c r="E279" s="167">
        <v>8.35</v>
      </c>
      <c r="F279" s="28" t="str">
        <f t="shared" si="1"/>
        <v>pass</v>
      </c>
    </row>
    <row r="280" ht="14.25" customHeight="1">
      <c r="A280" s="28">
        <v>279.0</v>
      </c>
      <c r="B280" s="28" t="s">
        <v>18</v>
      </c>
      <c r="C280" s="30" t="s">
        <v>819</v>
      </c>
      <c r="D280" s="30" t="s">
        <v>820</v>
      </c>
      <c r="E280" s="167">
        <v>8.35</v>
      </c>
      <c r="F280" s="28" t="str">
        <f t="shared" si="1"/>
        <v>pass</v>
      </c>
    </row>
    <row r="281" ht="14.25" customHeight="1">
      <c r="A281" s="28">
        <v>280.0</v>
      </c>
      <c r="B281" s="28" t="s">
        <v>18</v>
      </c>
      <c r="C281" s="30" t="s">
        <v>821</v>
      </c>
      <c r="D281" s="30" t="s">
        <v>822</v>
      </c>
      <c r="E281" s="167">
        <v>8.37</v>
      </c>
      <c r="F281" s="28" t="str">
        <f t="shared" si="1"/>
        <v>pass</v>
      </c>
    </row>
    <row r="282" ht="14.25" customHeight="1">
      <c r="A282" s="28">
        <v>281.0</v>
      </c>
      <c r="B282" s="28" t="s">
        <v>18</v>
      </c>
      <c r="C282" s="30" t="s">
        <v>823</v>
      </c>
      <c r="D282" s="30" t="s">
        <v>824</v>
      </c>
      <c r="E282" s="167">
        <v>7.51</v>
      </c>
      <c r="F282" s="28" t="str">
        <f t="shared" si="1"/>
        <v>pass</v>
      </c>
    </row>
    <row r="283" ht="14.25" customHeight="1">
      <c r="A283" s="28">
        <v>282.0</v>
      </c>
      <c r="B283" s="28" t="s">
        <v>18</v>
      </c>
      <c r="C283" s="30" t="s">
        <v>825</v>
      </c>
      <c r="D283" s="30" t="s">
        <v>826</v>
      </c>
      <c r="E283" s="167">
        <v>7.33</v>
      </c>
      <c r="F283" s="28" t="str">
        <f t="shared" si="1"/>
        <v>pass</v>
      </c>
    </row>
    <row r="284" ht="14.25" customHeight="1">
      <c r="A284" s="28">
        <v>283.0</v>
      </c>
      <c r="B284" s="28" t="s">
        <v>18</v>
      </c>
      <c r="C284" s="30" t="s">
        <v>827</v>
      </c>
      <c r="D284" s="30" t="s">
        <v>6415</v>
      </c>
      <c r="E284" s="167">
        <v>7.91</v>
      </c>
      <c r="F284" s="28" t="str">
        <f t="shared" si="1"/>
        <v>pass</v>
      </c>
    </row>
    <row r="285" ht="14.25" customHeight="1">
      <c r="A285" s="28">
        <v>284.0</v>
      </c>
      <c r="B285" s="28" t="s">
        <v>18</v>
      </c>
      <c r="C285" s="30" t="s">
        <v>829</v>
      </c>
      <c r="D285" s="30" t="s">
        <v>830</v>
      </c>
      <c r="E285" s="167">
        <v>8.35</v>
      </c>
      <c r="F285" s="28" t="str">
        <f t="shared" si="1"/>
        <v>pass</v>
      </c>
    </row>
    <row r="286" ht="14.25" customHeight="1">
      <c r="A286" s="28">
        <v>285.0</v>
      </c>
      <c r="B286" s="28" t="s">
        <v>18</v>
      </c>
      <c r="C286" s="30" t="s">
        <v>832</v>
      </c>
      <c r="D286" s="30" t="s">
        <v>833</v>
      </c>
      <c r="E286" s="167">
        <v>7.14</v>
      </c>
      <c r="F286" s="28" t="str">
        <f t="shared" si="1"/>
        <v>pass</v>
      </c>
    </row>
    <row r="287" ht="14.25" customHeight="1">
      <c r="A287" s="28">
        <v>286.0</v>
      </c>
      <c r="B287" s="28" t="s">
        <v>18</v>
      </c>
      <c r="C287" s="30" t="s">
        <v>834</v>
      </c>
      <c r="D287" s="30" t="s">
        <v>835</v>
      </c>
      <c r="E287" s="167">
        <v>8.0</v>
      </c>
      <c r="F287" s="28" t="str">
        <f t="shared" si="1"/>
        <v>pass</v>
      </c>
    </row>
    <row r="288" ht="14.25" customHeight="1">
      <c r="A288" s="28">
        <v>287.0</v>
      </c>
      <c r="B288" s="28" t="s">
        <v>18</v>
      </c>
      <c r="C288" s="30" t="s">
        <v>836</v>
      </c>
      <c r="D288" s="30" t="s">
        <v>837</v>
      </c>
      <c r="E288" s="167"/>
      <c r="F288" s="28" t="str">
        <f t="shared" si="1"/>
        <v>fail</v>
      </c>
    </row>
    <row r="289" ht="14.25" customHeight="1">
      <c r="A289" s="28">
        <v>288.0</v>
      </c>
      <c r="B289" s="28" t="s">
        <v>18</v>
      </c>
      <c r="C289" s="30" t="s">
        <v>838</v>
      </c>
      <c r="D289" s="30" t="s">
        <v>839</v>
      </c>
      <c r="E289" s="167"/>
      <c r="F289" s="28" t="str">
        <f t="shared" si="1"/>
        <v>fail</v>
      </c>
    </row>
    <row r="290" ht="14.25" customHeight="1">
      <c r="A290" s="28">
        <v>289.0</v>
      </c>
      <c r="B290" s="28" t="s">
        <v>18</v>
      </c>
      <c r="C290" s="30" t="s">
        <v>840</v>
      </c>
      <c r="D290" s="30" t="s">
        <v>841</v>
      </c>
      <c r="E290" s="167">
        <v>9.29</v>
      </c>
      <c r="F290" s="28" t="str">
        <f t="shared" si="1"/>
        <v>pass</v>
      </c>
    </row>
    <row r="291" ht="14.25" customHeight="1">
      <c r="A291" s="28">
        <v>290.0</v>
      </c>
      <c r="B291" s="28" t="s">
        <v>18</v>
      </c>
      <c r="C291" s="30" t="s">
        <v>843</v>
      </c>
      <c r="D291" s="30" t="s">
        <v>844</v>
      </c>
      <c r="E291" s="167">
        <v>8.65</v>
      </c>
      <c r="F291" s="28" t="str">
        <f t="shared" si="1"/>
        <v>pass</v>
      </c>
    </row>
    <row r="292" ht="14.25" customHeight="1">
      <c r="A292" s="28">
        <v>291.0</v>
      </c>
      <c r="B292" s="28" t="s">
        <v>18</v>
      </c>
      <c r="C292" s="30" t="s">
        <v>846</v>
      </c>
      <c r="D292" s="30" t="s">
        <v>847</v>
      </c>
      <c r="E292" s="167">
        <v>8.68</v>
      </c>
      <c r="F292" s="28" t="str">
        <f t="shared" si="1"/>
        <v>pass</v>
      </c>
    </row>
    <row r="293" ht="14.25" customHeight="1">
      <c r="A293" s="28">
        <v>292.0</v>
      </c>
      <c r="B293" s="28" t="s">
        <v>18</v>
      </c>
      <c r="C293" s="30" t="s">
        <v>849</v>
      </c>
      <c r="D293" s="30" t="s">
        <v>850</v>
      </c>
      <c r="E293" s="167">
        <v>8.13</v>
      </c>
      <c r="F293" s="28" t="str">
        <f t="shared" si="1"/>
        <v>pass</v>
      </c>
    </row>
    <row r="294" ht="14.25" customHeight="1">
      <c r="A294" s="28">
        <v>293.0</v>
      </c>
      <c r="B294" s="28" t="s">
        <v>18</v>
      </c>
      <c r="C294" s="30" t="s">
        <v>852</v>
      </c>
      <c r="D294" s="30" t="s">
        <v>853</v>
      </c>
      <c r="E294" s="167"/>
      <c r="F294" s="28" t="str">
        <f t="shared" si="1"/>
        <v>fail</v>
      </c>
    </row>
    <row r="295" ht="14.25" customHeight="1">
      <c r="A295" s="28">
        <v>294.0</v>
      </c>
      <c r="B295" s="28" t="s">
        <v>18</v>
      </c>
      <c r="C295" s="30" t="s">
        <v>854</v>
      </c>
      <c r="D295" s="30" t="s">
        <v>855</v>
      </c>
      <c r="E295" s="167"/>
      <c r="F295" s="28" t="str">
        <f t="shared" si="1"/>
        <v>fail</v>
      </c>
    </row>
    <row r="296" ht="14.25" customHeight="1">
      <c r="A296" s="28">
        <v>295.0</v>
      </c>
      <c r="B296" s="28" t="s">
        <v>18</v>
      </c>
      <c r="C296" s="30" t="s">
        <v>856</v>
      </c>
      <c r="D296" s="30" t="s">
        <v>857</v>
      </c>
      <c r="E296" s="167">
        <v>8.06</v>
      </c>
      <c r="F296" s="28" t="str">
        <f t="shared" si="1"/>
        <v>pass</v>
      </c>
    </row>
    <row r="297" ht="14.25" customHeight="1">
      <c r="A297" s="28">
        <v>296.0</v>
      </c>
      <c r="B297" s="28" t="s">
        <v>18</v>
      </c>
      <c r="C297" s="30" t="s">
        <v>858</v>
      </c>
      <c r="D297" s="30" t="s">
        <v>859</v>
      </c>
      <c r="E297" s="167">
        <v>7.19</v>
      </c>
      <c r="F297" s="28" t="str">
        <f t="shared" si="1"/>
        <v>pass</v>
      </c>
    </row>
    <row r="298" ht="14.25" customHeight="1">
      <c r="A298" s="28">
        <v>297.0</v>
      </c>
      <c r="B298" s="28" t="s">
        <v>18</v>
      </c>
      <c r="C298" s="30" t="s">
        <v>3259</v>
      </c>
      <c r="D298" s="30" t="s">
        <v>860</v>
      </c>
      <c r="E298" s="167">
        <v>8.08</v>
      </c>
      <c r="F298" s="28" t="str">
        <f t="shared" si="1"/>
        <v>pass</v>
      </c>
    </row>
    <row r="299" ht="14.25" customHeight="1">
      <c r="A299" s="28">
        <v>298.0</v>
      </c>
      <c r="B299" s="28" t="s">
        <v>18</v>
      </c>
      <c r="C299" s="30" t="s">
        <v>861</v>
      </c>
      <c r="D299" s="30" t="s">
        <v>862</v>
      </c>
      <c r="E299" s="167">
        <v>8.46</v>
      </c>
      <c r="F299" s="28" t="str">
        <f t="shared" si="1"/>
        <v>pass</v>
      </c>
    </row>
    <row r="300" ht="14.25" customHeight="1">
      <c r="A300" s="28">
        <v>299.0</v>
      </c>
      <c r="B300" s="28" t="s">
        <v>18</v>
      </c>
      <c r="C300" s="30" t="s">
        <v>863</v>
      </c>
      <c r="D300" s="30" t="s">
        <v>6416</v>
      </c>
      <c r="E300" s="167">
        <v>9.02</v>
      </c>
      <c r="F300" s="28" t="str">
        <f t="shared" si="1"/>
        <v>pass</v>
      </c>
    </row>
    <row r="301" ht="14.25" customHeight="1">
      <c r="A301" s="28">
        <v>300.0</v>
      </c>
      <c r="B301" s="28" t="s">
        <v>18</v>
      </c>
      <c r="C301" s="30" t="s">
        <v>866</v>
      </c>
      <c r="D301" s="30" t="s">
        <v>867</v>
      </c>
      <c r="E301" s="167"/>
      <c r="F301" s="28" t="str">
        <f t="shared" si="1"/>
        <v>fail</v>
      </c>
    </row>
    <row r="302" ht="14.25" customHeight="1">
      <c r="A302" s="28">
        <v>301.0</v>
      </c>
      <c r="B302" s="28" t="s">
        <v>18</v>
      </c>
      <c r="C302" s="30" t="s">
        <v>868</v>
      </c>
      <c r="D302" s="30" t="s">
        <v>869</v>
      </c>
      <c r="E302" s="167">
        <v>8.72</v>
      </c>
      <c r="F302" s="28" t="str">
        <f t="shared" si="1"/>
        <v>pass</v>
      </c>
    </row>
    <row r="303" ht="14.25" customHeight="1">
      <c r="A303" s="28">
        <v>302.0</v>
      </c>
      <c r="B303" s="28" t="s">
        <v>18</v>
      </c>
      <c r="C303" s="30" t="s">
        <v>871</v>
      </c>
      <c r="D303" s="30" t="s">
        <v>872</v>
      </c>
      <c r="E303" s="167">
        <v>8.59</v>
      </c>
      <c r="F303" s="28" t="str">
        <f t="shared" si="1"/>
        <v>pass</v>
      </c>
    </row>
    <row r="304" ht="14.25" customHeight="1">
      <c r="A304" s="28">
        <v>303.0</v>
      </c>
      <c r="B304" s="28" t="s">
        <v>18</v>
      </c>
      <c r="C304" s="30" t="s">
        <v>874</v>
      </c>
      <c r="D304" s="30" t="s">
        <v>875</v>
      </c>
      <c r="E304" s="167">
        <v>9.35</v>
      </c>
      <c r="F304" s="28" t="str">
        <f t="shared" si="1"/>
        <v>pass</v>
      </c>
    </row>
    <row r="305" ht="14.25" customHeight="1">
      <c r="A305" s="28">
        <v>304.0</v>
      </c>
      <c r="B305" s="28" t="s">
        <v>18</v>
      </c>
      <c r="C305" s="30" t="s">
        <v>878</v>
      </c>
      <c r="D305" s="30" t="s">
        <v>879</v>
      </c>
      <c r="E305" s="167">
        <v>9.4</v>
      </c>
      <c r="F305" s="28" t="str">
        <f t="shared" si="1"/>
        <v>pass</v>
      </c>
    </row>
    <row r="306" ht="14.25" customHeight="1">
      <c r="A306" s="28">
        <v>305.0</v>
      </c>
      <c r="B306" s="28" t="s">
        <v>18</v>
      </c>
      <c r="C306" s="30" t="s">
        <v>881</v>
      </c>
      <c r="D306" s="30" t="s">
        <v>882</v>
      </c>
      <c r="E306" s="167">
        <v>8.95</v>
      </c>
      <c r="F306" s="28" t="str">
        <f t="shared" si="1"/>
        <v>pass</v>
      </c>
    </row>
    <row r="307" ht="14.25" customHeight="1">
      <c r="A307" s="28">
        <v>306.0</v>
      </c>
      <c r="B307" s="28" t="s">
        <v>18</v>
      </c>
      <c r="C307" s="30" t="s">
        <v>885</v>
      </c>
      <c r="D307" s="30" t="s">
        <v>886</v>
      </c>
      <c r="E307" s="167">
        <v>8.4</v>
      </c>
      <c r="F307" s="28" t="str">
        <f t="shared" si="1"/>
        <v>pass</v>
      </c>
    </row>
    <row r="308" ht="14.25" customHeight="1">
      <c r="A308" s="28">
        <v>307.0</v>
      </c>
      <c r="B308" s="28" t="s">
        <v>18</v>
      </c>
      <c r="C308" s="30" t="s">
        <v>887</v>
      </c>
      <c r="D308" s="30" t="s">
        <v>888</v>
      </c>
      <c r="E308" s="167">
        <v>8.21</v>
      </c>
      <c r="F308" s="28" t="str">
        <f t="shared" si="1"/>
        <v>pass</v>
      </c>
    </row>
    <row r="309" ht="14.25" customHeight="1">
      <c r="A309" s="28">
        <v>308.0</v>
      </c>
      <c r="B309" s="28" t="s">
        <v>18</v>
      </c>
      <c r="C309" s="30" t="s">
        <v>889</v>
      </c>
      <c r="D309" s="30" t="s">
        <v>6417</v>
      </c>
      <c r="E309" s="167">
        <v>8.65</v>
      </c>
      <c r="F309" s="28" t="str">
        <f t="shared" si="1"/>
        <v>pass</v>
      </c>
    </row>
    <row r="310" ht="14.25" customHeight="1">
      <c r="A310" s="28">
        <v>309.0</v>
      </c>
      <c r="B310" s="28" t="s">
        <v>18</v>
      </c>
      <c r="C310" s="30" t="s">
        <v>891</v>
      </c>
      <c r="D310" s="30" t="s">
        <v>892</v>
      </c>
      <c r="E310" s="167">
        <v>8.58</v>
      </c>
      <c r="F310" s="28" t="str">
        <f t="shared" si="1"/>
        <v>pass</v>
      </c>
    </row>
    <row r="311" ht="14.25" customHeight="1">
      <c r="A311" s="28">
        <v>310.0</v>
      </c>
      <c r="B311" s="28" t="s">
        <v>18</v>
      </c>
      <c r="C311" s="30" t="s">
        <v>893</v>
      </c>
      <c r="D311" s="30" t="s">
        <v>894</v>
      </c>
      <c r="E311" s="167">
        <v>8.44</v>
      </c>
      <c r="F311" s="28" t="str">
        <f t="shared" si="1"/>
        <v>pass</v>
      </c>
    </row>
    <row r="312" ht="14.25" customHeight="1">
      <c r="A312" s="28">
        <v>311.0</v>
      </c>
      <c r="B312" s="28" t="s">
        <v>18</v>
      </c>
      <c r="C312" s="30" t="s">
        <v>895</v>
      </c>
      <c r="D312" s="30" t="s">
        <v>896</v>
      </c>
      <c r="E312" s="167">
        <v>8.56</v>
      </c>
      <c r="F312" s="28" t="str">
        <f t="shared" si="1"/>
        <v>pass</v>
      </c>
    </row>
    <row r="313" ht="14.25" customHeight="1">
      <c r="A313" s="28">
        <v>312.0</v>
      </c>
      <c r="B313" s="28" t="s">
        <v>18</v>
      </c>
      <c r="C313" s="30" t="s">
        <v>897</v>
      </c>
      <c r="D313" s="30" t="s">
        <v>898</v>
      </c>
      <c r="E313" s="167">
        <v>9.0</v>
      </c>
      <c r="F313" s="28" t="str">
        <f t="shared" si="1"/>
        <v>pass</v>
      </c>
    </row>
    <row r="314" ht="14.25" customHeight="1">
      <c r="A314" s="28">
        <v>313.0</v>
      </c>
      <c r="B314" s="28" t="s">
        <v>18</v>
      </c>
      <c r="C314" s="30" t="s">
        <v>899</v>
      </c>
      <c r="D314" s="30" t="s">
        <v>900</v>
      </c>
      <c r="E314" s="167"/>
      <c r="F314" s="28" t="str">
        <f t="shared" si="1"/>
        <v>fail</v>
      </c>
    </row>
    <row r="315" ht="14.25" customHeight="1">
      <c r="A315" s="28">
        <v>314.0</v>
      </c>
      <c r="B315" s="28" t="s">
        <v>18</v>
      </c>
      <c r="C315" s="30" t="s">
        <v>901</v>
      </c>
      <c r="D315" s="30" t="s">
        <v>902</v>
      </c>
      <c r="E315" s="167">
        <v>8.91</v>
      </c>
      <c r="F315" s="28" t="str">
        <f t="shared" si="1"/>
        <v>pass</v>
      </c>
    </row>
    <row r="316" ht="14.25" customHeight="1">
      <c r="A316" s="28">
        <v>315.0</v>
      </c>
      <c r="B316" s="28" t="s">
        <v>18</v>
      </c>
      <c r="C316" s="30" t="s">
        <v>903</v>
      </c>
      <c r="D316" s="30" t="s">
        <v>904</v>
      </c>
      <c r="E316" s="167">
        <v>8.12</v>
      </c>
      <c r="F316" s="28" t="str">
        <f t="shared" si="1"/>
        <v>pass</v>
      </c>
    </row>
    <row r="317" ht="14.25" customHeight="1">
      <c r="A317" s="28">
        <v>316.0</v>
      </c>
      <c r="B317" s="28" t="s">
        <v>18</v>
      </c>
      <c r="C317" s="30" t="s">
        <v>905</v>
      </c>
      <c r="D317" s="30" t="s">
        <v>906</v>
      </c>
      <c r="E317" s="167">
        <v>8.39</v>
      </c>
      <c r="F317" s="28" t="str">
        <f t="shared" si="1"/>
        <v>pass</v>
      </c>
    </row>
    <row r="318" ht="14.25" customHeight="1">
      <c r="A318" s="28">
        <v>317.0</v>
      </c>
      <c r="B318" s="28" t="s">
        <v>18</v>
      </c>
      <c r="C318" s="30" t="s">
        <v>907</v>
      </c>
      <c r="D318" s="30" t="s">
        <v>908</v>
      </c>
      <c r="E318" s="167">
        <v>8.53</v>
      </c>
      <c r="F318" s="28" t="str">
        <f t="shared" si="1"/>
        <v>pass</v>
      </c>
    </row>
    <row r="319" ht="14.25" customHeight="1">
      <c r="A319" s="28">
        <v>318.0</v>
      </c>
      <c r="B319" s="28" t="s">
        <v>18</v>
      </c>
      <c r="C319" s="30" t="s">
        <v>909</v>
      </c>
      <c r="D319" s="30" t="s">
        <v>910</v>
      </c>
      <c r="E319" s="167">
        <v>9.35</v>
      </c>
      <c r="F319" s="28" t="str">
        <f t="shared" si="1"/>
        <v>pass</v>
      </c>
    </row>
    <row r="320" ht="14.25" customHeight="1">
      <c r="A320" s="28">
        <v>319.0</v>
      </c>
      <c r="B320" s="28" t="s">
        <v>18</v>
      </c>
      <c r="C320" s="30" t="s">
        <v>911</v>
      </c>
      <c r="D320" s="30" t="s">
        <v>912</v>
      </c>
      <c r="E320" s="167">
        <v>7.5</v>
      </c>
      <c r="F320" s="28" t="str">
        <f t="shared" si="1"/>
        <v>pass</v>
      </c>
    </row>
    <row r="321" ht="14.25" customHeight="1">
      <c r="A321" s="28">
        <v>320.0</v>
      </c>
      <c r="B321" s="28" t="s">
        <v>18</v>
      </c>
      <c r="C321" s="30" t="s">
        <v>913</v>
      </c>
      <c r="D321" s="30" t="s">
        <v>914</v>
      </c>
      <c r="E321" s="167">
        <v>8.09</v>
      </c>
      <c r="F321" s="28" t="str">
        <f t="shared" si="1"/>
        <v>pass</v>
      </c>
    </row>
    <row r="322" ht="14.25" customHeight="1">
      <c r="A322" s="28">
        <v>321.0</v>
      </c>
      <c r="B322" s="28" t="s">
        <v>18</v>
      </c>
      <c r="C322" s="30" t="s">
        <v>916</v>
      </c>
      <c r="D322" s="30" t="s">
        <v>917</v>
      </c>
      <c r="E322" s="167">
        <v>8.01</v>
      </c>
      <c r="F322" s="28" t="str">
        <f t="shared" si="1"/>
        <v>pass</v>
      </c>
    </row>
    <row r="323" ht="14.25" customHeight="1">
      <c r="A323" s="28">
        <v>322.0</v>
      </c>
      <c r="B323" s="28" t="s">
        <v>18</v>
      </c>
      <c r="C323" s="30" t="s">
        <v>919</v>
      </c>
      <c r="D323" s="30" t="s">
        <v>920</v>
      </c>
      <c r="E323" s="167"/>
      <c r="F323" s="28" t="str">
        <f t="shared" si="1"/>
        <v>fail</v>
      </c>
    </row>
    <row r="324" ht="14.25" customHeight="1">
      <c r="A324" s="28">
        <v>323.0</v>
      </c>
      <c r="B324" s="28" t="s">
        <v>14</v>
      </c>
      <c r="C324" s="30" t="s">
        <v>235</v>
      </c>
      <c r="D324" s="30" t="s">
        <v>6418</v>
      </c>
      <c r="E324" s="167"/>
      <c r="F324" s="28" t="str">
        <f t="shared" si="1"/>
        <v>fail</v>
      </c>
    </row>
    <row r="325" ht="14.25" customHeight="1">
      <c r="A325" s="28">
        <v>324.0</v>
      </c>
      <c r="B325" s="28" t="s">
        <v>14</v>
      </c>
      <c r="C325" s="30" t="s">
        <v>238</v>
      </c>
      <c r="D325" s="30" t="s">
        <v>239</v>
      </c>
      <c r="E325" s="167">
        <v>7.52</v>
      </c>
      <c r="F325" s="28" t="str">
        <f t="shared" si="1"/>
        <v>pass</v>
      </c>
    </row>
    <row r="326" ht="14.25" customHeight="1">
      <c r="A326" s="28">
        <v>325.0</v>
      </c>
      <c r="B326" s="28" t="s">
        <v>14</v>
      </c>
      <c r="C326" s="30" t="s">
        <v>240</v>
      </c>
      <c r="D326" s="30" t="s">
        <v>241</v>
      </c>
      <c r="E326" s="167">
        <v>7.0</v>
      </c>
      <c r="F326" s="28" t="str">
        <f t="shared" si="1"/>
        <v>pass</v>
      </c>
    </row>
    <row r="327" ht="14.25" customHeight="1">
      <c r="A327" s="28">
        <v>326.0</v>
      </c>
      <c r="B327" s="28" t="s">
        <v>14</v>
      </c>
      <c r="C327" s="30" t="s">
        <v>242</v>
      </c>
      <c r="D327" s="30" t="s">
        <v>243</v>
      </c>
      <c r="E327" s="167">
        <v>7.04</v>
      </c>
      <c r="F327" s="28" t="str">
        <f t="shared" si="1"/>
        <v>pass</v>
      </c>
    </row>
    <row r="328" ht="14.25" customHeight="1">
      <c r="A328" s="28">
        <v>327.0</v>
      </c>
      <c r="B328" s="28" t="s">
        <v>14</v>
      </c>
      <c r="C328" s="30" t="s">
        <v>244</v>
      </c>
      <c r="D328" s="30" t="s">
        <v>245</v>
      </c>
      <c r="E328" s="167">
        <v>7.5</v>
      </c>
      <c r="F328" s="28" t="str">
        <f t="shared" si="1"/>
        <v>pass</v>
      </c>
    </row>
    <row r="329" ht="14.25" customHeight="1">
      <c r="A329" s="28">
        <v>328.0</v>
      </c>
      <c r="B329" s="28" t="s">
        <v>15</v>
      </c>
      <c r="C329" s="30" t="s">
        <v>246</v>
      </c>
      <c r="D329" s="30" t="s">
        <v>247</v>
      </c>
      <c r="E329" s="167">
        <v>7.54</v>
      </c>
      <c r="F329" s="28" t="str">
        <f t="shared" si="1"/>
        <v>pass</v>
      </c>
    </row>
    <row r="330" ht="14.25" customHeight="1">
      <c r="A330" s="28">
        <v>329.0</v>
      </c>
      <c r="B330" s="28" t="s">
        <v>15</v>
      </c>
      <c r="C330" s="30" t="s">
        <v>248</v>
      </c>
      <c r="D330" s="30" t="s">
        <v>249</v>
      </c>
      <c r="E330" s="167">
        <v>8.04</v>
      </c>
      <c r="F330" s="28" t="str">
        <f t="shared" si="1"/>
        <v>pass</v>
      </c>
    </row>
    <row r="331" ht="14.25" customHeight="1">
      <c r="A331" s="28">
        <v>330.0</v>
      </c>
      <c r="B331" s="28" t="s">
        <v>15</v>
      </c>
      <c r="C331" s="30" t="s">
        <v>412</v>
      </c>
      <c r="D331" s="30" t="s">
        <v>413</v>
      </c>
      <c r="E331" s="167">
        <v>7.43</v>
      </c>
      <c r="F331" s="28" t="str">
        <f t="shared" si="1"/>
        <v>pass</v>
      </c>
    </row>
    <row r="332" ht="14.25" customHeight="1">
      <c r="A332" s="28">
        <v>331.0</v>
      </c>
      <c r="B332" s="28" t="s">
        <v>15</v>
      </c>
      <c r="C332" s="30" t="s">
        <v>414</v>
      </c>
      <c r="D332" s="30" t="s">
        <v>415</v>
      </c>
      <c r="E332" s="167">
        <v>8.67</v>
      </c>
      <c r="F332" s="28" t="str">
        <f t="shared" si="1"/>
        <v>pass</v>
      </c>
    </row>
    <row r="333" ht="14.25" customHeight="1">
      <c r="A333" s="28">
        <v>332.0</v>
      </c>
      <c r="B333" s="28" t="s">
        <v>15</v>
      </c>
      <c r="C333" s="30" t="s">
        <v>417</v>
      </c>
      <c r="D333" s="30" t="s">
        <v>418</v>
      </c>
      <c r="E333" s="167">
        <v>8.94</v>
      </c>
      <c r="F333" s="28" t="str">
        <f t="shared" si="1"/>
        <v>pass</v>
      </c>
    </row>
    <row r="334" ht="14.25" customHeight="1">
      <c r="A334" s="28">
        <v>333.0</v>
      </c>
      <c r="C334" s="30" t="s">
        <v>419</v>
      </c>
      <c r="D334" s="30" t="s">
        <v>420</v>
      </c>
      <c r="E334" s="167">
        <v>8.27</v>
      </c>
      <c r="F334" s="28" t="str">
        <f t="shared" si="1"/>
        <v>pass</v>
      </c>
    </row>
    <row r="335" ht="14.25" customHeight="1">
      <c r="A335" s="28">
        <v>334.0</v>
      </c>
      <c r="C335" s="30" t="s">
        <v>422</v>
      </c>
      <c r="D335" s="30" t="s">
        <v>423</v>
      </c>
      <c r="E335" s="167"/>
      <c r="F335" s="28" t="str">
        <f t="shared" si="1"/>
        <v>fail</v>
      </c>
    </row>
    <row r="336" ht="14.25" customHeight="1">
      <c r="A336" s="28">
        <v>335.0</v>
      </c>
      <c r="C336" s="30" t="s">
        <v>424</v>
      </c>
      <c r="D336" s="30" t="s">
        <v>6419</v>
      </c>
      <c r="E336" s="167"/>
      <c r="F336" s="28" t="str">
        <f t="shared" si="1"/>
        <v>fail</v>
      </c>
    </row>
    <row r="337" ht="14.25" customHeight="1">
      <c r="A337" s="28">
        <v>336.0</v>
      </c>
      <c r="C337" s="30" t="s">
        <v>426</v>
      </c>
      <c r="D337" s="30" t="s">
        <v>427</v>
      </c>
      <c r="E337" s="167">
        <v>8.67</v>
      </c>
      <c r="F337" s="28" t="str">
        <f t="shared" si="1"/>
        <v>pass</v>
      </c>
    </row>
    <row r="338" ht="14.25" customHeight="1">
      <c r="A338" s="28">
        <v>337.0</v>
      </c>
      <c r="C338" s="30" t="s">
        <v>579</v>
      </c>
      <c r="D338" s="30" t="s">
        <v>580</v>
      </c>
      <c r="E338" s="167">
        <v>8.12</v>
      </c>
      <c r="F338" s="28" t="str">
        <f t="shared" si="1"/>
        <v>pass</v>
      </c>
    </row>
    <row r="339" ht="14.25" customHeight="1">
      <c r="A339" s="28">
        <v>338.0</v>
      </c>
      <c r="C339" s="30" t="s">
        <v>581</v>
      </c>
      <c r="D339" s="30" t="s">
        <v>6420</v>
      </c>
      <c r="E339" s="167">
        <v>7.73</v>
      </c>
      <c r="F339" s="28" t="str">
        <f t="shared" si="1"/>
        <v>pass</v>
      </c>
    </row>
    <row r="340" ht="14.25" customHeight="1">
      <c r="A340" s="28">
        <v>339.0</v>
      </c>
      <c r="C340" s="30" t="s">
        <v>583</v>
      </c>
      <c r="D340" s="30" t="s">
        <v>6421</v>
      </c>
      <c r="E340" s="167">
        <v>7.5</v>
      </c>
      <c r="F340" s="28" t="str">
        <f t="shared" si="1"/>
        <v>pass</v>
      </c>
    </row>
    <row r="341" ht="14.25" customHeight="1">
      <c r="A341" s="28">
        <v>340.0</v>
      </c>
      <c r="C341" s="30" t="s">
        <v>586</v>
      </c>
      <c r="D341" s="30" t="s">
        <v>587</v>
      </c>
      <c r="E341" s="167">
        <v>8.17</v>
      </c>
      <c r="F341" s="28" t="str">
        <f t="shared" si="1"/>
        <v>pass</v>
      </c>
    </row>
    <row r="342" ht="14.25" customHeight="1">
      <c r="A342" s="28">
        <v>341.0</v>
      </c>
      <c r="C342" s="30" t="s">
        <v>588</v>
      </c>
      <c r="D342" s="30" t="s">
        <v>589</v>
      </c>
      <c r="E342" s="167">
        <v>8.29</v>
      </c>
      <c r="F342" s="28" t="str">
        <f t="shared" si="1"/>
        <v>pass</v>
      </c>
    </row>
    <row r="343" ht="14.25" customHeight="1">
      <c r="A343" s="28">
        <v>342.0</v>
      </c>
      <c r="C343" s="30" t="s">
        <v>590</v>
      </c>
      <c r="D343" s="30" t="s">
        <v>591</v>
      </c>
      <c r="E343" s="167">
        <v>8.74</v>
      </c>
      <c r="F343" s="28" t="str">
        <f t="shared" si="1"/>
        <v>pass</v>
      </c>
    </row>
    <row r="344" ht="14.25" customHeight="1">
      <c r="A344" s="28">
        <v>343.0</v>
      </c>
      <c r="C344" s="30" t="s">
        <v>756</v>
      </c>
      <c r="D344" s="30" t="s">
        <v>757</v>
      </c>
      <c r="E344" s="167">
        <v>7.88</v>
      </c>
      <c r="F344" s="28" t="str">
        <f t="shared" si="1"/>
        <v>pass</v>
      </c>
    </row>
    <row r="345" ht="14.25" customHeight="1">
      <c r="A345" s="28">
        <v>344.0</v>
      </c>
      <c r="C345" s="30" t="s">
        <v>758</v>
      </c>
      <c r="D345" s="30" t="s">
        <v>759</v>
      </c>
      <c r="E345" s="167"/>
      <c r="F345" s="28" t="str">
        <f t="shared" si="1"/>
        <v>fail</v>
      </c>
    </row>
    <row r="346" ht="14.25" customHeight="1">
      <c r="A346" s="28">
        <v>345.0</v>
      </c>
      <c r="C346" s="30" t="s">
        <v>760</v>
      </c>
      <c r="D346" s="30" t="s">
        <v>761</v>
      </c>
      <c r="E346" s="167">
        <v>7.18</v>
      </c>
      <c r="F346" s="28" t="str">
        <f t="shared" si="1"/>
        <v>pass</v>
      </c>
    </row>
    <row r="347" ht="14.25" customHeight="1">
      <c r="A347" s="28">
        <v>346.0</v>
      </c>
      <c r="C347" s="30" t="s">
        <v>762</v>
      </c>
      <c r="D347" s="30" t="s">
        <v>763</v>
      </c>
      <c r="E347" s="167">
        <v>8.54</v>
      </c>
      <c r="F347" s="28" t="str">
        <f t="shared" si="1"/>
        <v>pass</v>
      </c>
    </row>
    <row r="348" ht="14.25" customHeight="1">
      <c r="A348" s="28">
        <v>347.0</v>
      </c>
      <c r="C348" s="30" t="s">
        <v>764</v>
      </c>
      <c r="D348" s="30" t="s">
        <v>765</v>
      </c>
      <c r="E348" s="167">
        <v>8.56</v>
      </c>
      <c r="F348" s="28" t="str">
        <f t="shared" si="1"/>
        <v>pass</v>
      </c>
    </row>
    <row r="349" ht="14.25" customHeight="1">
      <c r="A349" s="28">
        <v>348.0</v>
      </c>
      <c r="C349" s="30" t="s">
        <v>767</v>
      </c>
      <c r="D349" s="30" t="s">
        <v>6422</v>
      </c>
      <c r="E349" s="167">
        <v>7.95</v>
      </c>
      <c r="F349" s="28" t="str">
        <f t="shared" si="1"/>
        <v>pass</v>
      </c>
    </row>
    <row r="350" ht="14.25" customHeight="1">
      <c r="A350" s="28">
        <v>349.0</v>
      </c>
      <c r="C350" s="30" t="s">
        <v>921</v>
      </c>
      <c r="D350" s="30" t="s">
        <v>6423</v>
      </c>
      <c r="E350" s="167">
        <v>7.47</v>
      </c>
      <c r="F350" s="28" t="str">
        <f t="shared" si="1"/>
        <v>pass</v>
      </c>
    </row>
    <row r="351" ht="14.25" customHeight="1">
      <c r="A351" s="28">
        <v>350.0</v>
      </c>
      <c r="C351" s="30" t="s">
        <v>923</v>
      </c>
      <c r="D351" s="30" t="s">
        <v>924</v>
      </c>
      <c r="E351" s="167">
        <v>7.92</v>
      </c>
      <c r="F351" s="28" t="str">
        <f t="shared" si="1"/>
        <v>pass</v>
      </c>
    </row>
    <row r="352" ht="14.25" customHeight="1">
      <c r="A352" s="28">
        <v>351.0</v>
      </c>
      <c r="C352" s="30" t="s">
        <v>925</v>
      </c>
      <c r="D352" s="30" t="s">
        <v>4707</v>
      </c>
      <c r="E352" s="167">
        <v>7.61</v>
      </c>
      <c r="F352" s="28" t="str">
        <f t="shared" si="1"/>
        <v>pass</v>
      </c>
    </row>
    <row r="353" ht="14.25" customHeight="1">
      <c r="A353" s="28">
        <v>352.0</v>
      </c>
      <c r="C353" s="30" t="s">
        <v>927</v>
      </c>
      <c r="D353" s="30" t="s">
        <v>928</v>
      </c>
      <c r="E353" s="167">
        <v>7.5</v>
      </c>
      <c r="F353" s="28" t="str">
        <f t="shared" si="1"/>
        <v>pass</v>
      </c>
    </row>
    <row r="354" ht="14.25" customHeight="1">
      <c r="A354" s="28">
        <v>353.0</v>
      </c>
      <c r="C354" s="30" t="s">
        <v>930</v>
      </c>
      <c r="D354" s="30" t="s">
        <v>931</v>
      </c>
      <c r="E354" s="167">
        <v>8.49</v>
      </c>
      <c r="F354" s="28" t="str">
        <f t="shared" si="1"/>
        <v>pass</v>
      </c>
    </row>
    <row r="355" ht="14.25" customHeight="1">
      <c r="A355" s="28">
        <v>354.0</v>
      </c>
      <c r="C355" s="30" t="s">
        <v>932</v>
      </c>
      <c r="D355" s="30" t="s">
        <v>933</v>
      </c>
      <c r="E355" s="167">
        <v>8.11</v>
      </c>
      <c r="F355" s="28" t="str">
        <f t="shared" si="1"/>
        <v>pass</v>
      </c>
    </row>
    <row r="356" ht="14.25" customHeight="1">
      <c r="A356" s="28">
        <v>355.0</v>
      </c>
      <c r="C356" s="30" t="s">
        <v>934</v>
      </c>
      <c r="D356" s="30" t="s">
        <v>6424</v>
      </c>
      <c r="E356" s="167">
        <v>8.49</v>
      </c>
      <c r="F356" s="28" t="str">
        <f t="shared" si="1"/>
        <v>pass</v>
      </c>
    </row>
    <row r="357" ht="14.25" customHeight="1">
      <c r="A357" s="28">
        <v>356.0</v>
      </c>
      <c r="C357" s="30" t="s">
        <v>592</v>
      </c>
      <c r="D357" s="30" t="s">
        <v>6425</v>
      </c>
      <c r="E357" s="167"/>
      <c r="F357" s="28" t="str">
        <f t="shared" si="1"/>
        <v>fail</v>
      </c>
    </row>
    <row r="358" ht="14.25" customHeight="1">
      <c r="A358" s="28">
        <v>357.0</v>
      </c>
      <c r="C358" s="30" t="s">
        <v>769</v>
      </c>
      <c r="D358" s="30" t="s">
        <v>770</v>
      </c>
      <c r="E358" s="167">
        <v>7.38</v>
      </c>
      <c r="F358" s="28" t="str">
        <f t="shared" si="1"/>
        <v>pass</v>
      </c>
    </row>
    <row r="359" ht="14.25" customHeight="1">
      <c r="C359" s="30"/>
      <c r="D359" s="30"/>
      <c r="E359" s="167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58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1.14"/>
    <col customWidth="1" min="3" max="6" width="14.43"/>
  </cols>
  <sheetData>
    <row r="1">
      <c r="A1" s="30" t="s">
        <v>55</v>
      </c>
      <c r="B1" s="30" t="s">
        <v>56</v>
      </c>
    </row>
    <row r="2">
      <c r="A2" s="30" t="s">
        <v>81</v>
      </c>
      <c r="B2" s="30" t="s">
        <v>82</v>
      </c>
    </row>
    <row r="3">
      <c r="A3" s="30" t="s">
        <v>107</v>
      </c>
      <c r="B3" s="30" t="s">
        <v>6343</v>
      </c>
    </row>
    <row r="4">
      <c r="A4" s="30" t="s">
        <v>126</v>
      </c>
      <c r="B4" s="30" t="s">
        <v>6346</v>
      </c>
    </row>
    <row r="5">
      <c r="A5" s="30" t="s">
        <v>158</v>
      </c>
      <c r="B5" s="30" t="s">
        <v>159</v>
      </c>
    </row>
    <row r="6">
      <c r="A6" s="30" t="s">
        <v>165</v>
      </c>
      <c r="B6" s="30" t="s">
        <v>4472</v>
      </c>
    </row>
    <row r="7">
      <c r="A7" s="30" t="s">
        <v>173</v>
      </c>
      <c r="B7" s="30" t="s">
        <v>174</v>
      </c>
    </row>
    <row r="8">
      <c r="A8" s="30" t="s">
        <v>190</v>
      </c>
      <c r="B8" s="30" t="s">
        <v>191</v>
      </c>
    </row>
    <row r="9">
      <c r="A9" s="30" t="s">
        <v>224</v>
      </c>
      <c r="B9" s="30" t="s">
        <v>225</v>
      </c>
    </row>
    <row r="10">
      <c r="A10" s="30" t="s">
        <v>260</v>
      </c>
      <c r="B10" s="30" t="s">
        <v>261</v>
      </c>
    </row>
    <row r="11">
      <c r="A11" s="30" t="s">
        <v>262</v>
      </c>
      <c r="B11" s="30" t="s">
        <v>6362</v>
      </c>
    </row>
    <row r="12">
      <c r="A12" s="30" t="s">
        <v>323</v>
      </c>
      <c r="B12" s="30" t="s">
        <v>6369</v>
      </c>
    </row>
    <row r="13">
      <c r="A13" s="30" t="s">
        <v>370</v>
      </c>
      <c r="B13" s="30" t="s">
        <v>371</v>
      </c>
    </row>
    <row r="14">
      <c r="A14" s="30" t="s">
        <v>375</v>
      </c>
      <c r="B14" s="30" t="s">
        <v>376</v>
      </c>
    </row>
    <row r="15">
      <c r="A15" s="30" t="s">
        <v>381</v>
      </c>
      <c r="B15" s="30" t="s">
        <v>382</v>
      </c>
    </row>
    <row r="16">
      <c r="A16" s="30" t="s">
        <v>387</v>
      </c>
      <c r="B16" s="30" t="s">
        <v>6376</v>
      </c>
    </row>
    <row r="17">
      <c r="A17" s="30" t="s">
        <v>389</v>
      </c>
      <c r="B17" s="30" t="s">
        <v>390</v>
      </c>
    </row>
    <row r="18">
      <c r="A18" s="30" t="s">
        <v>391</v>
      </c>
      <c r="B18" s="30" t="s">
        <v>392</v>
      </c>
    </row>
    <row r="19">
      <c r="A19" s="30" t="s">
        <v>433</v>
      </c>
      <c r="B19" s="30" t="s">
        <v>434</v>
      </c>
    </row>
    <row r="20">
      <c r="A20" s="30" t="s">
        <v>470</v>
      </c>
      <c r="B20" s="30" t="s">
        <v>471</v>
      </c>
    </row>
    <row r="21" ht="15.75" customHeight="1">
      <c r="A21" s="30" t="s">
        <v>475</v>
      </c>
      <c r="B21" s="30" t="s">
        <v>6381</v>
      </c>
    </row>
    <row r="22" ht="15.75" customHeight="1">
      <c r="A22" s="30" t="s">
        <v>497</v>
      </c>
      <c r="B22" s="30" t="s">
        <v>6384</v>
      </c>
    </row>
    <row r="23" ht="15.75" customHeight="1">
      <c r="A23" s="30" t="s">
        <v>501</v>
      </c>
      <c r="B23" s="30" t="s">
        <v>502</v>
      </c>
    </row>
    <row r="24" ht="15.75" customHeight="1">
      <c r="A24" s="30" t="s">
        <v>522</v>
      </c>
      <c r="B24" s="30" t="s">
        <v>6386</v>
      </c>
    </row>
    <row r="25" ht="15.75" customHeight="1">
      <c r="A25" s="30" t="s">
        <v>526</v>
      </c>
      <c r="B25" s="30" t="s">
        <v>527</v>
      </c>
    </row>
    <row r="26" ht="15.75" customHeight="1">
      <c r="A26" s="30" t="s">
        <v>553</v>
      </c>
      <c r="B26" s="30" t="s">
        <v>554</v>
      </c>
    </row>
    <row r="27" ht="15.75" customHeight="1">
      <c r="A27" s="30" t="s">
        <v>610</v>
      </c>
      <c r="B27" s="30" t="s">
        <v>6398</v>
      </c>
    </row>
    <row r="28" ht="15.75" customHeight="1">
      <c r="A28" s="30" t="s">
        <v>630</v>
      </c>
      <c r="B28" s="30" t="s">
        <v>4570</v>
      </c>
    </row>
    <row r="29" ht="15.75" customHeight="1">
      <c r="A29" s="30" t="s">
        <v>642</v>
      </c>
      <c r="B29" s="30" t="s">
        <v>643</v>
      </c>
    </row>
    <row r="30" ht="15.75" customHeight="1">
      <c r="A30" s="30" t="s">
        <v>648</v>
      </c>
      <c r="B30" s="30" t="s">
        <v>6402</v>
      </c>
    </row>
    <row r="31" ht="15.75" customHeight="1">
      <c r="A31" s="30" t="s">
        <v>652</v>
      </c>
      <c r="B31" s="30" t="s">
        <v>653</v>
      </c>
    </row>
    <row r="32" ht="15.75" customHeight="1">
      <c r="A32" s="30" t="s">
        <v>665</v>
      </c>
      <c r="B32" s="30" t="s">
        <v>666</v>
      </c>
    </row>
    <row r="33" ht="15.75" customHeight="1">
      <c r="A33" s="30" t="s">
        <v>721</v>
      </c>
      <c r="B33" s="30" t="s">
        <v>6411</v>
      </c>
    </row>
    <row r="34" ht="15.75" customHeight="1">
      <c r="A34" s="30" t="s">
        <v>790</v>
      </c>
      <c r="B34" s="30" t="s">
        <v>791</v>
      </c>
    </row>
    <row r="35" ht="15.75" customHeight="1">
      <c r="A35" s="30" t="s">
        <v>836</v>
      </c>
      <c r="B35" s="30" t="s">
        <v>837</v>
      </c>
    </row>
    <row r="36" ht="15.75" customHeight="1">
      <c r="A36" s="30" t="s">
        <v>838</v>
      </c>
      <c r="B36" s="30" t="s">
        <v>839</v>
      </c>
    </row>
    <row r="37" ht="15.75" customHeight="1">
      <c r="A37" s="30" t="s">
        <v>852</v>
      </c>
      <c r="B37" s="30" t="s">
        <v>853</v>
      </c>
    </row>
    <row r="38" ht="15.75" customHeight="1">
      <c r="A38" s="30" t="s">
        <v>854</v>
      </c>
      <c r="B38" s="30" t="s">
        <v>855</v>
      </c>
    </row>
    <row r="39" ht="15.75" customHeight="1">
      <c r="A39" s="30" t="s">
        <v>866</v>
      </c>
      <c r="B39" s="30" t="s">
        <v>867</v>
      </c>
    </row>
    <row r="40" ht="15.75" customHeight="1">
      <c r="A40" s="30" t="s">
        <v>899</v>
      </c>
      <c r="B40" s="30" t="s">
        <v>900</v>
      </c>
    </row>
    <row r="41" ht="15.75" customHeight="1">
      <c r="A41" s="30" t="s">
        <v>919</v>
      </c>
      <c r="B41" s="30" t="s">
        <v>920</v>
      </c>
    </row>
    <row r="42" ht="15.75" customHeight="1">
      <c r="A42" s="30" t="s">
        <v>235</v>
      </c>
      <c r="B42" s="30" t="s">
        <v>6418</v>
      </c>
    </row>
    <row r="43" ht="15.75" customHeight="1">
      <c r="A43" s="30" t="s">
        <v>422</v>
      </c>
      <c r="B43" s="30" t="s">
        <v>423</v>
      </c>
    </row>
    <row r="44" ht="15.75" customHeight="1">
      <c r="A44" s="30" t="s">
        <v>424</v>
      </c>
      <c r="B44" s="30" t="s">
        <v>6419</v>
      </c>
    </row>
    <row r="45" ht="15.75" customHeight="1">
      <c r="A45" s="30" t="s">
        <v>758</v>
      </c>
      <c r="B45" s="30" t="s">
        <v>759</v>
      </c>
    </row>
    <row r="46" ht="15.75" customHeight="1">
      <c r="A46" s="30" t="s">
        <v>592</v>
      </c>
      <c r="B46" s="30" t="s">
        <v>6425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